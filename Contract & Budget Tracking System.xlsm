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rosoft\OneDrive - EL-Minia University - Students\Desktop\"/>
    </mc:Choice>
  </mc:AlternateContent>
  <xr:revisionPtr revIDLastSave="0" documentId="13_ncr:1_{6454EE1B-0E81-4DC8-9F18-099D51479C6B}" xr6:coauthVersionLast="47" xr6:coauthVersionMax="47" xr10:uidLastSave="{00000000-0000-0000-0000-000000000000}"/>
  <bookViews>
    <workbookView xWindow="-108" yWindow="-108" windowWidth="23256" windowHeight="12456" tabRatio="898" activeTab="6" xr2:uid="{00000000-000D-0000-FFFF-FFFF00000000}"/>
  </bookViews>
  <sheets>
    <sheet name="DB_All" sheetId="1" r:id="rId1"/>
    <sheet name="DB_Contracts" sheetId="2" r:id="rId2"/>
    <sheet name="DB_Lookups" sheetId="3" r:id="rId3"/>
    <sheet name="التشغيل والصيانة السوق الالكترو" sheetId="4" r:id="rId4"/>
    <sheet name="التشغيل والصيانة العقود " sheetId="5" r:id="rId5"/>
    <sheet name="السوق الالكتروني" sheetId="6" r:id="rId6"/>
    <sheet name="قسم المنافسات 1" sheetId="7" r:id="rId7"/>
    <sheet name="قسم المنافسات 2" sheetId="8" r:id="rId8"/>
    <sheet name="قسم المنافسات3" sheetId="9" r:id="rId9"/>
    <sheet name="المطالبات 2026" sheetId="10" r:id="rId10"/>
    <sheet name="المطالبات 2025" sheetId="11" r:id="rId11"/>
    <sheet name="قسم الميزانية" sheetId="12" r:id="rId12"/>
    <sheet name="تقرير الاداء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00" i="12" l="1"/>
  <c r="Q500" i="12"/>
  <c r="P500" i="12"/>
  <c r="O500" i="12"/>
  <c r="N500" i="12"/>
  <c r="L500" i="12"/>
  <c r="K500" i="12"/>
  <c r="M500" i="12" s="1"/>
  <c r="I500" i="12"/>
  <c r="H500" i="12"/>
  <c r="J500" i="12" s="1"/>
  <c r="G500" i="12"/>
  <c r="F500" i="12"/>
  <c r="R499" i="12"/>
  <c r="Q499" i="12"/>
  <c r="P499" i="12"/>
  <c r="O499" i="12"/>
  <c r="N499" i="12"/>
  <c r="L499" i="12"/>
  <c r="K499" i="12"/>
  <c r="M499" i="12" s="1"/>
  <c r="J499" i="12"/>
  <c r="I499" i="12"/>
  <c r="H499" i="12"/>
  <c r="G499" i="12"/>
  <c r="F499" i="12"/>
  <c r="R498" i="12"/>
  <c r="Q498" i="12"/>
  <c r="P498" i="12"/>
  <c r="O498" i="12"/>
  <c r="N498" i="12"/>
  <c r="M498" i="12"/>
  <c r="L498" i="12"/>
  <c r="K498" i="12"/>
  <c r="J498" i="12"/>
  <c r="I498" i="12"/>
  <c r="H498" i="12"/>
  <c r="G498" i="12"/>
  <c r="F498" i="12"/>
  <c r="R497" i="12"/>
  <c r="Q497" i="12"/>
  <c r="P497" i="12"/>
  <c r="O497" i="12"/>
  <c r="N497" i="12"/>
  <c r="L497" i="12"/>
  <c r="K497" i="12"/>
  <c r="M497" i="12" s="1"/>
  <c r="I497" i="12"/>
  <c r="H497" i="12"/>
  <c r="J497" i="12" s="1"/>
  <c r="G497" i="12"/>
  <c r="F497" i="12"/>
  <c r="R496" i="12"/>
  <c r="Q496" i="12"/>
  <c r="P496" i="12"/>
  <c r="O496" i="12"/>
  <c r="N496" i="12"/>
  <c r="M496" i="12"/>
  <c r="L496" i="12"/>
  <c r="K496" i="12"/>
  <c r="I496" i="12"/>
  <c r="H496" i="12"/>
  <c r="J496" i="12" s="1"/>
  <c r="G496" i="12"/>
  <c r="F496" i="12"/>
  <c r="R495" i="12"/>
  <c r="Q495" i="12"/>
  <c r="P495" i="12"/>
  <c r="O495" i="12"/>
  <c r="N495" i="12"/>
  <c r="M495" i="12"/>
  <c r="L495" i="12"/>
  <c r="K495" i="12"/>
  <c r="I495" i="12"/>
  <c r="H495" i="12"/>
  <c r="J495" i="12" s="1"/>
  <c r="G495" i="12"/>
  <c r="F495" i="12"/>
  <c r="R494" i="12"/>
  <c r="Q494" i="12"/>
  <c r="P494" i="12"/>
  <c r="O494" i="12"/>
  <c r="N494" i="12"/>
  <c r="L494" i="12"/>
  <c r="K494" i="12"/>
  <c r="M494" i="12" s="1"/>
  <c r="J494" i="12"/>
  <c r="I494" i="12"/>
  <c r="H494" i="12"/>
  <c r="G494" i="12"/>
  <c r="F494" i="12"/>
  <c r="R493" i="12"/>
  <c r="Q493" i="12"/>
  <c r="P493" i="12"/>
  <c r="O493" i="12"/>
  <c r="N493" i="12"/>
  <c r="L493" i="12"/>
  <c r="K493" i="12"/>
  <c r="M493" i="12" s="1"/>
  <c r="J493" i="12"/>
  <c r="I493" i="12"/>
  <c r="H493" i="12"/>
  <c r="G493" i="12"/>
  <c r="F493" i="12"/>
  <c r="R492" i="12"/>
  <c r="Q492" i="12"/>
  <c r="P492" i="12"/>
  <c r="O492" i="12"/>
  <c r="N492" i="12"/>
  <c r="L492" i="12"/>
  <c r="K492" i="12"/>
  <c r="M492" i="12" s="1"/>
  <c r="I492" i="12"/>
  <c r="H492" i="12"/>
  <c r="J492" i="12" s="1"/>
  <c r="G492" i="12"/>
  <c r="F492" i="12"/>
  <c r="R491" i="12"/>
  <c r="Q491" i="12"/>
  <c r="P491" i="12"/>
  <c r="O491" i="12"/>
  <c r="N491" i="12"/>
  <c r="M491" i="12"/>
  <c r="L491" i="12"/>
  <c r="K491" i="12"/>
  <c r="I491" i="12"/>
  <c r="H491" i="12"/>
  <c r="J491" i="12" s="1"/>
  <c r="G491" i="12"/>
  <c r="F491" i="12"/>
  <c r="R490" i="12"/>
  <c r="Q490" i="12"/>
  <c r="P490" i="12"/>
  <c r="O490" i="12"/>
  <c r="N490" i="12"/>
  <c r="M490" i="12"/>
  <c r="L490" i="12"/>
  <c r="K490" i="12"/>
  <c r="I490" i="12"/>
  <c r="H490" i="12"/>
  <c r="J490" i="12" s="1"/>
  <c r="G490" i="12"/>
  <c r="F490" i="12"/>
  <c r="R489" i="12"/>
  <c r="Q489" i="12"/>
  <c r="P489" i="12"/>
  <c r="O489" i="12"/>
  <c r="N489" i="12"/>
  <c r="L489" i="12"/>
  <c r="K489" i="12"/>
  <c r="M489" i="12" s="1"/>
  <c r="J489" i="12"/>
  <c r="I489" i="12"/>
  <c r="H489" i="12"/>
  <c r="G489" i="12"/>
  <c r="F489" i="12"/>
  <c r="R488" i="12"/>
  <c r="Q488" i="12"/>
  <c r="P488" i="12"/>
  <c r="O488" i="12"/>
  <c r="N488" i="12"/>
  <c r="L488" i="12"/>
  <c r="K488" i="12"/>
  <c r="M488" i="12" s="1"/>
  <c r="I488" i="12"/>
  <c r="H488" i="12"/>
  <c r="J488" i="12" s="1"/>
  <c r="G488" i="12"/>
  <c r="F488" i="12"/>
  <c r="R487" i="12"/>
  <c r="Q487" i="12"/>
  <c r="P487" i="12"/>
  <c r="O487" i="12"/>
  <c r="N487" i="12"/>
  <c r="L487" i="12"/>
  <c r="K487" i="12"/>
  <c r="M487" i="12" s="1"/>
  <c r="J487" i="12"/>
  <c r="I487" i="12"/>
  <c r="H487" i="12"/>
  <c r="G487" i="12"/>
  <c r="F487" i="12"/>
  <c r="R486" i="12"/>
  <c r="Q486" i="12"/>
  <c r="P486" i="12"/>
  <c r="O486" i="12"/>
  <c r="N486" i="12"/>
  <c r="M486" i="12"/>
  <c r="L486" i="12"/>
  <c r="K486" i="12"/>
  <c r="J486" i="12"/>
  <c r="I486" i="12"/>
  <c r="H486" i="12"/>
  <c r="G486" i="12"/>
  <c r="F486" i="12"/>
  <c r="R485" i="12"/>
  <c r="Q485" i="12"/>
  <c r="P485" i="12"/>
  <c r="O485" i="12"/>
  <c r="N485" i="12"/>
  <c r="L485" i="12"/>
  <c r="K485" i="12"/>
  <c r="M485" i="12" s="1"/>
  <c r="I485" i="12"/>
  <c r="H485" i="12"/>
  <c r="J485" i="12" s="1"/>
  <c r="G485" i="12"/>
  <c r="F485" i="12"/>
  <c r="R484" i="12"/>
  <c r="Q484" i="12"/>
  <c r="P484" i="12"/>
  <c r="O484" i="12"/>
  <c r="N484" i="12"/>
  <c r="M484" i="12"/>
  <c r="L484" i="12"/>
  <c r="K484" i="12"/>
  <c r="I484" i="12"/>
  <c r="H484" i="12"/>
  <c r="J484" i="12" s="1"/>
  <c r="G484" i="12"/>
  <c r="F484" i="12"/>
  <c r="R483" i="12"/>
  <c r="Q483" i="12"/>
  <c r="P483" i="12"/>
  <c r="O483" i="12"/>
  <c r="N483" i="12"/>
  <c r="M483" i="12"/>
  <c r="L483" i="12"/>
  <c r="K483" i="12"/>
  <c r="I483" i="12"/>
  <c r="H483" i="12"/>
  <c r="J483" i="12" s="1"/>
  <c r="G483" i="12"/>
  <c r="F483" i="12"/>
  <c r="R482" i="12"/>
  <c r="Q482" i="12"/>
  <c r="P482" i="12"/>
  <c r="O482" i="12"/>
  <c r="N482" i="12"/>
  <c r="L482" i="12"/>
  <c r="K482" i="12"/>
  <c r="M482" i="12" s="1"/>
  <c r="J482" i="12"/>
  <c r="I482" i="12"/>
  <c r="H482" i="12"/>
  <c r="G482" i="12"/>
  <c r="F482" i="12"/>
  <c r="R481" i="12"/>
  <c r="Q481" i="12"/>
  <c r="P481" i="12"/>
  <c r="O481" i="12"/>
  <c r="N481" i="12"/>
  <c r="L481" i="12"/>
  <c r="K481" i="12"/>
  <c r="M481" i="12" s="1"/>
  <c r="J481" i="12"/>
  <c r="I481" i="12"/>
  <c r="H481" i="12"/>
  <c r="G481" i="12"/>
  <c r="F481" i="12"/>
  <c r="R480" i="12"/>
  <c r="Q480" i="12"/>
  <c r="P480" i="12"/>
  <c r="O480" i="12"/>
  <c r="N480" i="12"/>
  <c r="L480" i="12"/>
  <c r="K480" i="12"/>
  <c r="M480" i="12" s="1"/>
  <c r="I480" i="12"/>
  <c r="H480" i="12"/>
  <c r="J480" i="12" s="1"/>
  <c r="G480" i="12"/>
  <c r="F480" i="12"/>
  <c r="R479" i="12"/>
  <c r="Q479" i="12"/>
  <c r="P479" i="12"/>
  <c r="O479" i="12"/>
  <c r="N479" i="12"/>
  <c r="M479" i="12"/>
  <c r="L479" i="12"/>
  <c r="K479" i="12"/>
  <c r="I479" i="12"/>
  <c r="H479" i="12"/>
  <c r="J479" i="12" s="1"/>
  <c r="G479" i="12"/>
  <c r="F479" i="12"/>
  <c r="R478" i="12"/>
  <c r="Q478" i="12"/>
  <c r="P478" i="12"/>
  <c r="O478" i="12"/>
  <c r="N478" i="12"/>
  <c r="M478" i="12"/>
  <c r="L478" i="12"/>
  <c r="K478" i="12"/>
  <c r="I478" i="12"/>
  <c r="H478" i="12"/>
  <c r="J478" i="12" s="1"/>
  <c r="G478" i="12"/>
  <c r="F478" i="12"/>
  <c r="R477" i="12"/>
  <c r="Q477" i="12"/>
  <c r="P477" i="12"/>
  <c r="O477" i="12"/>
  <c r="N477" i="12"/>
  <c r="L477" i="12"/>
  <c r="K477" i="12"/>
  <c r="M477" i="12" s="1"/>
  <c r="J477" i="12"/>
  <c r="I477" i="12"/>
  <c r="H477" i="12"/>
  <c r="G477" i="12"/>
  <c r="F477" i="12"/>
  <c r="R476" i="12"/>
  <c r="Q476" i="12"/>
  <c r="P476" i="12"/>
  <c r="O476" i="12"/>
  <c r="N476" i="12"/>
  <c r="L476" i="12"/>
  <c r="K476" i="12"/>
  <c r="M476" i="12" s="1"/>
  <c r="I476" i="12"/>
  <c r="H476" i="12"/>
  <c r="J476" i="12" s="1"/>
  <c r="G476" i="12"/>
  <c r="F476" i="12"/>
  <c r="R475" i="12"/>
  <c r="Q475" i="12"/>
  <c r="P475" i="12"/>
  <c r="O475" i="12"/>
  <c r="N475" i="12"/>
  <c r="L475" i="12"/>
  <c r="K475" i="12"/>
  <c r="M475" i="12" s="1"/>
  <c r="J475" i="12"/>
  <c r="I475" i="12"/>
  <c r="H475" i="12"/>
  <c r="G475" i="12"/>
  <c r="F475" i="12"/>
  <c r="R474" i="12"/>
  <c r="Q474" i="12"/>
  <c r="P474" i="12"/>
  <c r="O474" i="12"/>
  <c r="N474" i="12"/>
  <c r="M474" i="12"/>
  <c r="L474" i="12"/>
  <c r="K474" i="12"/>
  <c r="J474" i="12"/>
  <c r="I474" i="12"/>
  <c r="H474" i="12"/>
  <c r="G474" i="12"/>
  <c r="F474" i="12"/>
  <c r="R473" i="12"/>
  <c r="Q473" i="12"/>
  <c r="P473" i="12"/>
  <c r="O473" i="12"/>
  <c r="N473" i="12"/>
  <c r="L473" i="12"/>
  <c r="K473" i="12"/>
  <c r="M473" i="12" s="1"/>
  <c r="I473" i="12"/>
  <c r="H473" i="12"/>
  <c r="J473" i="12" s="1"/>
  <c r="G473" i="12"/>
  <c r="F473" i="12"/>
  <c r="R472" i="12"/>
  <c r="Q472" i="12"/>
  <c r="P472" i="12"/>
  <c r="O472" i="12"/>
  <c r="N472" i="12"/>
  <c r="M472" i="12"/>
  <c r="L472" i="12"/>
  <c r="K472" i="12"/>
  <c r="I472" i="12"/>
  <c r="H472" i="12"/>
  <c r="J472" i="12" s="1"/>
  <c r="G472" i="12"/>
  <c r="F472" i="12"/>
  <c r="R471" i="12"/>
  <c r="Q471" i="12"/>
  <c r="P471" i="12"/>
  <c r="O471" i="12"/>
  <c r="N471" i="12"/>
  <c r="M471" i="12"/>
  <c r="L471" i="12"/>
  <c r="K471" i="12"/>
  <c r="I471" i="12"/>
  <c r="H471" i="12"/>
  <c r="J471" i="12" s="1"/>
  <c r="G471" i="12"/>
  <c r="F471" i="12"/>
  <c r="R470" i="12"/>
  <c r="Q470" i="12"/>
  <c r="P470" i="12"/>
  <c r="O470" i="12"/>
  <c r="N470" i="12"/>
  <c r="L470" i="12"/>
  <c r="K470" i="12"/>
  <c r="M470" i="12" s="1"/>
  <c r="J470" i="12"/>
  <c r="I470" i="12"/>
  <c r="H470" i="12"/>
  <c r="G470" i="12"/>
  <c r="F470" i="12"/>
  <c r="R469" i="12"/>
  <c r="Q469" i="12"/>
  <c r="P469" i="12"/>
  <c r="O469" i="12"/>
  <c r="N469" i="12"/>
  <c r="L469" i="12"/>
  <c r="K469" i="12"/>
  <c r="M469" i="12" s="1"/>
  <c r="J469" i="12"/>
  <c r="I469" i="12"/>
  <c r="H469" i="12"/>
  <c r="G469" i="12"/>
  <c r="F469" i="12"/>
  <c r="R468" i="12"/>
  <c r="Q468" i="12"/>
  <c r="P468" i="12"/>
  <c r="O468" i="12"/>
  <c r="N468" i="12"/>
  <c r="L468" i="12"/>
  <c r="K468" i="12"/>
  <c r="M468" i="12" s="1"/>
  <c r="I468" i="12"/>
  <c r="H468" i="12"/>
  <c r="J468" i="12" s="1"/>
  <c r="G468" i="12"/>
  <c r="F468" i="12"/>
  <c r="R467" i="12"/>
  <c r="Q467" i="12"/>
  <c r="P467" i="12"/>
  <c r="O467" i="12"/>
  <c r="N467" i="12"/>
  <c r="M467" i="12"/>
  <c r="L467" i="12"/>
  <c r="K467" i="12"/>
  <c r="I467" i="12"/>
  <c r="H467" i="12"/>
  <c r="J467" i="12" s="1"/>
  <c r="G467" i="12"/>
  <c r="F467" i="12"/>
  <c r="R466" i="12"/>
  <c r="Q466" i="12"/>
  <c r="P466" i="12"/>
  <c r="O466" i="12"/>
  <c r="N466" i="12"/>
  <c r="M466" i="12"/>
  <c r="L466" i="12"/>
  <c r="K466" i="12"/>
  <c r="I466" i="12"/>
  <c r="H466" i="12"/>
  <c r="J466" i="12" s="1"/>
  <c r="G466" i="12"/>
  <c r="F466" i="12"/>
  <c r="R465" i="12"/>
  <c r="Q465" i="12"/>
  <c r="P465" i="12"/>
  <c r="O465" i="12"/>
  <c r="N465" i="12"/>
  <c r="L465" i="12"/>
  <c r="K465" i="12"/>
  <c r="M465" i="12" s="1"/>
  <c r="J465" i="12"/>
  <c r="I465" i="12"/>
  <c r="H465" i="12"/>
  <c r="G465" i="12"/>
  <c r="F465" i="12"/>
  <c r="R464" i="12"/>
  <c r="Q464" i="12"/>
  <c r="P464" i="12"/>
  <c r="O464" i="12"/>
  <c r="N464" i="12"/>
  <c r="L464" i="12"/>
  <c r="K464" i="12"/>
  <c r="M464" i="12" s="1"/>
  <c r="I464" i="12"/>
  <c r="H464" i="12"/>
  <c r="J464" i="12" s="1"/>
  <c r="G464" i="12"/>
  <c r="F464" i="12"/>
  <c r="R463" i="12"/>
  <c r="Q463" i="12"/>
  <c r="P463" i="12"/>
  <c r="O463" i="12"/>
  <c r="N463" i="12"/>
  <c r="L463" i="12"/>
  <c r="K463" i="12"/>
  <c r="M463" i="12" s="1"/>
  <c r="J463" i="12"/>
  <c r="I463" i="12"/>
  <c r="H463" i="12"/>
  <c r="G463" i="12"/>
  <c r="F463" i="12"/>
  <c r="R462" i="12"/>
  <c r="Q462" i="12"/>
  <c r="P462" i="12"/>
  <c r="O462" i="12"/>
  <c r="N462" i="12"/>
  <c r="M462" i="12"/>
  <c r="L462" i="12"/>
  <c r="K462" i="12"/>
  <c r="J462" i="12"/>
  <c r="I462" i="12"/>
  <c r="H462" i="12"/>
  <c r="G462" i="12"/>
  <c r="F462" i="12"/>
  <c r="R461" i="12"/>
  <c r="Q461" i="12"/>
  <c r="P461" i="12"/>
  <c r="O461" i="12"/>
  <c r="N461" i="12"/>
  <c r="L461" i="12"/>
  <c r="K461" i="12"/>
  <c r="M461" i="12" s="1"/>
  <c r="I461" i="12"/>
  <c r="H461" i="12"/>
  <c r="J461" i="12" s="1"/>
  <c r="G461" i="12"/>
  <c r="F461" i="12"/>
  <c r="R460" i="12"/>
  <c r="Q460" i="12"/>
  <c r="P460" i="12"/>
  <c r="O460" i="12"/>
  <c r="N460" i="12"/>
  <c r="M460" i="12"/>
  <c r="L460" i="12"/>
  <c r="K460" i="12"/>
  <c r="I460" i="12"/>
  <c r="H460" i="12"/>
  <c r="J460" i="12" s="1"/>
  <c r="G460" i="12"/>
  <c r="F460" i="12"/>
  <c r="R459" i="12"/>
  <c r="Q459" i="12"/>
  <c r="P459" i="12"/>
  <c r="O459" i="12"/>
  <c r="N459" i="12"/>
  <c r="M459" i="12"/>
  <c r="L459" i="12"/>
  <c r="K459" i="12"/>
  <c r="I459" i="12"/>
  <c r="H459" i="12"/>
  <c r="J459" i="12" s="1"/>
  <c r="G459" i="12"/>
  <c r="F459" i="12"/>
  <c r="R458" i="12"/>
  <c r="Q458" i="12"/>
  <c r="P458" i="12"/>
  <c r="O458" i="12"/>
  <c r="N458" i="12"/>
  <c r="L458" i="12"/>
  <c r="K458" i="12"/>
  <c r="M458" i="12" s="1"/>
  <c r="J458" i="12"/>
  <c r="I458" i="12"/>
  <c r="H458" i="12"/>
  <c r="G458" i="12"/>
  <c r="F458" i="12"/>
  <c r="R457" i="12"/>
  <c r="Q457" i="12"/>
  <c r="P457" i="12"/>
  <c r="O457" i="12"/>
  <c r="N457" i="12"/>
  <c r="L457" i="12"/>
  <c r="K457" i="12"/>
  <c r="M457" i="12" s="1"/>
  <c r="J457" i="12"/>
  <c r="I457" i="12"/>
  <c r="H457" i="12"/>
  <c r="G457" i="12"/>
  <c r="F457" i="12"/>
  <c r="R456" i="12"/>
  <c r="Q456" i="12"/>
  <c r="P456" i="12"/>
  <c r="O456" i="12"/>
  <c r="N456" i="12"/>
  <c r="L456" i="12"/>
  <c r="K456" i="12"/>
  <c r="M456" i="12" s="1"/>
  <c r="I456" i="12"/>
  <c r="H456" i="12"/>
  <c r="J456" i="12" s="1"/>
  <c r="G456" i="12"/>
  <c r="F456" i="12"/>
  <c r="R455" i="12"/>
  <c r="Q455" i="12"/>
  <c r="P455" i="12"/>
  <c r="O455" i="12"/>
  <c r="N455" i="12"/>
  <c r="M455" i="12"/>
  <c r="L455" i="12"/>
  <c r="K455" i="12"/>
  <c r="I455" i="12"/>
  <c r="H455" i="12"/>
  <c r="J455" i="12" s="1"/>
  <c r="G455" i="12"/>
  <c r="F455" i="12"/>
  <c r="R454" i="12"/>
  <c r="Q454" i="12"/>
  <c r="P454" i="12"/>
  <c r="O454" i="12"/>
  <c r="N454" i="12"/>
  <c r="M454" i="12"/>
  <c r="L454" i="12"/>
  <c r="K454" i="12"/>
  <c r="I454" i="12"/>
  <c r="H454" i="12"/>
  <c r="J454" i="12" s="1"/>
  <c r="G454" i="12"/>
  <c r="F454" i="12"/>
  <c r="R453" i="12"/>
  <c r="Q453" i="12"/>
  <c r="P453" i="12"/>
  <c r="O453" i="12"/>
  <c r="N453" i="12"/>
  <c r="L453" i="12"/>
  <c r="K453" i="12"/>
  <c r="M453" i="12" s="1"/>
  <c r="J453" i="12"/>
  <c r="I453" i="12"/>
  <c r="H453" i="12"/>
  <c r="G453" i="12"/>
  <c r="F453" i="12"/>
  <c r="R452" i="12"/>
  <c r="Q452" i="12"/>
  <c r="P452" i="12"/>
  <c r="O452" i="12"/>
  <c r="N452" i="12"/>
  <c r="L452" i="12"/>
  <c r="K452" i="12"/>
  <c r="M452" i="12" s="1"/>
  <c r="I452" i="12"/>
  <c r="H452" i="12"/>
  <c r="J452" i="12" s="1"/>
  <c r="G452" i="12"/>
  <c r="F452" i="12"/>
  <c r="R451" i="12"/>
  <c r="Q451" i="12"/>
  <c r="P451" i="12"/>
  <c r="O451" i="12"/>
  <c r="N451" i="12"/>
  <c r="L451" i="12"/>
  <c r="K451" i="12"/>
  <c r="M451" i="12" s="1"/>
  <c r="J451" i="12"/>
  <c r="I451" i="12"/>
  <c r="H451" i="12"/>
  <c r="G451" i="12"/>
  <c r="F451" i="12"/>
  <c r="R450" i="12"/>
  <c r="Q450" i="12"/>
  <c r="P450" i="12"/>
  <c r="O450" i="12"/>
  <c r="N450" i="12"/>
  <c r="M450" i="12"/>
  <c r="L450" i="12"/>
  <c r="K450" i="12"/>
  <c r="J450" i="12"/>
  <c r="I450" i="12"/>
  <c r="H450" i="12"/>
  <c r="G450" i="12"/>
  <c r="F450" i="12"/>
  <c r="R449" i="12"/>
  <c r="Q449" i="12"/>
  <c r="P449" i="12"/>
  <c r="O449" i="12"/>
  <c r="N449" i="12"/>
  <c r="L449" i="12"/>
  <c r="K449" i="12"/>
  <c r="M449" i="12" s="1"/>
  <c r="I449" i="12"/>
  <c r="H449" i="12"/>
  <c r="J449" i="12" s="1"/>
  <c r="G449" i="12"/>
  <c r="F449" i="12"/>
  <c r="R448" i="12"/>
  <c r="Q448" i="12"/>
  <c r="P448" i="12"/>
  <c r="O448" i="12"/>
  <c r="N448" i="12"/>
  <c r="M448" i="12"/>
  <c r="L448" i="12"/>
  <c r="K448" i="12"/>
  <c r="I448" i="12"/>
  <c r="H448" i="12"/>
  <c r="J448" i="12" s="1"/>
  <c r="G448" i="12"/>
  <c r="F448" i="12"/>
  <c r="R447" i="12"/>
  <c r="Q447" i="12"/>
  <c r="P447" i="12"/>
  <c r="O447" i="12"/>
  <c r="N447" i="12"/>
  <c r="M447" i="12"/>
  <c r="L447" i="12"/>
  <c r="K447" i="12"/>
  <c r="I447" i="12"/>
  <c r="H447" i="12"/>
  <c r="J447" i="12" s="1"/>
  <c r="G447" i="12"/>
  <c r="F447" i="12"/>
  <c r="R446" i="12"/>
  <c r="Q446" i="12"/>
  <c r="P446" i="12"/>
  <c r="O446" i="12"/>
  <c r="N446" i="12"/>
  <c r="L446" i="12"/>
  <c r="K446" i="12"/>
  <c r="M446" i="12" s="1"/>
  <c r="J446" i="12"/>
  <c r="I446" i="12"/>
  <c r="H446" i="12"/>
  <c r="G446" i="12"/>
  <c r="F446" i="12"/>
  <c r="R445" i="12"/>
  <c r="Q445" i="12"/>
  <c r="P445" i="12"/>
  <c r="O445" i="12"/>
  <c r="N445" i="12"/>
  <c r="L445" i="12"/>
  <c r="K445" i="12"/>
  <c r="M445" i="12" s="1"/>
  <c r="J445" i="12"/>
  <c r="I445" i="12"/>
  <c r="H445" i="12"/>
  <c r="G445" i="12"/>
  <c r="F445" i="12"/>
  <c r="R444" i="12"/>
  <c r="Q444" i="12"/>
  <c r="P444" i="12"/>
  <c r="O444" i="12"/>
  <c r="N444" i="12"/>
  <c r="L444" i="12"/>
  <c r="K444" i="12"/>
  <c r="M444" i="12" s="1"/>
  <c r="I444" i="12"/>
  <c r="H444" i="12"/>
  <c r="J444" i="12" s="1"/>
  <c r="G444" i="12"/>
  <c r="F444" i="12"/>
  <c r="R443" i="12"/>
  <c r="Q443" i="12"/>
  <c r="P443" i="12"/>
  <c r="O443" i="12"/>
  <c r="N443" i="12"/>
  <c r="M443" i="12"/>
  <c r="L443" i="12"/>
  <c r="K443" i="12"/>
  <c r="I443" i="12"/>
  <c r="H443" i="12"/>
  <c r="J443" i="12" s="1"/>
  <c r="G443" i="12"/>
  <c r="F443" i="12"/>
  <c r="R442" i="12"/>
  <c r="Q442" i="12"/>
  <c r="P442" i="12"/>
  <c r="O442" i="12"/>
  <c r="N442" i="12"/>
  <c r="M442" i="12"/>
  <c r="L442" i="12"/>
  <c r="K442" i="12"/>
  <c r="I442" i="12"/>
  <c r="H442" i="12"/>
  <c r="J442" i="12" s="1"/>
  <c r="G442" i="12"/>
  <c r="F442" i="12"/>
  <c r="R441" i="12"/>
  <c r="Q441" i="12"/>
  <c r="P441" i="12"/>
  <c r="O441" i="12"/>
  <c r="N441" i="12"/>
  <c r="L441" i="12"/>
  <c r="K441" i="12"/>
  <c r="M441" i="12" s="1"/>
  <c r="J441" i="12"/>
  <c r="I441" i="12"/>
  <c r="H441" i="12"/>
  <c r="G441" i="12"/>
  <c r="F441" i="12"/>
  <c r="R440" i="12"/>
  <c r="Q440" i="12"/>
  <c r="P440" i="12"/>
  <c r="O440" i="12"/>
  <c r="N440" i="12"/>
  <c r="L440" i="12"/>
  <c r="K440" i="12"/>
  <c r="M440" i="12" s="1"/>
  <c r="I440" i="12"/>
  <c r="H440" i="12"/>
  <c r="J440" i="12" s="1"/>
  <c r="G440" i="12"/>
  <c r="F440" i="12"/>
  <c r="R439" i="12"/>
  <c r="Q439" i="12"/>
  <c r="P439" i="12"/>
  <c r="O439" i="12"/>
  <c r="N439" i="12"/>
  <c r="L439" i="12"/>
  <c r="K439" i="12"/>
  <c r="M439" i="12" s="1"/>
  <c r="J439" i="12"/>
  <c r="I439" i="12"/>
  <c r="H439" i="12"/>
  <c r="G439" i="12"/>
  <c r="F439" i="12"/>
  <c r="R438" i="12"/>
  <c r="Q438" i="12"/>
  <c r="P438" i="12"/>
  <c r="O438" i="12"/>
  <c r="N438" i="12"/>
  <c r="M438" i="12"/>
  <c r="L438" i="12"/>
  <c r="K438" i="12"/>
  <c r="J438" i="12"/>
  <c r="I438" i="12"/>
  <c r="H438" i="12"/>
  <c r="G438" i="12"/>
  <c r="F438" i="12"/>
  <c r="R437" i="12"/>
  <c r="Q437" i="12"/>
  <c r="P437" i="12"/>
  <c r="O437" i="12"/>
  <c r="N437" i="12"/>
  <c r="L437" i="12"/>
  <c r="K437" i="12"/>
  <c r="M437" i="12" s="1"/>
  <c r="I437" i="12"/>
  <c r="H437" i="12"/>
  <c r="J437" i="12" s="1"/>
  <c r="G437" i="12"/>
  <c r="F437" i="12"/>
  <c r="R436" i="12"/>
  <c r="Q436" i="12"/>
  <c r="P436" i="12"/>
  <c r="O436" i="12"/>
  <c r="N436" i="12"/>
  <c r="M436" i="12"/>
  <c r="L436" i="12"/>
  <c r="K436" i="12"/>
  <c r="I436" i="12"/>
  <c r="H436" i="12"/>
  <c r="J436" i="12" s="1"/>
  <c r="G436" i="12"/>
  <c r="F436" i="12"/>
  <c r="R435" i="12"/>
  <c r="Q435" i="12"/>
  <c r="P435" i="12"/>
  <c r="O435" i="12"/>
  <c r="N435" i="12"/>
  <c r="M435" i="12"/>
  <c r="L435" i="12"/>
  <c r="K435" i="12"/>
  <c r="I435" i="12"/>
  <c r="H435" i="12"/>
  <c r="J435" i="12" s="1"/>
  <c r="G435" i="12"/>
  <c r="F435" i="12"/>
  <c r="R434" i="12"/>
  <c r="Q434" i="12"/>
  <c r="P434" i="12"/>
  <c r="O434" i="12"/>
  <c r="N434" i="12"/>
  <c r="L434" i="12"/>
  <c r="K434" i="12"/>
  <c r="M434" i="12" s="1"/>
  <c r="J434" i="12"/>
  <c r="I434" i="12"/>
  <c r="H434" i="12"/>
  <c r="G434" i="12"/>
  <c r="F434" i="12"/>
  <c r="R433" i="12"/>
  <c r="Q433" i="12"/>
  <c r="P433" i="12"/>
  <c r="O433" i="12"/>
  <c r="N433" i="12"/>
  <c r="L433" i="12"/>
  <c r="K433" i="12"/>
  <c r="M433" i="12" s="1"/>
  <c r="J433" i="12"/>
  <c r="I433" i="12"/>
  <c r="H433" i="12"/>
  <c r="G433" i="12"/>
  <c r="F433" i="12"/>
  <c r="R432" i="12"/>
  <c r="Q432" i="12"/>
  <c r="P432" i="12"/>
  <c r="O432" i="12"/>
  <c r="N432" i="12"/>
  <c r="L432" i="12"/>
  <c r="K432" i="12"/>
  <c r="M432" i="12" s="1"/>
  <c r="I432" i="12"/>
  <c r="H432" i="12"/>
  <c r="J432" i="12" s="1"/>
  <c r="G432" i="12"/>
  <c r="F432" i="12"/>
  <c r="R431" i="12"/>
  <c r="Q431" i="12"/>
  <c r="P431" i="12"/>
  <c r="O431" i="12"/>
  <c r="N431" i="12"/>
  <c r="M431" i="12"/>
  <c r="L431" i="12"/>
  <c r="K431" i="12"/>
  <c r="I431" i="12"/>
  <c r="H431" i="12"/>
  <c r="J431" i="12" s="1"/>
  <c r="G431" i="12"/>
  <c r="F431" i="12"/>
  <c r="R430" i="12"/>
  <c r="Q430" i="12"/>
  <c r="P430" i="12"/>
  <c r="O430" i="12"/>
  <c r="N430" i="12"/>
  <c r="M430" i="12"/>
  <c r="L430" i="12"/>
  <c r="K430" i="12"/>
  <c r="I430" i="12"/>
  <c r="H430" i="12"/>
  <c r="J430" i="12" s="1"/>
  <c r="G430" i="12"/>
  <c r="F430" i="12"/>
  <c r="R429" i="12"/>
  <c r="Q429" i="12"/>
  <c r="P429" i="12"/>
  <c r="O429" i="12"/>
  <c r="N429" i="12"/>
  <c r="L429" i="12"/>
  <c r="K429" i="12"/>
  <c r="M429" i="12" s="1"/>
  <c r="J429" i="12"/>
  <c r="I429" i="12"/>
  <c r="H429" i="12"/>
  <c r="G429" i="12"/>
  <c r="F429" i="12"/>
  <c r="R428" i="12"/>
  <c r="Q428" i="12"/>
  <c r="P428" i="12"/>
  <c r="O428" i="12"/>
  <c r="N428" i="12"/>
  <c r="L428" i="12"/>
  <c r="K428" i="12"/>
  <c r="M428" i="12" s="1"/>
  <c r="I428" i="12"/>
  <c r="H428" i="12"/>
  <c r="J428" i="12" s="1"/>
  <c r="G428" i="12"/>
  <c r="F428" i="12"/>
  <c r="R427" i="12"/>
  <c r="Q427" i="12"/>
  <c r="P427" i="12"/>
  <c r="O427" i="12"/>
  <c r="N427" i="12"/>
  <c r="L427" i="12"/>
  <c r="K427" i="12"/>
  <c r="M427" i="12" s="1"/>
  <c r="J427" i="12"/>
  <c r="I427" i="12"/>
  <c r="H427" i="12"/>
  <c r="G427" i="12"/>
  <c r="F427" i="12"/>
  <c r="R426" i="12"/>
  <c r="Q426" i="12"/>
  <c r="P426" i="12"/>
  <c r="O426" i="12"/>
  <c r="N426" i="12"/>
  <c r="M426" i="12"/>
  <c r="L426" i="12"/>
  <c r="K426" i="12"/>
  <c r="J426" i="12"/>
  <c r="I426" i="12"/>
  <c r="H426" i="12"/>
  <c r="G426" i="12"/>
  <c r="F426" i="12"/>
  <c r="R425" i="12"/>
  <c r="Q425" i="12"/>
  <c r="P425" i="12"/>
  <c r="O425" i="12"/>
  <c r="N425" i="12"/>
  <c r="L425" i="12"/>
  <c r="K425" i="12"/>
  <c r="M425" i="12" s="1"/>
  <c r="I425" i="12"/>
  <c r="H425" i="12"/>
  <c r="J425" i="12" s="1"/>
  <c r="G425" i="12"/>
  <c r="F425" i="12"/>
  <c r="R424" i="12"/>
  <c r="Q424" i="12"/>
  <c r="P424" i="12"/>
  <c r="O424" i="12"/>
  <c r="N424" i="12"/>
  <c r="M424" i="12"/>
  <c r="L424" i="12"/>
  <c r="K424" i="12"/>
  <c r="I424" i="12"/>
  <c r="H424" i="12"/>
  <c r="J424" i="12" s="1"/>
  <c r="G424" i="12"/>
  <c r="F424" i="12"/>
  <c r="R423" i="12"/>
  <c r="Q423" i="12"/>
  <c r="P423" i="12"/>
  <c r="O423" i="12"/>
  <c r="N423" i="12"/>
  <c r="M423" i="12"/>
  <c r="L423" i="12"/>
  <c r="K423" i="12"/>
  <c r="I423" i="12"/>
  <c r="H423" i="12"/>
  <c r="J423" i="12" s="1"/>
  <c r="G423" i="12"/>
  <c r="F423" i="12"/>
  <c r="R422" i="12"/>
  <c r="Q422" i="12"/>
  <c r="P422" i="12"/>
  <c r="O422" i="12"/>
  <c r="N422" i="12"/>
  <c r="L422" i="12"/>
  <c r="K422" i="12"/>
  <c r="M422" i="12" s="1"/>
  <c r="J422" i="12"/>
  <c r="I422" i="12"/>
  <c r="H422" i="12"/>
  <c r="G422" i="12"/>
  <c r="F422" i="12"/>
  <c r="R421" i="12"/>
  <c r="Q421" i="12"/>
  <c r="P421" i="12"/>
  <c r="O421" i="12"/>
  <c r="N421" i="12"/>
  <c r="L421" i="12"/>
  <c r="K421" i="12"/>
  <c r="M421" i="12" s="1"/>
  <c r="J421" i="12"/>
  <c r="I421" i="12"/>
  <c r="H421" i="12"/>
  <c r="G421" i="12"/>
  <c r="F421" i="12"/>
  <c r="R420" i="12"/>
  <c r="Q420" i="12"/>
  <c r="P420" i="12"/>
  <c r="O420" i="12"/>
  <c r="N420" i="12"/>
  <c r="L420" i="12"/>
  <c r="K420" i="12"/>
  <c r="M420" i="12" s="1"/>
  <c r="I420" i="12"/>
  <c r="H420" i="12"/>
  <c r="J420" i="12" s="1"/>
  <c r="G420" i="12"/>
  <c r="F420" i="12"/>
  <c r="R419" i="12"/>
  <c r="Q419" i="12"/>
  <c r="P419" i="12"/>
  <c r="O419" i="12"/>
  <c r="N419" i="12"/>
  <c r="M419" i="12"/>
  <c r="L419" i="12"/>
  <c r="K419" i="12"/>
  <c r="I419" i="12"/>
  <c r="H419" i="12"/>
  <c r="J419" i="12" s="1"/>
  <c r="G419" i="12"/>
  <c r="F419" i="12"/>
  <c r="R418" i="12"/>
  <c r="Q418" i="12"/>
  <c r="P418" i="12"/>
  <c r="O418" i="12"/>
  <c r="N418" i="12"/>
  <c r="M418" i="12"/>
  <c r="L418" i="12"/>
  <c r="K418" i="12"/>
  <c r="I418" i="12"/>
  <c r="H418" i="12"/>
  <c r="J418" i="12" s="1"/>
  <c r="G418" i="12"/>
  <c r="F418" i="12"/>
  <c r="R417" i="12"/>
  <c r="Q417" i="12"/>
  <c r="P417" i="12"/>
  <c r="O417" i="12"/>
  <c r="N417" i="12"/>
  <c r="L417" i="12"/>
  <c r="K417" i="12"/>
  <c r="M417" i="12" s="1"/>
  <c r="J417" i="12"/>
  <c r="I417" i="12"/>
  <c r="H417" i="12"/>
  <c r="G417" i="12"/>
  <c r="F417" i="12"/>
  <c r="R416" i="12"/>
  <c r="Q416" i="12"/>
  <c r="P416" i="12"/>
  <c r="O416" i="12"/>
  <c r="N416" i="12"/>
  <c r="L416" i="12"/>
  <c r="K416" i="12"/>
  <c r="M416" i="12" s="1"/>
  <c r="I416" i="12"/>
  <c r="H416" i="12"/>
  <c r="J416" i="12" s="1"/>
  <c r="G416" i="12"/>
  <c r="F416" i="12"/>
  <c r="R415" i="12"/>
  <c r="Q415" i="12"/>
  <c r="P415" i="12"/>
  <c r="O415" i="12"/>
  <c r="N415" i="12"/>
  <c r="L415" i="12"/>
  <c r="K415" i="12"/>
  <c r="M415" i="12" s="1"/>
  <c r="J415" i="12"/>
  <c r="I415" i="12"/>
  <c r="H415" i="12"/>
  <c r="G415" i="12"/>
  <c r="F415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R413" i="12"/>
  <c r="Q413" i="12"/>
  <c r="P413" i="12"/>
  <c r="O413" i="12"/>
  <c r="N413" i="12"/>
  <c r="L413" i="12"/>
  <c r="K413" i="12"/>
  <c r="M413" i="12" s="1"/>
  <c r="I413" i="12"/>
  <c r="H413" i="12"/>
  <c r="J413" i="12" s="1"/>
  <c r="G413" i="12"/>
  <c r="F413" i="12"/>
  <c r="R412" i="12"/>
  <c r="Q412" i="12"/>
  <c r="P412" i="12"/>
  <c r="O412" i="12"/>
  <c r="N412" i="12"/>
  <c r="M412" i="12"/>
  <c r="L412" i="12"/>
  <c r="K412" i="12"/>
  <c r="I412" i="12"/>
  <c r="H412" i="12"/>
  <c r="J412" i="12" s="1"/>
  <c r="G412" i="12"/>
  <c r="F412" i="12"/>
  <c r="R411" i="12"/>
  <c r="Q411" i="12"/>
  <c r="P411" i="12"/>
  <c r="O411" i="12"/>
  <c r="N411" i="12"/>
  <c r="M411" i="12"/>
  <c r="L411" i="12"/>
  <c r="K411" i="12"/>
  <c r="I411" i="12"/>
  <c r="H411" i="12"/>
  <c r="J411" i="12" s="1"/>
  <c r="G411" i="12"/>
  <c r="F411" i="12"/>
  <c r="R410" i="12"/>
  <c r="Q410" i="12"/>
  <c r="P410" i="12"/>
  <c r="O410" i="12"/>
  <c r="N410" i="12"/>
  <c r="L410" i="12"/>
  <c r="K410" i="12"/>
  <c r="M410" i="12" s="1"/>
  <c r="J410" i="12"/>
  <c r="I410" i="12"/>
  <c r="H410" i="12"/>
  <c r="G410" i="12"/>
  <c r="F410" i="12"/>
  <c r="R409" i="12"/>
  <c r="Q409" i="12"/>
  <c r="P409" i="12"/>
  <c r="O409" i="12"/>
  <c r="N409" i="12"/>
  <c r="L409" i="12"/>
  <c r="K409" i="12"/>
  <c r="M409" i="12" s="1"/>
  <c r="J409" i="12"/>
  <c r="I409" i="12"/>
  <c r="H409" i="12"/>
  <c r="G409" i="12"/>
  <c r="F409" i="12"/>
  <c r="R408" i="12"/>
  <c r="Q408" i="12"/>
  <c r="P408" i="12"/>
  <c r="O408" i="12"/>
  <c r="N408" i="12"/>
  <c r="L408" i="12"/>
  <c r="K408" i="12"/>
  <c r="M408" i="12" s="1"/>
  <c r="I408" i="12"/>
  <c r="H408" i="12"/>
  <c r="J408" i="12" s="1"/>
  <c r="G408" i="12"/>
  <c r="F408" i="12"/>
  <c r="R407" i="12"/>
  <c r="Q407" i="12"/>
  <c r="P407" i="12"/>
  <c r="O407" i="12"/>
  <c r="N407" i="12"/>
  <c r="M407" i="12"/>
  <c r="L407" i="12"/>
  <c r="K407" i="12"/>
  <c r="I407" i="12"/>
  <c r="H407" i="12"/>
  <c r="J407" i="12" s="1"/>
  <c r="G407" i="12"/>
  <c r="F407" i="12"/>
  <c r="R406" i="12"/>
  <c r="Q406" i="12"/>
  <c r="P406" i="12"/>
  <c r="O406" i="12"/>
  <c r="N406" i="12"/>
  <c r="M406" i="12"/>
  <c r="L406" i="12"/>
  <c r="K406" i="12"/>
  <c r="I406" i="12"/>
  <c r="H406" i="12"/>
  <c r="J406" i="12" s="1"/>
  <c r="G406" i="12"/>
  <c r="F406" i="12"/>
  <c r="R405" i="12"/>
  <c r="Q405" i="12"/>
  <c r="P405" i="12"/>
  <c r="O405" i="12"/>
  <c r="N405" i="12"/>
  <c r="L405" i="12"/>
  <c r="K405" i="12"/>
  <c r="M405" i="12" s="1"/>
  <c r="J405" i="12"/>
  <c r="I405" i="12"/>
  <c r="H405" i="12"/>
  <c r="G405" i="12"/>
  <c r="F405" i="12"/>
  <c r="R404" i="12"/>
  <c r="Q404" i="12"/>
  <c r="P404" i="12"/>
  <c r="O404" i="12"/>
  <c r="N404" i="12"/>
  <c r="L404" i="12"/>
  <c r="K404" i="12"/>
  <c r="M404" i="12" s="1"/>
  <c r="I404" i="12"/>
  <c r="H404" i="12"/>
  <c r="J404" i="12" s="1"/>
  <c r="G404" i="12"/>
  <c r="F404" i="12"/>
  <c r="R403" i="12"/>
  <c r="Q403" i="12"/>
  <c r="P403" i="12"/>
  <c r="O403" i="12"/>
  <c r="N403" i="12"/>
  <c r="L403" i="12"/>
  <c r="K403" i="12"/>
  <c r="M403" i="12" s="1"/>
  <c r="J403" i="12"/>
  <c r="I403" i="12"/>
  <c r="H403" i="12"/>
  <c r="G403" i="12"/>
  <c r="F403" i="12"/>
  <c r="R402" i="12"/>
  <c r="Q402" i="12"/>
  <c r="P402" i="12"/>
  <c r="O402" i="12"/>
  <c r="N402" i="12"/>
  <c r="M402" i="12"/>
  <c r="L402" i="12"/>
  <c r="K402" i="12"/>
  <c r="J402" i="12"/>
  <c r="I402" i="12"/>
  <c r="H402" i="12"/>
  <c r="G402" i="12"/>
  <c r="F402" i="12"/>
  <c r="R401" i="12"/>
  <c r="Q401" i="12"/>
  <c r="P401" i="12"/>
  <c r="O401" i="12"/>
  <c r="N401" i="12"/>
  <c r="L401" i="12"/>
  <c r="K401" i="12"/>
  <c r="M401" i="12" s="1"/>
  <c r="I401" i="12"/>
  <c r="H401" i="12"/>
  <c r="J401" i="12" s="1"/>
  <c r="G401" i="12"/>
  <c r="F401" i="12"/>
  <c r="R400" i="12"/>
  <c r="Q400" i="12"/>
  <c r="P400" i="12"/>
  <c r="O400" i="12"/>
  <c r="N400" i="12"/>
  <c r="M400" i="12"/>
  <c r="L400" i="12"/>
  <c r="K400" i="12"/>
  <c r="I400" i="12"/>
  <c r="H400" i="12"/>
  <c r="J400" i="12" s="1"/>
  <c r="G400" i="12"/>
  <c r="F400" i="12"/>
  <c r="R399" i="12"/>
  <c r="Q399" i="12"/>
  <c r="P399" i="12"/>
  <c r="O399" i="12"/>
  <c r="N399" i="12"/>
  <c r="M399" i="12"/>
  <c r="L399" i="12"/>
  <c r="K399" i="12"/>
  <c r="I399" i="12"/>
  <c r="H399" i="12"/>
  <c r="J399" i="12" s="1"/>
  <c r="G399" i="12"/>
  <c r="F399" i="12"/>
  <c r="R398" i="12"/>
  <c r="Q398" i="12"/>
  <c r="P398" i="12"/>
  <c r="O398" i="12"/>
  <c r="N398" i="12"/>
  <c r="L398" i="12"/>
  <c r="K398" i="12"/>
  <c r="M398" i="12" s="1"/>
  <c r="J398" i="12"/>
  <c r="I398" i="12"/>
  <c r="H398" i="12"/>
  <c r="G398" i="12"/>
  <c r="F398" i="12"/>
  <c r="R397" i="12"/>
  <c r="Q397" i="12"/>
  <c r="P397" i="12"/>
  <c r="O397" i="12"/>
  <c r="N397" i="12"/>
  <c r="L397" i="12"/>
  <c r="K397" i="12"/>
  <c r="M397" i="12" s="1"/>
  <c r="J397" i="12"/>
  <c r="I397" i="12"/>
  <c r="H397" i="12"/>
  <c r="G397" i="12"/>
  <c r="F397" i="12"/>
  <c r="R396" i="12"/>
  <c r="Q396" i="12"/>
  <c r="P396" i="12"/>
  <c r="O396" i="12"/>
  <c r="N396" i="12"/>
  <c r="L396" i="12"/>
  <c r="K396" i="12"/>
  <c r="M396" i="12" s="1"/>
  <c r="I396" i="12"/>
  <c r="H396" i="12"/>
  <c r="J396" i="12" s="1"/>
  <c r="G396" i="12"/>
  <c r="F396" i="12"/>
  <c r="R395" i="12"/>
  <c r="Q395" i="12"/>
  <c r="P395" i="12"/>
  <c r="O395" i="12"/>
  <c r="N395" i="12"/>
  <c r="M395" i="12"/>
  <c r="L395" i="12"/>
  <c r="K395" i="12"/>
  <c r="I395" i="12"/>
  <c r="H395" i="12"/>
  <c r="J395" i="12" s="1"/>
  <c r="G395" i="12"/>
  <c r="F395" i="12"/>
  <c r="R394" i="12"/>
  <c r="Q394" i="12"/>
  <c r="P394" i="12"/>
  <c r="O394" i="12"/>
  <c r="N394" i="12"/>
  <c r="M394" i="12"/>
  <c r="L394" i="12"/>
  <c r="K394" i="12"/>
  <c r="I394" i="12"/>
  <c r="H394" i="12"/>
  <c r="J394" i="12" s="1"/>
  <c r="G394" i="12"/>
  <c r="F394" i="12"/>
  <c r="R393" i="12"/>
  <c r="Q393" i="12"/>
  <c r="P393" i="12"/>
  <c r="O393" i="12"/>
  <c r="N393" i="12"/>
  <c r="L393" i="12"/>
  <c r="K393" i="12"/>
  <c r="M393" i="12" s="1"/>
  <c r="J393" i="12"/>
  <c r="I393" i="12"/>
  <c r="H393" i="12"/>
  <c r="G393" i="12"/>
  <c r="F393" i="12"/>
  <c r="R392" i="12"/>
  <c r="Q392" i="12"/>
  <c r="P392" i="12"/>
  <c r="O392" i="12"/>
  <c r="N392" i="12"/>
  <c r="L392" i="12"/>
  <c r="K392" i="12"/>
  <c r="M392" i="12" s="1"/>
  <c r="I392" i="12"/>
  <c r="H392" i="12"/>
  <c r="J392" i="12" s="1"/>
  <c r="G392" i="12"/>
  <c r="F392" i="12"/>
  <c r="R391" i="12"/>
  <c r="Q391" i="12"/>
  <c r="P391" i="12"/>
  <c r="O391" i="12"/>
  <c r="N391" i="12"/>
  <c r="L391" i="12"/>
  <c r="K391" i="12"/>
  <c r="M391" i="12" s="1"/>
  <c r="J391" i="12"/>
  <c r="I391" i="12"/>
  <c r="H391" i="12"/>
  <c r="G391" i="12"/>
  <c r="F391" i="12"/>
  <c r="R390" i="12"/>
  <c r="Q390" i="12"/>
  <c r="P390" i="12"/>
  <c r="O390" i="12"/>
  <c r="N390" i="12"/>
  <c r="M390" i="12"/>
  <c r="L390" i="12"/>
  <c r="K390" i="12"/>
  <c r="J390" i="12"/>
  <c r="I390" i="12"/>
  <c r="H390" i="12"/>
  <c r="G390" i="12"/>
  <c r="F390" i="12"/>
  <c r="R389" i="12"/>
  <c r="Q389" i="12"/>
  <c r="P389" i="12"/>
  <c r="O389" i="12"/>
  <c r="N389" i="12"/>
  <c r="L389" i="12"/>
  <c r="K389" i="12"/>
  <c r="M389" i="12" s="1"/>
  <c r="I389" i="12"/>
  <c r="H389" i="12"/>
  <c r="J389" i="12" s="1"/>
  <c r="G389" i="12"/>
  <c r="F389" i="12"/>
  <c r="R388" i="12"/>
  <c r="Q388" i="12"/>
  <c r="P388" i="12"/>
  <c r="O388" i="12"/>
  <c r="N388" i="12"/>
  <c r="M388" i="12"/>
  <c r="L388" i="12"/>
  <c r="K388" i="12"/>
  <c r="I388" i="12"/>
  <c r="H388" i="12"/>
  <c r="J388" i="12" s="1"/>
  <c r="G388" i="12"/>
  <c r="F388" i="12"/>
  <c r="R387" i="12"/>
  <c r="Q387" i="12"/>
  <c r="P387" i="12"/>
  <c r="O387" i="12"/>
  <c r="N387" i="12"/>
  <c r="M387" i="12"/>
  <c r="L387" i="12"/>
  <c r="K387" i="12"/>
  <c r="I387" i="12"/>
  <c r="H387" i="12"/>
  <c r="J387" i="12" s="1"/>
  <c r="G387" i="12"/>
  <c r="F387" i="12"/>
  <c r="R386" i="12"/>
  <c r="Q386" i="12"/>
  <c r="P386" i="12"/>
  <c r="O386" i="12"/>
  <c r="N386" i="12"/>
  <c r="L386" i="12"/>
  <c r="K386" i="12"/>
  <c r="M386" i="12" s="1"/>
  <c r="J386" i="12"/>
  <c r="I386" i="12"/>
  <c r="H386" i="12"/>
  <c r="G386" i="12"/>
  <c r="F386" i="12"/>
  <c r="R385" i="12"/>
  <c r="Q385" i="12"/>
  <c r="P385" i="12"/>
  <c r="O385" i="12"/>
  <c r="N385" i="12"/>
  <c r="L385" i="12"/>
  <c r="K385" i="12"/>
  <c r="M385" i="12" s="1"/>
  <c r="J385" i="12"/>
  <c r="I385" i="12"/>
  <c r="H385" i="12"/>
  <c r="G385" i="12"/>
  <c r="F385" i="12"/>
  <c r="R384" i="12"/>
  <c r="Q384" i="12"/>
  <c r="P384" i="12"/>
  <c r="O384" i="12"/>
  <c r="N384" i="12"/>
  <c r="L384" i="12"/>
  <c r="K384" i="12"/>
  <c r="M384" i="12" s="1"/>
  <c r="I384" i="12"/>
  <c r="H384" i="12"/>
  <c r="J384" i="12" s="1"/>
  <c r="G384" i="12"/>
  <c r="F384" i="12"/>
  <c r="R383" i="12"/>
  <c r="Q383" i="12"/>
  <c r="P383" i="12"/>
  <c r="O383" i="12"/>
  <c r="N383" i="12"/>
  <c r="M383" i="12"/>
  <c r="L383" i="12"/>
  <c r="K383" i="12"/>
  <c r="I383" i="12"/>
  <c r="H383" i="12"/>
  <c r="J383" i="12" s="1"/>
  <c r="G383" i="12"/>
  <c r="F383" i="12"/>
  <c r="R382" i="12"/>
  <c r="Q382" i="12"/>
  <c r="P382" i="12"/>
  <c r="O382" i="12"/>
  <c r="N382" i="12"/>
  <c r="M382" i="12"/>
  <c r="L382" i="12"/>
  <c r="K382" i="12"/>
  <c r="I382" i="12"/>
  <c r="H382" i="12"/>
  <c r="J382" i="12" s="1"/>
  <c r="G382" i="12"/>
  <c r="F382" i="12"/>
  <c r="R381" i="12"/>
  <c r="Q381" i="12"/>
  <c r="P381" i="12"/>
  <c r="O381" i="12"/>
  <c r="N381" i="12"/>
  <c r="L381" i="12"/>
  <c r="K381" i="12"/>
  <c r="M381" i="12" s="1"/>
  <c r="J381" i="12"/>
  <c r="I381" i="12"/>
  <c r="H381" i="12"/>
  <c r="G381" i="12"/>
  <c r="F381" i="12"/>
  <c r="R380" i="12"/>
  <c r="Q380" i="12"/>
  <c r="P380" i="12"/>
  <c r="O380" i="12"/>
  <c r="N380" i="12"/>
  <c r="L380" i="12"/>
  <c r="K380" i="12"/>
  <c r="M380" i="12" s="1"/>
  <c r="I380" i="12"/>
  <c r="H380" i="12"/>
  <c r="J380" i="12" s="1"/>
  <c r="G380" i="12"/>
  <c r="F380" i="12"/>
  <c r="R379" i="12"/>
  <c r="Q379" i="12"/>
  <c r="P379" i="12"/>
  <c r="O379" i="12"/>
  <c r="N379" i="12"/>
  <c r="L379" i="12"/>
  <c r="K379" i="12"/>
  <c r="M379" i="12" s="1"/>
  <c r="J379" i="12"/>
  <c r="I379" i="12"/>
  <c r="H379" i="12"/>
  <c r="G379" i="12"/>
  <c r="F379" i="12"/>
  <c r="R378" i="12"/>
  <c r="Q378" i="12"/>
  <c r="P378" i="12"/>
  <c r="O378" i="12"/>
  <c r="N378" i="12"/>
  <c r="M378" i="12"/>
  <c r="L378" i="12"/>
  <c r="K378" i="12"/>
  <c r="J378" i="12"/>
  <c r="I378" i="12"/>
  <c r="H378" i="12"/>
  <c r="G378" i="12"/>
  <c r="F378" i="12"/>
  <c r="R377" i="12"/>
  <c r="Q377" i="12"/>
  <c r="P377" i="12"/>
  <c r="O377" i="12"/>
  <c r="N377" i="12"/>
  <c r="L377" i="12"/>
  <c r="K377" i="12"/>
  <c r="M377" i="12" s="1"/>
  <c r="I377" i="12"/>
  <c r="H377" i="12"/>
  <c r="J377" i="12" s="1"/>
  <c r="G377" i="12"/>
  <c r="F377" i="12"/>
  <c r="R376" i="12"/>
  <c r="Q376" i="12"/>
  <c r="P376" i="12"/>
  <c r="O376" i="12"/>
  <c r="N376" i="12"/>
  <c r="M376" i="12"/>
  <c r="L376" i="12"/>
  <c r="K376" i="12"/>
  <c r="I376" i="12"/>
  <c r="H376" i="12"/>
  <c r="J376" i="12" s="1"/>
  <c r="G376" i="12"/>
  <c r="F376" i="12"/>
  <c r="R375" i="12"/>
  <c r="Q375" i="12"/>
  <c r="P375" i="12"/>
  <c r="O375" i="12"/>
  <c r="N375" i="12"/>
  <c r="M375" i="12"/>
  <c r="L375" i="12"/>
  <c r="K375" i="12"/>
  <c r="I375" i="12"/>
  <c r="H375" i="12"/>
  <c r="J375" i="12" s="1"/>
  <c r="G375" i="12"/>
  <c r="F375" i="12"/>
  <c r="R374" i="12"/>
  <c r="Q374" i="12"/>
  <c r="P374" i="12"/>
  <c r="O374" i="12"/>
  <c r="N374" i="12"/>
  <c r="L374" i="12"/>
  <c r="K374" i="12"/>
  <c r="M374" i="12" s="1"/>
  <c r="J374" i="12"/>
  <c r="I374" i="12"/>
  <c r="H374" i="12"/>
  <c r="G374" i="12"/>
  <c r="F374" i="12"/>
  <c r="R373" i="12"/>
  <c r="Q373" i="12"/>
  <c r="P373" i="12"/>
  <c r="O373" i="12"/>
  <c r="N373" i="12"/>
  <c r="L373" i="12"/>
  <c r="K373" i="12"/>
  <c r="M373" i="12" s="1"/>
  <c r="J373" i="12"/>
  <c r="I373" i="12"/>
  <c r="H373" i="12"/>
  <c r="G373" i="12"/>
  <c r="F373" i="12"/>
  <c r="R372" i="12"/>
  <c r="Q372" i="12"/>
  <c r="P372" i="12"/>
  <c r="O372" i="12"/>
  <c r="N372" i="12"/>
  <c r="L372" i="12"/>
  <c r="K372" i="12"/>
  <c r="M372" i="12" s="1"/>
  <c r="I372" i="12"/>
  <c r="H372" i="12"/>
  <c r="J372" i="12" s="1"/>
  <c r="G372" i="12"/>
  <c r="F372" i="12"/>
  <c r="R371" i="12"/>
  <c r="Q371" i="12"/>
  <c r="P371" i="12"/>
  <c r="O371" i="12"/>
  <c r="N371" i="12"/>
  <c r="M371" i="12"/>
  <c r="L371" i="12"/>
  <c r="K371" i="12"/>
  <c r="I371" i="12"/>
  <c r="H371" i="12"/>
  <c r="J371" i="12" s="1"/>
  <c r="G371" i="12"/>
  <c r="F371" i="12"/>
  <c r="R370" i="12"/>
  <c r="Q370" i="12"/>
  <c r="P370" i="12"/>
  <c r="O370" i="12"/>
  <c r="N370" i="12"/>
  <c r="M370" i="12"/>
  <c r="L370" i="12"/>
  <c r="K370" i="12"/>
  <c r="I370" i="12"/>
  <c r="H370" i="12"/>
  <c r="J370" i="12" s="1"/>
  <c r="G370" i="12"/>
  <c r="F370" i="12"/>
  <c r="R369" i="12"/>
  <c r="Q369" i="12"/>
  <c r="P369" i="12"/>
  <c r="O369" i="12"/>
  <c r="N369" i="12"/>
  <c r="L369" i="12"/>
  <c r="K369" i="12"/>
  <c r="M369" i="12" s="1"/>
  <c r="J369" i="12"/>
  <c r="I369" i="12"/>
  <c r="H369" i="12"/>
  <c r="G369" i="12"/>
  <c r="F369" i="12"/>
  <c r="R368" i="12"/>
  <c r="Q368" i="12"/>
  <c r="P368" i="12"/>
  <c r="O368" i="12"/>
  <c r="N368" i="12"/>
  <c r="L368" i="12"/>
  <c r="K368" i="12"/>
  <c r="M368" i="12" s="1"/>
  <c r="I368" i="12"/>
  <c r="H368" i="12"/>
  <c r="J368" i="12" s="1"/>
  <c r="G368" i="12"/>
  <c r="F368" i="12"/>
  <c r="R367" i="12"/>
  <c r="Q367" i="12"/>
  <c r="P367" i="12"/>
  <c r="O367" i="12"/>
  <c r="N367" i="12"/>
  <c r="L367" i="12"/>
  <c r="K367" i="12"/>
  <c r="M367" i="12" s="1"/>
  <c r="J367" i="12"/>
  <c r="I367" i="12"/>
  <c r="H367" i="12"/>
  <c r="G367" i="12"/>
  <c r="F367" i="12"/>
  <c r="R366" i="12"/>
  <c r="Q366" i="12"/>
  <c r="P366" i="12"/>
  <c r="O366" i="12"/>
  <c r="N366" i="12"/>
  <c r="M366" i="12"/>
  <c r="L366" i="12"/>
  <c r="K366" i="12"/>
  <c r="J366" i="12"/>
  <c r="I366" i="12"/>
  <c r="H366" i="12"/>
  <c r="G366" i="12"/>
  <c r="F366" i="12"/>
  <c r="R365" i="12"/>
  <c r="Q365" i="12"/>
  <c r="P365" i="12"/>
  <c r="O365" i="12"/>
  <c r="N365" i="12"/>
  <c r="L365" i="12"/>
  <c r="K365" i="12"/>
  <c r="M365" i="12" s="1"/>
  <c r="I365" i="12"/>
  <c r="H365" i="12"/>
  <c r="J365" i="12" s="1"/>
  <c r="G365" i="12"/>
  <c r="F365" i="12"/>
  <c r="R364" i="12"/>
  <c r="Q364" i="12"/>
  <c r="P364" i="12"/>
  <c r="O364" i="12"/>
  <c r="N364" i="12"/>
  <c r="M364" i="12"/>
  <c r="L364" i="12"/>
  <c r="K364" i="12"/>
  <c r="I364" i="12"/>
  <c r="H364" i="12"/>
  <c r="J364" i="12" s="1"/>
  <c r="G364" i="12"/>
  <c r="F364" i="12"/>
  <c r="R363" i="12"/>
  <c r="Q363" i="12"/>
  <c r="P363" i="12"/>
  <c r="O363" i="12"/>
  <c r="N363" i="12"/>
  <c r="M363" i="12"/>
  <c r="L363" i="12"/>
  <c r="K363" i="12"/>
  <c r="I363" i="12"/>
  <c r="H363" i="12"/>
  <c r="J363" i="12" s="1"/>
  <c r="G363" i="12"/>
  <c r="F363" i="12"/>
  <c r="R362" i="12"/>
  <c r="Q362" i="12"/>
  <c r="P362" i="12"/>
  <c r="O362" i="12"/>
  <c r="N362" i="12"/>
  <c r="L362" i="12"/>
  <c r="K362" i="12"/>
  <c r="M362" i="12" s="1"/>
  <c r="J362" i="12"/>
  <c r="I362" i="12"/>
  <c r="H362" i="12"/>
  <c r="G362" i="12"/>
  <c r="F362" i="12"/>
  <c r="R361" i="12"/>
  <c r="Q361" i="12"/>
  <c r="P361" i="12"/>
  <c r="O361" i="12"/>
  <c r="N361" i="12"/>
  <c r="L361" i="12"/>
  <c r="K361" i="12"/>
  <c r="M361" i="12" s="1"/>
  <c r="J361" i="12"/>
  <c r="I361" i="12"/>
  <c r="H361" i="12"/>
  <c r="G361" i="12"/>
  <c r="F361" i="12"/>
  <c r="R360" i="12"/>
  <c r="Q360" i="12"/>
  <c r="P360" i="12"/>
  <c r="O360" i="12"/>
  <c r="N360" i="12"/>
  <c r="L360" i="12"/>
  <c r="K360" i="12"/>
  <c r="M360" i="12" s="1"/>
  <c r="I360" i="12"/>
  <c r="H360" i="12"/>
  <c r="J360" i="12" s="1"/>
  <c r="G360" i="12"/>
  <c r="F360" i="12"/>
  <c r="R359" i="12"/>
  <c r="Q359" i="12"/>
  <c r="P359" i="12"/>
  <c r="O359" i="12"/>
  <c r="N359" i="12"/>
  <c r="M359" i="12"/>
  <c r="L359" i="12"/>
  <c r="K359" i="12"/>
  <c r="I359" i="12"/>
  <c r="H359" i="12"/>
  <c r="J359" i="12" s="1"/>
  <c r="G359" i="12"/>
  <c r="F359" i="12"/>
  <c r="R358" i="12"/>
  <c r="Q358" i="12"/>
  <c r="P358" i="12"/>
  <c r="O358" i="12"/>
  <c r="N358" i="12"/>
  <c r="M358" i="12"/>
  <c r="L358" i="12"/>
  <c r="K358" i="12"/>
  <c r="I358" i="12"/>
  <c r="H358" i="12"/>
  <c r="J358" i="12" s="1"/>
  <c r="G358" i="12"/>
  <c r="F358" i="12"/>
  <c r="R357" i="12"/>
  <c r="Q357" i="12"/>
  <c r="P357" i="12"/>
  <c r="O357" i="12"/>
  <c r="N357" i="12"/>
  <c r="L357" i="12"/>
  <c r="K357" i="12"/>
  <c r="M357" i="12" s="1"/>
  <c r="J357" i="12"/>
  <c r="I357" i="12"/>
  <c r="H357" i="12"/>
  <c r="G357" i="12"/>
  <c r="F357" i="12"/>
  <c r="R356" i="12"/>
  <c r="Q356" i="12"/>
  <c r="P356" i="12"/>
  <c r="O356" i="12"/>
  <c r="N356" i="12"/>
  <c r="L356" i="12"/>
  <c r="K356" i="12"/>
  <c r="M356" i="12" s="1"/>
  <c r="I356" i="12"/>
  <c r="H356" i="12"/>
  <c r="J356" i="12" s="1"/>
  <c r="G356" i="12"/>
  <c r="F356" i="12"/>
  <c r="R355" i="12"/>
  <c r="Q355" i="12"/>
  <c r="P355" i="12"/>
  <c r="O355" i="12"/>
  <c r="N355" i="12"/>
  <c r="L355" i="12"/>
  <c r="K355" i="12"/>
  <c r="M355" i="12" s="1"/>
  <c r="J355" i="12"/>
  <c r="I355" i="12"/>
  <c r="H355" i="12"/>
  <c r="G355" i="12"/>
  <c r="F355" i="12"/>
  <c r="R354" i="12"/>
  <c r="Q354" i="12"/>
  <c r="P354" i="12"/>
  <c r="O354" i="12"/>
  <c r="N354" i="12"/>
  <c r="M354" i="12"/>
  <c r="L354" i="12"/>
  <c r="K354" i="12"/>
  <c r="J354" i="12"/>
  <c r="I354" i="12"/>
  <c r="H354" i="12"/>
  <c r="G354" i="12"/>
  <c r="F354" i="12"/>
  <c r="R353" i="12"/>
  <c r="Q353" i="12"/>
  <c r="P353" i="12"/>
  <c r="O353" i="12"/>
  <c r="N353" i="12"/>
  <c r="L353" i="12"/>
  <c r="K353" i="12"/>
  <c r="M353" i="12" s="1"/>
  <c r="I353" i="12"/>
  <c r="H353" i="12"/>
  <c r="J353" i="12" s="1"/>
  <c r="G353" i="12"/>
  <c r="F353" i="12"/>
  <c r="R352" i="12"/>
  <c r="Q352" i="12"/>
  <c r="P352" i="12"/>
  <c r="O352" i="12"/>
  <c r="N352" i="12"/>
  <c r="M352" i="12"/>
  <c r="L352" i="12"/>
  <c r="K352" i="12"/>
  <c r="I352" i="12"/>
  <c r="H352" i="12"/>
  <c r="J352" i="12" s="1"/>
  <c r="G352" i="12"/>
  <c r="F352" i="12"/>
  <c r="R351" i="12"/>
  <c r="Q351" i="12"/>
  <c r="P351" i="12"/>
  <c r="O351" i="12"/>
  <c r="N351" i="12"/>
  <c r="M351" i="12"/>
  <c r="L351" i="12"/>
  <c r="K351" i="12"/>
  <c r="I351" i="12"/>
  <c r="H351" i="12"/>
  <c r="J351" i="12" s="1"/>
  <c r="G351" i="12"/>
  <c r="F351" i="12"/>
  <c r="R350" i="12"/>
  <c r="Q350" i="12"/>
  <c r="P350" i="12"/>
  <c r="O350" i="12"/>
  <c r="N350" i="12"/>
  <c r="L350" i="12"/>
  <c r="K350" i="12"/>
  <c r="M350" i="12" s="1"/>
  <c r="J350" i="12"/>
  <c r="I350" i="12"/>
  <c r="H350" i="12"/>
  <c r="G350" i="12"/>
  <c r="F350" i="12"/>
  <c r="R349" i="12"/>
  <c r="Q349" i="12"/>
  <c r="P349" i="12"/>
  <c r="O349" i="12"/>
  <c r="N349" i="12"/>
  <c r="L349" i="12"/>
  <c r="K349" i="12"/>
  <c r="M349" i="12" s="1"/>
  <c r="J349" i="12"/>
  <c r="I349" i="12"/>
  <c r="H349" i="12"/>
  <c r="G349" i="12"/>
  <c r="F349" i="12"/>
  <c r="R348" i="12"/>
  <c r="Q348" i="12"/>
  <c r="P348" i="12"/>
  <c r="O348" i="12"/>
  <c r="N348" i="12"/>
  <c r="L348" i="12"/>
  <c r="K348" i="12"/>
  <c r="M348" i="12" s="1"/>
  <c r="I348" i="12"/>
  <c r="H348" i="12"/>
  <c r="J348" i="12" s="1"/>
  <c r="G348" i="12"/>
  <c r="F348" i="12"/>
  <c r="R347" i="12"/>
  <c r="Q347" i="12"/>
  <c r="P347" i="12"/>
  <c r="O347" i="12"/>
  <c r="N347" i="12"/>
  <c r="M347" i="12"/>
  <c r="L347" i="12"/>
  <c r="K347" i="12"/>
  <c r="I347" i="12"/>
  <c r="H347" i="12"/>
  <c r="J347" i="12" s="1"/>
  <c r="G347" i="12"/>
  <c r="F347" i="12"/>
  <c r="R346" i="12"/>
  <c r="Q346" i="12"/>
  <c r="P346" i="12"/>
  <c r="O346" i="12"/>
  <c r="N346" i="12"/>
  <c r="M346" i="12"/>
  <c r="L346" i="12"/>
  <c r="K346" i="12"/>
  <c r="I346" i="12"/>
  <c r="H346" i="12"/>
  <c r="J346" i="12" s="1"/>
  <c r="G346" i="12"/>
  <c r="F346" i="12"/>
  <c r="R345" i="12"/>
  <c r="Q345" i="12"/>
  <c r="P345" i="12"/>
  <c r="O345" i="12"/>
  <c r="N345" i="12"/>
  <c r="L345" i="12"/>
  <c r="K345" i="12"/>
  <c r="M345" i="12" s="1"/>
  <c r="J345" i="12"/>
  <c r="I345" i="12"/>
  <c r="H345" i="12"/>
  <c r="G345" i="12"/>
  <c r="F345" i="12"/>
  <c r="R344" i="12"/>
  <c r="Q344" i="12"/>
  <c r="P344" i="12"/>
  <c r="O344" i="12"/>
  <c r="N344" i="12"/>
  <c r="L344" i="12"/>
  <c r="K344" i="12"/>
  <c r="M344" i="12" s="1"/>
  <c r="I344" i="12"/>
  <c r="H344" i="12"/>
  <c r="J344" i="12" s="1"/>
  <c r="G344" i="12"/>
  <c r="F344" i="12"/>
  <c r="R343" i="12"/>
  <c r="Q343" i="12"/>
  <c r="P343" i="12"/>
  <c r="O343" i="12"/>
  <c r="N343" i="12"/>
  <c r="L343" i="12"/>
  <c r="K343" i="12"/>
  <c r="M343" i="12" s="1"/>
  <c r="J343" i="12"/>
  <c r="I343" i="12"/>
  <c r="H343" i="12"/>
  <c r="G343" i="12"/>
  <c r="F343" i="12"/>
  <c r="R342" i="12"/>
  <c r="Q342" i="12"/>
  <c r="P342" i="12"/>
  <c r="O342" i="12"/>
  <c r="N342" i="12"/>
  <c r="M342" i="12"/>
  <c r="L342" i="12"/>
  <c r="K342" i="12"/>
  <c r="J342" i="12"/>
  <c r="I342" i="12"/>
  <c r="H342" i="12"/>
  <c r="G342" i="12"/>
  <c r="F342" i="12"/>
  <c r="R341" i="12"/>
  <c r="Q341" i="12"/>
  <c r="P341" i="12"/>
  <c r="O341" i="12"/>
  <c r="N341" i="12"/>
  <c r="L341" i="12"/>
  <c r="K341" i="12"/>
  <c r="M341" i="12" s="1"/>
  <c r="I341" i="12"/>
  <c r="H341" i="12"/>
  <c r="J341" i="12" s="1"/>
  <c r="G341" i="12"/>
  <c r="F341" i="12"/>
  <c r="R340" i="12"/>
  <c r="Q340" i="12"/>
  <c r="P340" i="12"/>
  <c r="O340" i="12"/>
  <c r="N340" i="12"/>
  <c r="M340" i="12"/>
  <c r="L340" i="12"/>
  <c r="K340" i="12"/>
  <c r="I340" i="12"/>
  <c r="H340" i="12"/>
  <c r="J340" i="12" s="1"/>
  <c r="G340" i="12"/>
  <c r="F340" i="12"/>
  <c r="R339" i="12"/>
  <c r="Q339" i="12"/>
  <c r="P339" i="12"/>
  <c r="O339" i="12"/>
  <c r="N339" i="12"/>
  <c r="M339" i="12"/>
  <c r="L339" i="12"/>
  <c r="K339" i="12"/>
  <c r="I339" i="12"/>
  <c r="H339" i="12"/>
  <c r="J339" i="12" s="1"/>
  <c r="G339" i="12"/>
  <c r="F339" i="12"/>
  <c r="R338" i="12"/>
  <c r="Q338" i="12"/>
  <c r="P338" i="12"/>
  <c r="O338" i="12"/>
  <c r="N338" i="12"/>
  <c r="L338" i="12"/>
  <c r="K338" i="12"/>
  <c r="M338" i="12" s="1"/>
  <c r="J338" i="12"/>
  <c r="I338" i="12"/>
  <c r="H338" i="12"/>
  <c r="G338" i="12"/>
  <c r="F338" i="12"/>
  <c r="R337" i="12"/>
  <c r="Q337" i="12"/>
  <c r="P337" i="12"/>
  <c r="O337" i="12"/>
  <c r="N337" i="12"/>
  <c r="L337" i="12"/>
  <c r="K337" i="12"/>
  <c r="M337" i="12" s="1"/>
  <c r="J337" i="12"/>
  <c r="I337" i="12"/>
  <c r="H337" i="12"/>
  <c r="G337" i="12"/>
  <c r="F337" i="12"/>
  <c r="R336" i="12"/>
  <c r="Q336" i="12"/>
  <c r="P336" i="12"/>
  <c r="O336" i="12"/>
  <c r="N336" i="12"/>
  <c r="L336" i="12"/>
  <c r="K336" i="12"/>
  <c r="M336" i="12" s="1"/>
  <c r="I336" i="12"/>
  <c r="H336" i="12"/>
  <c r="J336" i="12" s="1"/>
  <c r="G336" i="12"/>
  <c r="F336" i="12"/>
  <c r="R335" i="12"/>
  <c r="Q335" i="12"/>
  <c r="P335" i="12"/>
  <c r="O335" i="12"/>
  <c r="N335" i="12"/>
  <c r="M335" i="12"/>
  <c r="L335" i="12"/>
  <c r="K335" i="12"/>
  <c r="I335" i="12"/>
  <c r="H335" i="12"/>
  <c r="J335" i="12" s="1"/>
  <c r="G335" i="12"/>
  <c r="F335" i="12"/>
  <c r="R334" i="12"/>
  <c r="Q334" i="12"/>
  <c r="P334" i="12"/>
  <c r="O334" i="12"/>
  <c r="N334" i="12"/>
  <c r="M334" i="12"/>
  <c r="L334" i="12"/>
  <c r="K334" i="12"/>
  <c r="I334" i="12"/>
  <c r="H334" i="12"/>
  <c r="J334" i="12" s="1"/>
  <c r="G334" i="12"/>
  <c r="F334" i="12"/>
  <c r="R333" i="12"/>
  <c r="Q333" i="12"/>
  <c r="P333" i="12"/>
  <c r="O333" i="12"/>
  <c r="N333" i="12"/>
  <c r="L333" i="12"/>
  <c r="K333" i="12"/>
  <c r="M333" i="12" s="1"/>
  <c r="J333" i="12"/>
  <c r="I333" i="12"/>
  <c r="H333" i="12"/>
  <c r="G333" i="12"/>
  <c r="F333" i="12"/>
  <c r="R332" i="12"/>
  <c r="Q332" i="12"/>
  <c r="P332" i="12"/>
  <c r="O332" i="12"/>
  <c r="N332" i="12"/>
  <c r="L332" i="12"/>
  <c r="K332" i="12"/>
  <c r="M332" i="12" s="1"/>
  <c r="I332" i="12"/>
  <c r="H332" i="12"/>
  <c r="J332" i="12" s="1"/>
  <c r="G332" i="12"/>
  <c r="F332" i="12"/>
  <c r="R331" i="12"/>
  <c r="Q331" i="12"/>
  <c r="P331" i="12"/>
  <c r="O331" i="12"/>
  <c r="N331" i="12"/>
  <c r="L331" i="12"/>
  <c r="K331" i="12"/>
  <c r="M331" i="12" s="1"/>
  <c r="J331" i="12"/>
  <c r="I331" i="12"/>
  <c r="H331" i="12"/>
  <c r="G331" i="12"/>
  <c r="F331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R329" i="12"/>
  <c r="Q329" i="12"/>
  <c r="P329" i="12"/>
  <c r="O329" i="12"/>
  <c r="N329" i="12"/>
  <c r="L329" i="12"/>
  <c r="K329" i="12"/>
  <c r="M329" i="12" s="1"/>
  <c r="I329" i="12"/>
  <c r="H329" i="12"/>
  <c r="J329" i="12" s="1"/>
  <c r="G329" i="12"/>
  <c r="F329" i="12"/>
  <c r="R328" i="12"/>
  <c r="Q328" i="12"/>
  <c r="P328" i="12"/>
  <c r="O328" i="12"/>
  <c r="N328" i="12"/>
  <c r="M328" i="12"/>
  <c r="L328" i="12"/>
  <c r="K328" i="12"/>
  <c r="I328" i="12"/>
  <c r="H328" i="12"/>
  <c r="J328" i="12" s="1"/>
  <c r="G328" i="12"/>
  <c r="F328" i="12"/>
  <c r="R327" i="12"/>
  <c r="Q327" i="12"/>
  <c r="P327" i="12"/>
  <c r="O327" i="12"/>
  <c r="N327" i="12"/>
  <c r="M327" i="12"/>
  <c r="L327" i="12"/>
  <c r="K327" i="12"/>
  <c r="I327" i="12"/>
  <c r="H327" i="12"/>
  <c r="J327" i="12" s="1"/>
  <c r="G327" i="12"/>
  <c r="F327" i="12"/>
  <c r="R326" i="12"/>
  <c r="Q326" i="12"/>
  <c r="P326" i="12"/>
  <c r="O326" i="12"/>
  <c r="N326" i="12"/>
  <c r="L326" i="12"/>
  <c r="K326" i="12"/>
  <c r="M326" i="12" s="1"/>
  <c r="J326" i="12"/>
  <c r="I326" i="12"/>
  <c r="H326" i="12"/>
  <c r="G326" i="12"/>
  <c r="F326" i="12"/>
  <c r="R325" i="12"/>
  <c r="Q325" i="12"/>
  <c r="P325" i="12"/>
  <c r="O325" i="12"/>
  <c r="N325" i="12"/>
  <c r="L325" i="12"/>
  <c r="K325" i="12"/>
  <c r="M325" i="12" s="1"/>
  <c r="J325" i="12"/>
  <c r="I325" i="12"/>
  <c r="H325" i="12"/>
  <c r="G325" i="12"/>
  <c r="F325" i="12"/>
  <c r="R324" i="12"/>
  <c r="Q324" i="12"/>
  <c r="P324" i="12"/>
  <c r="O324" i="12"/>
  <c r="N324" i="12"/>
  <c r="L324" i="12"/>
  <c r="K324" i="12"/>
  <c r="M324" i="12" s="1"/>
  <c r="I324" i="12"/>
  <c r="H324" i="12"/>
  <c r="J324" i="12" s="1"/>
  <c r="G324" i="12"/>
  <c r="F324" i="12"/>
  <c r="R323" i="12"/>
  <c r="Q323" i="12"/>
  <c r="P323" i="12"/>
  <c r="O323" i="12"/>
  <c r="N323" i="12"/>
  <c r="M323" i="12"/>
  <c r="L323" i="12"/>
  <c r="K323" i="12"/>
  <c r="I323" i="12"/>
  <c r="H323" i="12"/>
  <c r="J323" i="12" s="1"/>
  <c r="G323" i="12"/>
  <c r="F323" i="12"/>
  <c r="R322" i="12"/>
  <c r="Q322" i="12"/>
  <c r="P322" i="12"/>
  <c r="O322" i="12"/>
  <c r="N322" i="12"/>
  <c r="M322" i="12"/>
  <c r="L322" i="12"/>
  <c r="K322" i="12"/>
  <c r="I322" i="12"/>
  <c r="H322" i="12"/>
  <c r="J322" i="12" s="1"/>
  <c r="G322" i="12"/>
  <c r="F322" i="12"/>
  <c r="R321" i="12"/>
  <c r="Q321" i="12"/>
  <c r="P321" i="12"/>
  <c r="O321" i="12"/>
  <c r="N321" i="12"/>
  <c r="L321" i="12"/>
  <c r="K321" i="12"/>
  <c r="M321" i="12" s="1"/>
  <c r="J321" i="12"/>
  <c r="I321" i="12"/>
  <c r="H321" i="12"/>
  <c r="G321" i="12"/>
  <c r="F321" i="12"/>
  <c r="R320" i="12"/>
  <c r="Q320" i="12"/>
  <c r="P320" i="12"/>
  <c r="O320" i="12"/>
  <c r="N320" i="12"/>
  <c r="L320" i="12"/>
  <c r="K320" i="12"/>
  <c r="M320" i="12" s="1"/>
  <c r="I320" i="12"/>
  <c r="H320" i="12"/>
  <c r="J320" i="12" s="1"/>
  <c r="G320" i="12"/>
  <c r="F320" i="12"/>
  <c r="R319" i="12"/>
  <c r="Q319" i="12"/>
  <c r="P319" i="12"/>
  <c r="O319" i="12"/>
  <c r="N319" i="12"/>
  <c r="L319" i="12"/>
  <c r="K319" i="12"/>
  <c r="M319" i="12" s="1"/>
  <c r="J319" i="12"/>
  <c r="I319" i="12"/>
  <c r="H319" i="12"/>
  <c r="G319" i="12"/>
  <c r="F319" i="12"/>
  <c r="R318" i="12"/>
  <c r="Q318" i="12"/>
  <c r="P318" i="12"/>
  <c r="O318" i="12"/>
  <c r="N318" i="12"/>
  <c r="M318" i="12"/>
  <c r="L318" i="12"/>
  <c r="K318" i="12"/>
  <c r="J318" i="12"/>
  <c r="I318" i="12"/>
  <c r="H318" i="12"/>
  <c r="G318" i="12"/>
  <c r="F318" i="12"/>
  <c r="R317" i="12"/>
  <c r="Q317" i="12"/>
  <c r="P317" i="12"/>
  <c r="O317" i="12"/>
  <c r="N317" i="12"/>
  <c r="L317" i="12"/>
  <c r="K317" i="12"/>
  <c r="M317" i="12" s="1"/>
  <c r="I317" i="12"/>
  <c r="H317" i="12"/>
  <c r="J317" i="12" s="1"/>
  <c r="G317" i="12"/>
  <c r="F317" i="12"/>
  <c r="R316" i="12"/>
  <c r="Q316" i="12"/>
  <c r="P316" i="12"/>
  <c r="O316" i="12"/>
  <c r="N316" i="12"/>
  <c r="M316" i="12"/>
  <c r="L316" i="12"/>
  <c r="K316" i="12"/>
  <c r="I316" i="12"/>
  <c r="H316" i="12"/>
  <c r="J316" i="12" s="1"/>
  <c r="G316" i="12"/>
  <c r="F316" i="12"/>
  <c r="R315" i="12"/>
  <c r="Q315" i="12"/>
  <c r="P315" i="12"/>
  <c r="O315" i="12"/>
  <c r="N315" i="12"/>
  <c r="M315" i="12"/>
  <c r="L315" i="12"/>
  <c r="K315" i="12"/>
  <c r="I315" i="12"/>
  <c r="H315" i="12"/>
  <c r="J315" i="12" s="1"/>
  <c r="G315" i="12"/>
  <c r="F315" i="12"/>
  <c r="R314" i="12"/>
  <c r="Q314" i="12"/>
  <c r="P314" i="12"/>
  <c r="O314" i="12"/>
  <c r="N314" i="12"/>
  <c r="L314" i="12"/>
  <c r="K314" i="12"/>
  <c r="M314" i="12" s="1"/>
  <c r="J314" i="12"/>
  <c r="I314" i="12"/>
  <c r="H314" i="12"/>
  <c r="G314" i="12"/>
  <c r="F314" i="12"/>
  <c r="R313" i="12"/>
  <c r="Q313" i="12"/>
  <c r="P313" i="12"/>
  <c r="O313" i="12"/>
  <c r="N313" i="12"/>
  <c r="L313" i="12"/>
  <c r="K313" i="12"/>
  <c r="M313" i="12" s="1"/>
  <c r="J313" i="12"/>
  <c r="I313" i="12"/>
  <c r="H313" i="12"/>
  <c r="G313" i="12"/>
  <c r="F313" i="12"/>
  <c r="R312" i="12"/>
  <c r="Q312" i="12"/>
  <c r="P312" i="12"/>
  <c r="O312" i="12"/>
  <c r="N312" i="12"/>
  <c r="L312" i="12"/>
  <c r="K312" i="12"/>
  <c r="M312" i="12" s="1"/>
  <c r="I312" i="12"/>
  <c r="H312" i="12"/>
  <c r="J312" i="12" s="1"/>
  <c r="G312" i="12"/>
  <c r="F312" i="12"/>
  <c r="R311" i="12"/>
  <c r="Q311" i="12"/>
  <c r="P311" i="12"/>
  <c r="O311" i="12"/>
  <c r="N311" i="12"/>
  <c r="M311" i="12"/>
  <c r="L311" i="12"/>
  <c r="K311" i="12"/>
  <c r="I311" i="12"/>
  <c r="H311" i="12"/>
  <c r="J311" i="12" s="1"/>
  <c r="G311" i="12"/>
  <c r="F311" i="12"/>
  <c r="R310" i="12"/>
  <c r="Q310" i="12"/>
  <c r="P310" i="12"/>
  <c r="O310" i="12"/>
  <c r="N310" i="12"/>
  <c r="M310" i="12"/>
  <c r="L310" i="12"/>
  <c r="K310" i="12"/>
  <c r="I310" i="12"/>
  <c r="H310" i="12"/>
  <c r="J310" i="12" s="1"/>
  <c r="G310" i="12"/>
  <c r="F310" i="12"/>
  <c r="R309" i="12"/>
  <c r="Q309" i="12"/>
  <c r="P309" i="12"/>
  <c r="O309" i="12"/>
  <c r="N309" i="12"/>
  <c r="L309" i="12"/>
  <c r="K309" i="12"/>
  <c r="M309" i="12" s="1"/>
  <c r="J309" i="12"/>
  <c r="I309" i="12"/>
  <c r="H309" i="12"/>
  <c r="G309" i="12"/>
  <c r="F309" i="12"/>
  <c r="R308" i="12"/>
  <c r="Q308" i="12"/>
  <c r="P308" i="12"/>
  <c r="O308" i="12"/>
  <c r="N308" i="12"/>
  <c r="L308" i="12"/>
  <c r="K308" i="12"/>
  <c r="M308" i="12" s="1"/>
  <c r="I308" i="12"/>
  <c r="H308" i="12"/>
  <c r="J308" i="12" s="1"/>
  <c r="G308" i="12"/>
  <c r="F308" i="12"/>
  <c r="R307" i="12"/>
  <c r="Q307" i="12"/>
  <c r="P307" i="12"/>
  <c r="O307" i="12"/>
  <c r="N307" i="12"/>
  <c r="L307" i="12"/>
  <c r="K307" i="12"/>
  <c r="M307" i="12" s="1"/>
  <c r="J307" i="12"/>
  <c r="I307" i="12"/>
  <c r="H307" i="12"/>
  <c r="G307" i="12"/>
  <c r="F307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R305" i="12"/>
  <c r="Q305" i="12"/>
  <c r="P305" i="12"/>
  <c r="O305" i="12"/>
  <c r="N305" i="12"/>
  <c r="L305" i="12"/>
  <c r="K305" i="12"/>
  <c r="M305" i="12" s="1"/>
  <c r="I305" i="12"/>
  <c r="H305" i="12"/>
  <c r="J305" i="12" s="1"/>
  <c r="G305" i="12"/>
  <c r="F305" i="12"/>
  <c r="R304" i="12"/>
  <c r="Q304" i="12"/>
  <c r="P304" i="12"/>
  <c r="O304" i="12"/>
  <c r="N304" i="12"/>
  <c r="M304" i="12"/>
  <c r="L304" i="12"/>
  <c r="K304" i="12"/>
  <c r="I304" i="12"/>
  <c r="H304" i="12"/>
  <c r="J304" i="12" s="1"/>
  <c r="G304" i="12"/>
  <c r="F304" i="12"/>
  <c r="R303" i="12"/>
  <c r="Q303" i="12"/>
  <c r="P303" i="12"/>
  <c r="O303" i="12"/>
  <c r="N303" i="12"/>
  <c r="M303" i="12"/>
  <c r="L303" i="12"/>
  <c r="K303" i="12"/>
  <c r="I303" i="12"/>
  <c r="H303" i="12"/>
  <c r="J303" i="12" s="1"/>
  <c r="G303" i="12"/>
  <c r="F303" i="12"/>
  <c r="R302" i="12"/>
  <c r="Q302" i="12"/>
  <c r="P302" i="12"/>
  <c r="O302" i="12"/>
  <c r="N302" i="12"/>
  <c r="L302" i="12"/>
  <c r="K302" i="12"/>
  <c r="M302" i="12" s="1"/>
  <c r="J302" i="12"/>
  <c r="I302" i="12"/>
  <c r="H302" i="12"/>
  <c r="G302" i="12"/>
  <c r="F302" i="12"/>
  <c r="R301" i="12"/>
  <c r="Q301" i="12"/>
  <c r="P301" i="12"/>
  <c r="O301" i="12"/>
  <c r="N301" i="12"/>
  <c r="L301" i="12"/>
  <c r="K301" i="12"/>
  <c r="M301" i="12" s="1"/>
  <c r="J301" i="12"/>
  <c r="I301" i="12"/>
  <c r="H301" i="12"/>
  <c r="G301" i="12"/>
  <c r="F301" i="12"/>
  <c r="R300" i="12"/>
  <c r="Q300" i="12"/>
  <c r="P300" i="12"/>
  <c r="O300" i="12"/>
  <c r="N300" i="12"/>
  <c r="L300" i="12"/>
  <c r="K300" i="12"/>
  <c r="M300" i="12" s="1"/>
  <c r="I300" i="12"/>
  <c r="H300" i="12"/>
  <c r="J300" i="12" s="1"/>
  <c r="G300" i="12"/>
  <c r="F300" i="12"/>
  <c r="R299" i="12"/>
  <c r="Q299" i="12"/>
  <c r="P299" i="12"/>
  <c r="O299" i="12"/>
  <c r="N299" i="12"/>
  <c r="M299" i="12"/>
  <c r="L299" i="12"/>
  <c r="K299" i="12"/>
  <c r="I299" i="12"/>
  <c r="H299" i="12"/>
  <c r="J299" i="12" s="1"/>
  <c r="G299" i="12"/>
  <c r="F299" i="12"/>
  <c r="R298" i="12"/>
  <c r="Q298" i="12"/>
  <c r="P298" i="12"/>
  <c r="O298" i="12"/>
  <c r="N298" i="12"/>
  <c r="M298" i="12"/>
  <c r="L298" i="12"/>
  <c r="K298" i="12"/>
  <c r="I298" i="12"/>
  <c r="H298" i="12"/>
  <c r="J298" i="12" s="1"/>
  <c r="G298" i="12"/>
  <c r="F298" i="12"/>
  <c r="R297" i="12"/>
  <c r="Q297" i="12"/>
  <c r="P297" i="12"/>
  <c r="O297" i="12"/>
  <c r="N297" i="12"/>
  <c r="L297" i="12"/>
  <c r="K297" i="12"/>
  <c r="M297" i="12" s="1"/>
  <c r="J297" i="12"/>
  <c r="I297" i="12"/>
  <c r="H297" i="12"/>
  <c r="G297" i="12"/>
  <c r="F297" i="12"/>
  <c r="R296" i="12"/>
  <c r="Q296" i="12"/>
  <c r="P296" i="12"/>
  <c r="O296" i="12"/>
  <c r="N296" i="12"/>
  <c r="L296" i="12"/>
  <c r="K296" i="12"/>
  <c r="M296" i="12" s="1"/>
  <c r="I296" i="12"/>
  <c r="H296" i="12"/>
  <c r="J296" i="12" s="1"/>
  <c r="G296" i="12"/>
  <c r="F296" i="12"/>
  <c r="R295" i="12"/>
  <c r="Q295" i="12"/>
  <c r="P295" i="12"/>
  <c r="O295" i="12"/>
  <c r="N295" i="12"/>
  <c r="L295" i="12"/>
  <c r="K295" i="12"/>
  <c r="M295" i="12" s="1"/>
  <c r="J295" i="12"/>
  <c r="I295" i="12"/>
  <c r="H295" i="12"/>
  <c r="G295" i="12"/>
  <c r="F295" i="12"/>
  <c r="R294" i="12"/>
  <c r="Q294" i="12"/>
  <c r="P294" i="12"/>
  <c r="O294" i="12"/>
  <c r="N294" i="12"/>
  <c r="M294" i="12"/>
  <c r="L294" i="12"/>
  <c r="K294" i="12"/>
  <c r="J294" i="12"/>
  <c r="I294" i="12"/>
  <c r="H294" i="12"/>
  <c r="G294" i="12"/>
  <c r="F294" i="12"/>
  <c r="R293" i="12"/>
  <c r="Q293" i="12"/>
  <c r="P293" i="12"/>
  <c r="O293" i="12"/>
  <c r="N293" i="12"/>
  <c r="L293" i="12"/>
  <c r="K293" i="12"/>
  <c r="M293" i="12" s="1"/>
  <c r="I293" i="12"/>
  <c r="H293" i="12"/>
  <c r="J293" i="12" s="1"/>
  <c r="G293" i="12"/>
  <c r="F293" i="12"/>
  <c r="R292" i="12"/>
  <c r="Q292" i="12"/>
  <c r="P292" i="12"/>
  <c r="O292" i="12"/>
  <c r="N292" i="12"/>
  <c r="M292" i="12"/>
  <c r="L292" i="12"/>
  <c r="K292" i="12"/>
  <c r="I292" i="12"/>
  <c r="H292" i="12"/>
  <c r="J292" i="12" s="1"/>
  <c r="G292" i="12"/>
  <c r="F292" i="12"/>
  <c r="R291" i="12"/>
  <c r="Q291" i="12"/>
  <c r="P291" i="12"/>
  <c r="O291" i="12"/>
  <c r="N291" i="12"/>
  <c r="M291" i="12"/>
  <c r="L291" i="12"/>
  <c r="K291" i="12"/>
  <c r="I291" i="12"/>
  <c r="H291" i="12"/>
  <c r="J291" i="12" s="1"/>
  <c r="G291" i="12"/>
  <c r="F291" i="12"/>
  <c r="R290" i="12"/>
  <c r="Q290" i="12"/>
  <c r="P290" i="12"/>
  <c r="O290" i="12"/>
  <c r="N290" i="12"/>
  <c r="L290" i="12"/>
  <c r="K290" i="12"/>
  <c r="M290" i="12" s="1"/>
  <c r="J290" i="12"/>
  <c r="I290" i="12"/>
  <c r="H290" i="12"/>
  <c r="G290" i="12"/>
  <c r="F290" i="12"/>
  <c r="R289" i="12"/>
  <c r="Q289" i="12"/>
  <c r="P289" i="12"/>
  <c r="O289" i="12"/>
  <c r="N289" i="12"/>
  <c r="L289" i="12"/>
  <c r="K289" i="12"/>
  <c r="M289" i="12" s="1"/>
  <c r="J289" i="12"/>
  <c r="I289" i="12"/>
  <c r="H289" i="12"/>
  <c r="G289" i="12"/>
  <c r="F289" i="12"/>
  <c r="R288" i="12"/>
  <c r="Q288" i="12"/>
  <c r="P288" i="12"/>
  <c r="O288" i="12"/>
  <c r="N288" i="12"/>
  <c r="L288" i="12"/>
  <c r="K288" i="12"/>
  <c r="M288" i="12" s="1"/>
  <c r="I288" i="12"/>
  <c r="H288" i="12"/>
  <c r="J288" i="12" s="1"/>
  <c r="G288" i="12"/>
  <c r="F288" i="12"/>
  <c r="R287" i="12"/>
  <c r="Q287" i="12"/>
  <c r="P287" i="12"/>
  <c r="O287" i="12"/>
  <c r="N287" i="12"/>
  <c r="M287" i="12"/>
  <c r="L287" i="12"/>
  <c r="K287" i="12"/>
  <c r="I287" i="12"/>
  <c r="H287" i="12"/>
  <c r="J287" i="12" s="1"/>
  <c r="G287" i="12"/>
  <c r="F287" i="12"/>
  <c r="R286" i="12"/>
  <c r="Q286" i="12"/>
  <c r="P286" i="12"/>
  <c r="O286" i="12"/>
  <c r="N286" i="12"/>
  <c r="M286" i="12"/>
  <c r="L286" i="12"/>
  <c r="K286" i="12"/>
  <c r="I286" i="12"/>
  <c r="H286" i="12"/>
  <c r="J286" i="12" s="1"/>
  <c r="G286" i="12"/>
  <c r="F286" i="12"/>
  <c r="R285" i="12"/>
  <c r="Q285" i="12"/>
  <c r="P285" i="12"/>
  <c r="O285" i="12"/>
  <c r="N285" i="12"/>
  <c r="L285" i="12"/>
  <c r="K285" i="12"/>
  <c r="M285" i="12" s="1"/>
  <c r="J285" i="12"/>
  <c r="I285" i="12"/>
  <c r="H285" i="12"/>
  <c r="G285" i="12"/>
  <c r="F285" i="12"/>
  <c r="R284" i="12"/>
  <c r="Q284" i="12"/>
  <c r="P284" i="12"/>
  <c r="O284" i="12"/>
  <c r="N284" i="12"/>
  <c r="L284" i="12"/>
  <c r="K284" i="12"/>
  <c r="M284" i="12" s="1"/>
  <c r="I284" i="12"/>
  <c r="H284" i="12"/>
  <c r="J284" i="12" s="1"/>
  <c r="G284" i="12"/>
  <c r="F284" i="12"/>
  <c r="R283" i="12"/>
  <c r="Q283" i="12"/>
  <c r="P283" i="12"/>
  <c r="O283" i="12"/>
  <c r="N283" i="12"/>
  <c r="L283" i="12"/>
  <c r="K283" i="12"/>
  <c r="M283" i="12" s="1"/>
  <c r="J283" i="12"/>
  <c r="I283" i="12"/>
  <c r="H283" i="12"/>
  <c r="G283" i="12"/>
  <c r="F283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R281" i="12"/>
  <c r="Q281" i="12"/>
  <c r="P281" i="12"/>
  <c r="O281" i="12"/>
  <c r="N281" i="12"/>
  <c r="L281" i="12"/>
  <c r="K281" i="12"/>
  <c r="M281" i="12" s="1"/>
  <c r="I281" i="12"/>
  <c r="H281" i="12"/>
  <c r="J281" i="12" s="1"/>
  <c r="G281" i="12"/>
  <c r="F281" i="12"/>
  <c r="R280" i="12"/>
  <c r="Q280" i="12"/>
  <c r="P280" i="12"/>
  <c r="O280" i="12"/>
  <c r="N280" i="12"/>
  <c r="M280" i="12"/>
  <c r="L280" i="12"/>
  <c r="K280" i="12"/>
  <c r="I280" i="12"/>
  <c r="H280" i="12"/>
  <c r="J280" i="12" s="1"/>
  <c r="G280" i="12"/>
  <c r="F280" i="12"/>
  <c r="R279" i="12"/>
  <c r="Q279" i="12"/>
  <c r="P279" i="12"/>
  <c r="O279" i="12"/>
  <c r="N279" i="12"/>
  <c r="M279" i="12"/>
  <c r="L279" i="12"/>
  <c r="K279" i="12"/>
  <c r="I279" i="12"/>
  <c r="H279" i="12"/>
  <c r="J279" i="12" s="1"/>
  <c r="G279" i="12"/>
  <c r="F279" i="12"/>
  <c r="R278" i="12"/>
  <c r="Q278" i="12"/>
  <c r="P278" i="12"/>
  <c r="O278" i="12"/>
  <c r="N278" i="12"/>
  <c r="L278" i="12"/>
  <c r="K278" i="12"/>
  <c r="M278" i="12" s="1"/>
  <c r="J278" i="12"/>
  <c r="I278" i="12"/>
  <c r="H278" i="12"/>
  <c r="G278" i="12"/>
  <c r="F278" i="12"/>
  <c r="R277" i="12"/>
  <c r="Q277" i="12"/>
  <c r="P277" i="12"/>
  <c r="O277" i="12"/>
  <c r="N277" i="12"/>
  <c r="L277" i="12"/>
  <c r="K277" i="12"/>
  <c r="M277" i="12" s="1"/>
  <c r="J277" i="12"/>
  <c r="I277" i="12"/>
  <c r="H277" i="12"/>
  <c r="G277" i="12"/>
  <c r="F277" i="12"/>
  <c r="R276" i="12"/>
  <c r="Q276" i="12"/>
  <c r="P276" i="12"/>
  <c r="O276" i="12"/>
  <c r="N276" i="12"/>
  <c r="L276" i="12"/>
  <c r="K276" i="12"/>
  <c r="M276" i="12" s="1"/>
  <c r="I276" i="12"/>
  <c r="H276" i="12"/>
  <c r="J276" i="12" s="1"/>
  <c r="G276" i="12"/>
  <c r="F276" i="12"/>
  <c r="R275" i="12"/>
  <c r="Q275" i="12"/>
  <c r="P275" i="12"/>
  <c r="O275" i="12"/>
  <c r="N275" i="12"/>
  <c r="M275" i="12"/>
  <c r="L275" i="12"/>
  <c r="K275" i="12"/>
  <c r="I275" i="12"/>
  <c r="H275" i="12"/>
  <c r="J275" i="12" s="1"/>
  <c r="G275" i="12"/>
  <c r="F275" i="12"/>
  <c r="R274" i="12"/>
  <c r="Q274" i="12"/>
  <c r="P274" i="12"/>
  <c r="O274" i="12"/>
  <c r="N274" i="12"/>
  <c r="M274" i="12"/>
  <c r="L274" i="12"/>
  <c r="K274" i="12"/>
  <c r="I274" i="12"/>
  <c r="H274" i="12"/>
  <c r="J274" i="12" s="1"/>
  <c r="G274" i="12"/>
  <c r="F274" i="12"/>
  <c r="R273" i="12"/>
  <c r="Q273" i="12"/>
  <c r="P273" i="12"/>
  <c r="O273" i="12"/>
  <c r="N273" i="12"/>
  <c r="L273" i="12"/>
  <c r="K273" i="12"/>
  <c r="M273" i="12" s="1"/>
  <c r="J273" i="12"/>
  <c r="I273" i="12"/>
  <c r="H273" i="12"/>
  <c r="G273" i="12"/>
  <c r="F273" i="12"/>
  <c r="R272" i="12"/>
  <c r="Q272" i="12"/>
  <c r="P272" i="12"/>
  <c r="O272" i="12"/>
  <c r="N272" i="12"/>
  <c r="L272" i="12"/>
  <c r="K272" i="12"/>
  <c r="M272" i="12" s="1"/>
  <c r="I272" i="12"/>
  <c r="H272" i="12"/>
  <c r="J272" i="12" s="1"/>
  <c r="G272" i="12"/>
  <c r="F272" i="12"/>
  <c r="R271" i="12"/>
  <c r="Q271" i="12"/>
  <c r="P271" i="12"/>
  <c r="O271" i="12"/>
  <c r="N271" i="12"/>
  <c r="L271" i="12"/>
  <c r="K271" i="12"/>
  <c r="M271" i="12" s="1"/>
  <c r="J271" i="12"/>
  <c r="I271" i="12"/>
  <c r="H271" i="12"/>
  <c r="G271" i="12"/>
  <c r="F271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R269" i="12"/>
  <c r="Q269" i="12"/>
  <c r="P269" i="12"/>
  <c r="O269" i="12"/>
  <c r="N269" i="12"/>
  <c r="L269" i="12"/>
  <c r="K269" i="12"/>
  <c r="M269" i="12" s="1"/>
  <c r="I269" i="12"/>
  <c r="H269" i="12"/>
  <c r="J269" i="12" s="1"/>
  <c r="G269" i="12"/>
  <c r="F269" i="12"/>
  <c r="R268" i="12"/>
  <c r="Q268" i="12"/>
  <c r="P268" i="12"/>
  <c r="O268" i="12"/>
  <c r="N268" i="12"/>
  <c r="M268" i="12"/>
  <c r="L268" i="12"/>
  <c r="K268" i="12"/>
  <c r="I268" i="12"/>
  <c r="H268" i="12"/>
  <c r="J268" i="12" s="1"/>
  <c r="G268" i="12"/>
  <c r="F268" i="12"/>
  <c r="R267" i="12"/>
  <c r="Q267" i="12"/>
  <c r="P267" i="12"/>
  <c r="O267" i="12"/>
  <c r="N267" i="12"/>
  <c r="M267" i="12"/>
  <c r="L267" i="12"/>
  <c r="K267" i="12"/>
  <c r="I267" i="12"/>
  <c r="H267" i="12"/>
  <c r="J267" i="12" s="1"/>
  <c r="G267" i="12"/>
  <c r="F267" i="12"/>
  <c r="R266" i="12"/>
  <c r="Q266" i="12"/>
  <c r="P266" i="12"/>
  <c r="O266" i="12"/>
  <c r="N266" i="12"/>
  <c r="L266" i="12"/>
  <c r="K266" i="12"/>
  <c r="M266" i="12" s="1"/>
  <c r="J266" i="12"/>
  <c r="I266" i="12"/>
  <c r="H266" i="12"/>
  <c r="G266" i="12"/>
  <c r="F266" i="12"/>
  <c r="R265" i="12"/>
  <c r="Q265" i="12"/>
  <c r="P265" i="12"/>
  <c r="O265" i="12"/>
  <c r="N265" i="12"/>
  <c r="L265" i="12"/>
  <c r="K265" i="12"/>
  <c r="M265" i="12" s="1"/>
  <c r="J265" i="12"/>
  <c r="I265" i="12"/>
  <c r="H265" i="12"/>
  <c r="G265" i="12"/>
  <c r="F265" i="12"/>
  <c r="R264" i="12"/>
  <c r="Q264" i="12"/>
  <c r="P264" i="12"/>
  <c r="O264" i="12"/>
  <c r="N264" i="12"/>
  <c r="L264" i="12"/>
  <c r="K264" i="12"/>
  <c r="M264" i="12" s="1"/>
  <c r="I264" i="12"/>
  <c r="H264" i="12"/>
  <c r="J264" i="12" s="1"/>
  <c r="G264" i="12"/>
  <c r="F264" i="12"/>
  <c r="R263" i="12"/>
  <c r="Q263" i="12"/>
  <c r="P263" i="12"/>
  <c r="O263" i="12"/>
  <c r="N263" i="12"/>
  <c r="M263" i="12"/>
  <c r="L263" i="12"/>
  <c r="K263" i="12"/>
  <c r="I263" i="12"/>
  <c r="H263" i="12"/>
  <c r="J263" i="12" s="1"/>
  <c r="G263" i="12"/>
  <c r="F263" i="12"/>
  <c r="R262" i="12"/>
  <c r="Q262" i="12"/>
  <c r="P262" i="12"/>
  <c r="O262" i="12"/>
  <c r="N262" i="12"/>
  <c r="M262" i="12"/>
  <c r="L262" i="12"/>
  <c r="K262" i="12"/>
  <c r="I262" i="12"/>
  <c r="H262" i="12"/>
  <c r="J262" i="12" s="1"/>
  <c r="G262" i="12"/>
  <c r="F262" i="12"/>
  <c r="R261" i="12"/>
  <c r="Q261" i="12"/>
  <c r="P261" i="12"/>
  <c r="O261" i="12"/>
  <c r="N261" i="12"/>
  <c r="L261" i="12"/>
  <c r="K261" i="12"/>
  <c r="M261" i="12" s="1"/>
  <c r="J261" i="12"/>
  <c r="I261" i="12"/>
  <c r="H261" i="12"/>
  <c r="G261" i="12"/>
  <c r="F261" i="12"/>
  <c r="R260" i="12"/>
  <c r="Q260" i="12"/>
  <c r="P260" i="12"/>
  <c r="O260" i="12"/>
  <c r="N260" i="12"/>
  <c r="L260" i="12"/>
  <c r="K260" i="12"/>
  <c r="M260" i="12" s="1"/>
  <c r="I260" i="12"/>
  <c r="H260" i="12"/>
  <c r="J260" i="12" s="1"/>
  <c r="G260" i="12"/>
  <c r="F260" i="12"/>
  <c r="R259" i="12"/>
  <c r="Q259" i="12"/>
  <c r="P259" i="12"/>
  <c r="O259" i="12"/>
  <c r="N259" i="12"/>
  <c r="L259" i="12"/>
  <c r="K259" i="12"/>
  <c r="M259" i="12" s="1"/>
  <c r="J259" i="12"/>
  <c r="I259" i="12"/>
  <c r="H259" i="12"/>
  <c r="G259" i="12"/>
  <c r="F259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R257" i="12"/>
  <c r="Q257" i="12"/>
  <c r="P257" i="12"/>
  <c r="O257" i="12"/>
  <c r="N257" i="12"/>
  <c r="L257" i="12"/>
  <c r="K257" i="12"/>
  <c r="M257" i="12" s="1"/>
  <c r="I257" i="12"/>
  <c r="H257" i="12"/>
  <c r="J257" i="12" s="1"/>
  <c r="G257" i="12"/>
  <c r="F257" i="12"/>
  <c r="R256" i="12"/>
  <c r="Q256" i="12"/>
  <c r="P256" i="12"/>
  <c r="O256" i="12"/>
  <c r="N256" i="12"/>
  <c r="M256" i="12"/>
  <c r="L256" i="12"/>
  <c r="K256" i="12"/>
  <c r="I256" i="12"/>
  <c r="H256" i="12"/>
  <c r="J256" i="12" s="1"/>
  <c r="G256" i="12"/>
  <c r="F256" i="12"/>
  <c r="R255" i="12"/>
  <c r="Q255" i="12"/>
  <c r="P255" i="12"/>
  <c r="O255" i="12"/>
  <c r="N255" i="12"/>
  <c r="M255" i="12"/>
  <c r="L255" i="12"/>
  <c r="K255" i="12"/>
  <c r="I255" i="12"/>
  <c r="H255" i="12"/>
  <c r="J255" i="12" s="1"/>
  <c r="G255" i="12"/>
  <c r="F255" i="12"/>
  <c r="R254" i="12"/>
  <c r="Q254" i="12"/>
  <c r="P254" i="12"/>
  <c r="O254" i="12"/>
  <c r="N254" i="12"/>
  <c r="L254" i="12"/>
  <c r="K254" i="12"/>
  <c r="M254" i="12" s="1"/>
  <c r="J254" i="12"/>
  <c r="I254" i="12"/>
  <c r="H254" i="12"/>
  <c r="G254" i="12"/>
  <c r="F254" i="12"/>
  <c r="R253" i="12"/>
  <c r="Q253" i="12"/>
  <c r="P253" i="12"/>
  <c r="O253" i="12"/>
  <c r="N253" i="12"/>
  <c r="L253" i="12"/>
  <c r="K253" i="12"/>
  <c r="M253" i="12" s="1"/>
  <c r="J253" i="12"/>
  <c r="I253" i="12"/>
  <c r="H253" i="12"/>
  <c r="G253" i="12"/>
  <c r="F253" i="12"/>
  <c r="R252" i="12"/>
  <c r="Q252" i="12"/>
  <c r="P252" i="12"/>
  <c r="O252" i="12"/>
  <c r="N252" i="12"/>
  <c r="L252" i="12"/>
  <c r="K252" i="12"/>
  <c r="M252" i="12" s="1"/>
  <c r="I252" i="12"/>
  <c r="H252" i="12"/>
  <c r="J252" i="12" s="1"/>
  <c r="G252" i="12"/>
  <c r="F252" i="12"/>
  <c r="R251" i="12"/>
  <c r="Q251" i="12"/>
  <c r="P251" i="12"/>
  <c r="O251" i="12"/>
  <c r="N251" i="12"/>
  <c r="M251" i="12"/>
  <c r="L251" i="12"/>
  <c r="K251" i="12"/>
  <c r="I251" i="12"/>
  <c r="H251" i="12"/>
  <c r="J251" i="12" s="1"/>
  <c r="G251" i="12"/>
  <c r="F251" i="12"/>
  <c r="R250" i="12"/>
  <c r="Q250" i="12"/>
  <c r="P250" i="12"/>
  <c r="O250" i="12"/>
  <c r="N250" i="12"/>
  <c r="M250" i="12"/>
  <c r="L250" i="12"/>
  <c r="K250" i="12"/>
  <c r="I250" i="12"/>
  <c r="H250" i="12"/>
  <c r="J250" i="12" s="1"/>
  <c r="G250" i="12"/>
  <c r="F250" i="12"/>
  <c r="R249" i="12"/>
  <c r="Q249" i="12"/>
  <c r="P249" i="12"/>
  <c r="O249" i="12"/>
  <c r="N249" i="12"/>
  <c r="L249" i="12"/>
  <c r="K249" i="12"/>
  <c r="M249" i="12" s="1"/>
  <c r="J249" i="12"/>
  <c r="I249" i="12"/>
  <c r="H249" i="12"/>
  <c r="G249" i="12"/>
  <c r="F249" i="12"/>
  <c r="R248" i="12"/>
  <c r="Q248" i="12"/>
  <c r="P248" i="12"/>
  <c r="O248" i="12"/>
  <c r="N248" i="12"/>
  <c r="L248" i="12"/>
  <c r="K248" i="12"/>
  <c r="M248" i="12" s="1"/>
  <c r="I248" i="12"/>
  <c r="H248" i="12"/>
  <c r="J248" i="12" s="1"/>
  <c r="G248" i="12"/>
  <c r="F248" i="12"/>
  <c r="R247" i="12"/>
  <c r="Q247" i="12"/>
  <c r="P247" i="12"/>
  <c r="O247" i="12"/>
  <c r="N247" i="12"/>
  <c r="L247" i="12"/>
  <c r="K247" i="12"/>
  <c r="M247" i="12" s="1"/>
  <c r="J247" i="12"/>
  <c r="I247" i="12"/>
  <c r="H247" i="12"/>
  <c r="G247" i="12"/>
  <c r="F247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R245" i="12"/>
  <c r="Q245" i="12"/>
  <c r="P245" i="12"/>
  <c r="O245" i="12"/>
  <c r="N245" i="12"/>
  <c r="L245" i="12"/>
  <c r="K245" i="12"/>
  <c r="M245" i="12" s="1"/>
  <c r="I245" i="12"/>
  <c r="H245" i="12"/>
  <c r="J245" i="12" s="1"/>
  <c r="G245" i="12"/>
  <c r="F245" i="12"/>
  <c r="R244" i="12"/>
  <c r="Q244" i="12"/>
  <c r="P244" i="12"/>
  <c r="O244" i="12"/>
  <c r="N244" i="12"/>
  <c r="M244" i="12"/>
  <c r="L244" i="12"/>
  <c r="K244" i="12"/>
  <c r="I244" i="12"/>
  <c r="H244" i="12"/>
  <c r="J244" i="12" s="1"/>
  <c r="G244" i="12"/>
  <c r="F244" i="12"/>
  <c r="R243" i="12"/>
  <c r="Q243" i="12"/>
  <c r="P243" i="12"/>
  <c r="O243" i="12"/>
  <c r="N243" i="12"/>
  <c r="M243" i="12"/>
  <c r="L243" i="12"/>
  <c r="K243" i="12"/>
  <c r="I243" i="12"/>
  <c r="H243" i="12"/>
  <c r="J243" i="12" s="1"/>
  <c r="G243" i="12"/>
  <c r="F243" i="12"/>
  <c r="R242" i="12"/>
  <c r="Q242" i="12"/>
  <c r="P242" i="12"/>
  <c r="O242" i="12"/>
  <c r="N242" i="12"/>
  <c r="L242" i="12"/>
  <c r="K242" i="12"/>
  <c r="M242" i="12" s="1"/>
  <c r="J242" i="12"/>
  <c r="I242" i="12"/>
  <c r="H242" i="12"/>
  <c r="G242" i="12"/>
  <c r="F242" i="12"/>
  <c r="R241" i="12"/>
  <c r="Q241" i="12"/>
  <c r="P241" i="12"/>
  <c r="O241" i="12"/>
  <c r="N241" i="12"/>
  <c r="L241" i="12"/>
  <c r="K241" i="12"/>
  <c r="M241" i="12" s="1"/>
  <c r="J241" i="12"/>
  <c r="I241" i="12"/>
  <c r="H241" i="12"/>
  <c r="G241" i="12"/>
  <c r="F241" i="12"/>
  <c r="R240" i="12"/>
  <c r="Q240" i="12"/>
  <c r="P240" i="12"/>
  <c r="O240" i="12"/>
  <c r="N240" i="12"/>
  <c r="L240" i="12"/>
  <c r="K240" i="12"/>
  <c r="M240" i="12" s="1"/>
  <c r="I240" i="12"/>
  <c r="H240" i="12"/>
  <c r="J240" i="12" s="1"/>
  <c r="G240" i="12"/>
  <c r="F240" i="12"/>
  <c r="R239" i="12"/>
  <c r="Q239" i="12"/>
  <c r="P239" i="12"/>
  <c r="O239" i="12"/>
  <c r="N239" i="12"/>
  <c r="M239" i="12"/>
  <c r="L239" i="12"/>
  <c r="K239" i="12"/>
  <c r="I239" i="12"/>
  <c r="H239" i="12"/>
  <c r="J239" i="12" s="1"/>
  <c r="G239" i="12"/>
  <c r="F239" i="12"/>
  <c r="R238" i="12"/>
  <c r="Q238" i="12"/>
  <c r="P238" i="12"/>
  <c r="O238" i="12"/>
  <c r="N238" i="12"/>
  <c r="M238" i="12"/>
  <c r="L238" i="12"/>
  <c r="K238" i="12"/>
  <c r="I238" i="12"/>
  <c r="H238" i="12"/>
  <c r="J238" i="12" s="1"/>
  <c r="G238" i="12"/>
  <c r="F238" i="12"/>
  <c r="R237" i="12"/>
  <c r="Q237" i="12"/>
  <c r="P237" i="12"/>
  <c r="O237" i="12"/>
  <c r="N237" i="12"/>
  <c r="L237" i="12"/>
  <c r="K237" i="12"/>
  <c r="M237" i="12" s="1"/>
  <c r="J237" i="12"/>
  <c r="I237" i="12"/>
  <c r="H237" i="12"/>
  <c r="G237" i="12"/>
  <c r="F237" i="12"/>
  <c r="R236" i="12"/>
  <c r="Q236" i="12"/>
  <c r="P236" i="12"/>
  <c r="O236" i="12"/>
  <c r="N236" i="12"/>
  <c r="L236" i="12"/>
  <c r="K236" i="12"/>
  <c r="M236" i="12" s="1"/>
  <c r="I236" i="12"/>
  <c r="H236" i="12"/>
  <c r="J236" i="12" s="1"/>
  <c r="G236" i="12"/>
  <c r="F236" i="12"/>
  <c r="R235" i="12"/>
  <c r="Q235" i="12"/>
  <c r="P235" i="12"/>
  <c r="O235" i="12"/>
  <c r="N235" i="12"/>
  <c r="L235" i="12"/>
  <c r="K235" i="12"/>
  <c r="M235" i="12" s="1"/>
  <c r="J235" i="12"/>
  <c r="I235" i="12"/>
  <c r="H235" i="12"/>
  <c r="G235" i="12"/>
  <c r="F235" i="12"/>
  <c r="R234" i="12"/>
  <c r="Q234" i="12"/>
  <c r="P234" i="12"/>
  <c r="O234" i="12"/>
  <c r="N234" i="12"/>
  <c r="M234" i="12"/>
  <c r="L234" i="12"/>
  <c r="K234" i="12"/>
  <c r="J234" i="12"/>
  <c r="I234" i="12"/>
  <c r="H234" i="12"/>
  <c r="G234" i="12"/>
  <c r="F234" i="12"/>
  <c r="R233" i="12"/>
  <c r="Q233" i="12"/>
  <c r="P233" i="12"/>
  <c r="O233" i="12"/>
  <c r="N233" i="12"/>
  <c r="L233" i="12"/>
  <c r="K233" i="12"/>
  <c r="M233" i="12" s="1"/>
  <c r="I233" i="12"/>
  <c r="H233" i="12"/>
  <c r="J233" i="12" s="1"/>
  <c r="G233" i="12"/>
  <c r="F233" i="12"/>
  <c r="R232" i="12"/>
  <c r="Q232" i="12"/>
  <c r="P232" i="12"/>
  <c r="O232" i="12"/>
  <c r="N232" i="12"/>
  <c r="M232" i="12"/>
  <c r="L232" i="12"/>
  <c r="K232" i="12"/>
  <c r="I232" i="12"/>
  <c r="H232" i="12"/>
  <c r="J232" i="12" s="1"/>
  <c r="G232" i="12"/>
  <c r="F232" i="12"/>
  <c r="R231" i="12"/>
  <c r="Q231" i="12"/>
  <c r="P231" i="12"/>
  <c r="O231" i="12"/>
  <c r="N231" i="12"/>
  <c r="M231" i="12"/>
  <c r="L231" i="12"/>
  <c r="K231" i="12"/>
  <c r="I231" i="12"/>
  <c r="H231" i="12"/>
  <c r="J231" i="12" s="1"/>
  <c r="G231" i="12"/>
  <c r="F231" i="12"/>
  <c r="R230" i="12"/>
  <c r="Q230" i="12"/>
  <c r="P230" i="12"/>
  <c r="O230" i="12"/>
  <c r="N230" i="12"/>
  <c r="L230" i="12"/>
  <c r="K230" i="12"/>
  <c r="M230" i="12" s="1"/>
  <c r="J230" i="12"/>
  <c r="I230" i="12"/>
  <c r="H230" i="12"/>
  <c r="G230" i="12"/>
  <c r="F230" i="12"/>
  <c r="R229" i="12"/>
  <c r="Q229" i="12"/>
  <c r="P229" i="12"/>
  <c r="O229" i="12"/>
  <c r="N229" i="12"/>
  <c r="L229" i="12"/>
  <c r="K229" i="12"/>
  <c r="M229" i="12" s="1"/>
  <c r="J229" i="12"/>
  <c r="I229" i="12"/>
  <c r="H229" i="12"/>
  <c r="G229" i="12"/>
  <c r="F229" i="12"/>
  <c r="R228" i="12"/>
  <c r="Q228" i="12"/>
  <c r="P228" i="12"/>
  <c r="O228" i="12"/>
  <c r="N228" i="12"/>
  <c r="L228" i="12"/>
  <c r="K228" i="12"/>
  <c r="M228" i="12" s="1"/>
  <c r="I228" i="12"/>
  <c r="H228" i="12"/>
  <c r="J228" i="12" s="1"/>
  <c r="G228" i="12"/>
  <c r="F228" i="12"/>
  <c r="R227" i="12"/>
  <c r="Q227" i="12"/>
  <c r="P227" i="12"/>
  <c r="O227" i="12"/>
  <c r="N227" i="12"/>
  <c r="M227" i="12"/>
  <c r="L227" i="12"/>
  <c r="K227" i="12"/>
  <c r="I227" i="12"/>
  <c r="H227" i="12"/>
  <c r="J227" i="12" s="1"/>
  <c r="G227" i="12"/>
  <c r="F227" i="12"/>
  <c r="R226" i="12"/>
  <c r="Q226" i="12"/>
  <c r="P226" i="12"/>
  <c r="O226" i="12"/>
  <c r="N226" i="12"/>
  <c r="M226" i="12"/>
  <c r="L226" i="12"/>
  <c r="K226" i="12"/>
  <c r="I226" i="12"/>
  <c r="H226" i="12"/>
  <c r="J226" i="12" s="1"/>
  <c r="G226" i="12"/>
  <c r="F226" i="12"/>
  <c r="R225" i="12"/>
  <c r="Q225" i="12"/>
  <c r="P225" i="12"/>
  <c r="O225" i="12"/>
  <c r="N225" i="12"/>
  <c r="L225" i="12"/>
  <c r="K225" i="12"/>
  <c r="M225" i="12" s="1"/>
  <c r="J225" i="12"/>
  <c r="I225" i="12"/>
  <c r="H225" i="12"/>
  <c r="G225" i="12"/>
  <c r="F225" i="12"/>
  <c r="R224" i="12"/>
  <c r="Q224" i="12"/>
  <c r="P224" i="12"/>
  <c r="O224" i="12"/>
  <c r="N224" i="12"/>
  <c r="L224" i="12"/>
  <c r="K224" i="12"/>
  <c r="M224" i="12" s="1"/>
  <c r="I224" i="12"/>
  <c r="H224" i="12"/>
  <c r="J224" i="12" s="1"/>
  <c r="G224" i="12"/>
  <c r="F224" i="12"/>
  <c r="R223" i="12"/>
  <c r="Q223" i="12"/>
  <c r="P223" i="12"/>
  <c r="O223" i="12"/>
  <c r="N223" i="12"/>
  <c r="L223" i="12"/>
  <c r="K223" i="12"/>
  <c r="M223" i="12" s="1"/>
  <c r="J223" i="12"/>
  <c r="I223" i="12"/>
  <c r="H223" i="12"/>
  <c r="G223" i="12"/>
  <c r="F223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R221" i="12"/>
  <c r="Q221" i="12"/>
  <c r="P221" i="12"/>
  <c r="O221" i="12"/>
  <c r="N221" i="12"/>
  <c r="L221" i="12"/>
  <c r="K221" i="12"/>
  <c r="M221" i="12" s="1"/>
  <c r="I221" i="12"/>
  <c r="H221" i="12"/>
  <c r="J221" i="12" s="1"/>
  <c r="G221" i="12"/>
  <c r="F221" i="12"/>
  <c r="R220" i="12"/>
  <c r="Q220" i="12"/>
  <c r="P220" i="12"/>
  <c r="O220" i="12"/>
  <c r="N220" i="12"/>
  <c r="M220" i="12"/>
  <c r="L220" i="12"/>
  <c r="K220" i="12"/>
  <c r="I220" i="12"/>
  <c r="H220" i="12"/>
  <c r="J220" i="12" s="1"/>
  <c r="G220" i="12"/>
  <c r="F220" i="12"/>
  <c r="R219" i="12"/>
  <c r="Q219" i="12"/>
  <c r="P219" i="12"/>
  <c r="O219" i="12"/>
  <c r="N219" i="12"/>
  <c r="M219" i="12"/>
  <c r="L219" i="12"/>
  <c r="K219" i="12"/>
  <c r="I219" i="12"/>
  <c r="H219" i="12"/>
  <c r="J219" i="12" s="1"/>
  <c r="G219" i="12"/>
  <c r="F219" i="12"/>
  <c r="R218" i="12"/>
  <c r="Q218" i="12"/>
  <c r="P218" i="12"/>
  <c r="O218" i="12"/>
  <c r="N218" i="12"/>
  <c r="L218" i="12"/>
  <c r="K218" i="12"/>
  <c r="M218" i="12" s="1"/>
  <c r="J218" i="12"/>
  <c r="I218" i="12"/>
  <c r="H218" i="12"/>
  <c r="G218" i="12"/>
  <c r="F218" i="12"/>
  <c r="R217" i="12"/>
  <c r="Q217" i="12"/>
  <c r="P217" i="12"/>
  <c r="O217" i="12"/>
  <c r="N217" i="12"/>
  <c r="L217" i="12"/>
  <c r="K217" i="12"/>
  <c r="M217" i="12" s="1"/>
  <c r="J217" i="12"/>
  <c r="I217" i="12"/>
  <c r="H217" i="12"/>
  <c r="G217" i="12"/>
  <c r="F217" i="12"/>
  <c r="R216" i="12"/>
  <c r="Q216" i="12"/>
  <c r="P216" i="12"/>
  <c r="O216" i="12"/>
  <c r="N216" i="12"/>
  <c r="L216" i="12"/>
  <c r="K216" i="12"/>
  <c r="M216" i="12" s="1"/>
  <c r="I216" i="12"/>
  <c r="H216" i="12"/>
  <c r="J216" i="12" s="1"/>
  <c r="G216" i="12"/>
  <c r="F216" i="12"/>
  <c r="R215" i="12"/>
  <c r="Q215" i="12"/>
  <c r="P215" i="12"/>
  <c r="O215" i="12"/>
  <c r="N215" i="12"/>
  <c r="M215" i="12"/>
  <c r="L215" i="12"/>
  <c r="K215" i="12"/>
  <c r="I215" i="12"/>
  <c r="H215" i="12"/>
  <c r="J215" i="12" s="1"/>
  <c r="G215" i="12"/>
  <c r="F215" i="12"/>
  <c r="R214" i="12"/>
  <c r="Q214" i="12"/>
  <c r="P214" i="12"/>
  <c r="O214" i="12"/>
  <c r="N214" i="12"/>
  <c r="M214" i="12"/>
  <c r="L214" i="12"/>
  <c r="K214" i="12"/>
  <c r="I214" i="12"/>
  <c r="H214" i="12"/>
  <c r="J214" i="12" s="1"/>
  <c r="G214" i="12"/>
  <c r="F214" i="12"/>
  <c r="R213" i="12"/>
  <c r="Q213" i="12"/>
  <c r="P213" i="12"/>
  <c r="O213" i="12"/>
  <c r="N213" i="12"/>
  <c r="L213" i="12"/>
  <c r="K213" i="12"/>
  <c r="M213" i="12" s="1"/>
  <c r="J213" i="12"/>
  <c r="I213" i="12"/>
  <c r="H213" i="12"/>
  <c r="G213" i="12"/>
  <c r="F213" i="12"/>
  <c r="R212" i="12"/>
  <c r="Q212" i="12"/>
  <c r="P212" i="12"/>
  <c r="O212" i="12"/>
  <c r="N212" i="12"/>
  <c r="L212" i="12"/>
  <c r="K212" i="12"/>
  <c r="M212" i="12" s="1"/>
  <c r="I212" i="12"/>
  <c r="H212" i="12"/>
  <c r="J212" i="12" s="1"/>
  <c r="G212" i="12"/>
  <c r="F212" i="12"/>
  <c r="R211" i="12"/>
  <c r="Q211" i="12"/>
  <c r="P211" i="12"/>
  <c r="O211" i="12"/>
  <c r="N211" i="12"/>
  <c r="L211" i="12"/>
  <c r="K211" i="12"/>
  <c r="M211" i="12" s="1"/>
  <c r="J211" i="12"/>
  <c r="I211" i="12"/>
  <c r="H211" i="12"/>
  <c r="G211" i="12"/>
  <c r="F211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R209" i="12"/>
  <c r="Q209" i="12"/>
  <c r="P209" i="12"/>
  <c r="O209" i="12"/>
  <c r="N209" i="12"/>
  <c r="L209" i="12"/>
  <c r="K209" i="12"/>
  <c r="M209" i="12" s="1"/>
  <c r="I209" i="12"/>
  <c r="H209" i="12"/>
  <c r="J209" i="12" s="1"/>
  <c r="G209" i="12"/>
  <c r="F209" i="12"/>
  <c r="R208" i="12"/>
  <c r="Q208" i="12"/>
  <c r="P208" i="12"/>
  <c r="O208" i="12"/>
  <c r="N208" i="12"/>
  <c r="M208" i="12"/>
  <c r="L208" i="12"/>
  <c r="K208" i="12"/>
  <c r="I208" i="12"/>
  <c r="H208" i="12"/>
  <c r="J208" i="12" s="1"/>
  <c r="G208" i="12"/>
  <c r="F208" i="12"/>
  <c r="R207" i="12"/>
  <c r="Q207" i="12"/>
  <c r="P207" i="12"/>
  <c r="O207" i="12"/>
  <c r="N207" i="12"/>
  <c r="M207" i="12"/>
  <c r="L207" i="12"/>
  <c r="K207" i="12"/>
  <c r="I207" i="12"/>
  <c r="H207" i="12"/>
  <c r="J207" i="12" s="1"/>
  <c r="G207" i="12"/>
  <c r="F207" i="12"/>
  <c r="R206" i="12"/>
  <c r="Q206" i="12"/>
  <c r="P206" i="12"/>
  <c r="O206" i="12"/>
  <c r="N206" i="12"/>
  <c r="L206" i="12"/>
  <c r="K206" i="12"/>
  <c r="M206" i="12" s="1"/>
  <c r="J206" i="12"/>
  <c r="I206" i="12"/>
  <c r="H206" i="12"/>
  <c r="G206" i="12"/>
  <c r="F206" i="12"/>
  <c r="R205" i="12"/>
  <c r="Q205" i="12"/>
  <c r="P205" i="12"/>
  <c r="O205" i="12"/>
  <c r="N205" i="12"/>
  <c r="L205" i="12"/>
  <c r="K205" i="12"/>
  <c r="M205" i="12" s="1"/>
  <c r="J205" i="12"/>
  <c r="I205" i="12"/>
  <c r="H205" i="12"/>
  <c r="G205" i="12"/>
  <c r="F205" i="12"/>
  <c r="R204" i="12"/>
  <c r="Q204" i="12"/>
  <c r="P204" i="12"/>
  <c r="O204" i="12"/>
  <c r="N204" i="12"/>
  <c r="L204" i="12"/>
  <c r="K204" i="12"/>
  <c r="M204" i="12" s="1"/>
  <c r="I204" i="12"/>
  <c r="H204" i="12"/>
  <c r="J204" i="12" s="1"/>
  <c r="G204" i="12"/>
  <c r="F204" i="12"/>
  <c r="R203" i="12"/>
  <c r="Q203" i="12"/>
  <c r="P203" i="12"/>
  <c r="O203" i="12"/>
  <c r="N203" i="12"/>
  <c r="M203" i="12"/>
  <c r="L203" i="12"/>
  <c r="K203" i="12"/>
  <c r="I203" i="12"/>
  <c r="H203" i="12"/>
  <c r="J203" i="12" s="1"/>
  <c r="G203" i="12"/>
  <c r="F203" i="12"/>
  <c r="R202" i="12"/>
  <c r="Q202" i="12"/>
  <c r="P202" i="12"/>
  <c r="O202" i="12"/>
  <c r="N202" i="12"/>
  <c r="M202" i="12"/>
  <c r="L202" i="12"/>
  <c r="K202" i="12"/>
  <c r="I202" i="12"/>
  <c r="H202" i="12"/>
  <c r="J202" i="12" s="1"/>
  <c r="G202" i="12"/>
  <c r="F202" i="12"/>
  <c r="R201" i="12"/>
  <c r="Q201" i="12"/>
  <c r="P201" i="12"/>
  <c r="O201" i="12"/>
  <c r="N201" i="12"/>
  <c r="L201" i="12"/>
  <c r="K201" i="12"/>
  <c r="M201" i="12" s="1"/>
  <c r="J201" i="12"/>
  <c r="I201" i="12"/>
  <c r="H201" i="12"/>
  <c r="G201" i="12"/>
  <c r="F201" i="12"/>
  <c r="R200" i="12"/>
  <c r="Q200" i="12"/>
  <c r="P200" i="12"/>
  <c r="O200" i="12"/>
  <c r="N200" i="12"/>
  <c r="L200" i="12"/>
  <c r="K200" i="12"/>
  <c r="M200" i="12" s="1"/>
  <c r="I200" i="12"/>
  <c r="H200" i="12"/>
  <c r="J200" i="12" s="1"/>
  <c r="G200" i="12"/>
  <c r="F200" i="12"/>
  <c r="R199" i="12"/>
  <c r="Q199" i="12"/>
  <c r="P199" i="12"/>
  <c r="O199" i="12"/>
  <c r="N199" i="12"/>
  <c r="L199" i="12"/>
  <c r="K199" i="12"/>
  <c r="M199" i="12" s="1"/>
  <c r="J199" i="12"/>
  <c r="I199" i="12"/>
  <c r="H199" i="12"/>
  <c r="G199" i="12"/>
  <c r="F199" i="12"/>
  <c r="R198" i="12"/>
  <c r="Q198" i="12"/>
  <c r="P198" i="12"/>
  <c r="O198" i="12"/>
  <c r="N198" i="12"/>
  <c r="M198" i="12"/>
  <c r="L198" i="12"/>
  <c r="K198" i="12"/>
  <c r="J198" i="12"/>
  <c r="I198" i="12"/>
  <c r="H198" i="12"/>
  <c r="G198" i="12"/>
  <c r="F198" i="12"/>
  <c r="R197" i="12"/>
  <c r="Q197" i="12"/>
  <c r="P197" i="12"/>
  <c r="O197" i="12"/>
  <c r="N197" i="12"/>
  <c r="L197" i="12"/>
  <c r="K197" i="12"/>
  <c r="M197" i="12" s="1"/>
  <c r="I197" i="12"/>
  <c r="H197" i="12"/>
  <c r="J197" i="12" s="1"/>
  <c r="G197" i="12"/>
  <c r="F197" i="12"/>
  <c r="R196" i="12"/>
  <c r="Q196" i="12"/>
  <c r="P196" i="12"/>
  <c r="O196" i="12"/>
  <c r="N196" i="12"/>
  <c r="M196" i="12"/>
  <c r="L196" i="12"/>
  <c r="K196" i="12"/>
  <c r="I196" i="12"/>
  <c r="H196" i="12"/>
  <c r="J196" i="12" s="1"/>
  <c r="G196" i="12"/>
  <c r="F196" i="12"/>
  <c r="R195" i="12"/>
  <c r="Q195" i="12"/>
  <c r="P195" i="12"/>
  <c r="O195" i="12"/>
  <c r="N195" i="12"/>
  <c r="M195" i="12"/>
  <c r="L195" i="12"/>
  <c r="K195" i="12"/>
  <c r="I195" i="12"/>
  <c r="H195" i="12"/>
  <c r="J195" i="12" s="1"/>
  <c r="G195" i="12"/>
  <c r="F195" i="12"/>
  <c r="R194" i="12"/>
  <c r="Q194" i="12"/>
  <c r="P194" i="12"/>
  <c r="O194" i="12"/>
  <c r="N194" i="12"/>
  <c r="L194" i="12"/>
  <c r="K194" i="12"/>
  <c r="M194" i="12" s="1"/>
  <c r="J194" i="12"/>
  <c r="I194" i="12"/>
  <c r="H194" i="12"/>
  <c r="G194" i="12"/>
  <c r="F194" i="12"/>
  <c r="R193" i="12"/>
  <c r="Q193" i="12"/>
  <c r="P193" i="12"/>
  <c r="O193" i="12"/>
  <c r="N193" i="12"/>
  <c r="L193" i="12"/>
  <c r="K193" i="12"/>
  <c r="M193" i="12" s="1"/>
  <c r="J193" i="12"/>
  <c r="I193" i="12"/>
  <c r="H193" i="12"/>
  <c r="G193" i="12"/>
  <c r="F193" i="12"/>
  <c r="R192" i="12"/>
  <c r="Q192" i="12"/>
  <c r="P192" i="12"/>
  <c r="O192" i="12"/>
  <c r="N192" i="12"/>
  <c r="L192" i="12"/>
  <c r="K192" i="12"/>
  <c r="M192" i="12" s="1"/>
  <c r="I192" i="12"/>
  <c r="H192" i="12"/>
  <c r="J192" i="12" s="1"/>
  <c r="G192" i="12"/>
  <c r="F192" i="12"/>
  <c r="R191" i="12"/>
  <c r="Q191" i="12"/>
  <c r="P191" i="12"/>
  <c r="O191" i="12"/>
  <c r="N191" i="12"/>
  <c r="M191" i="12"/>
  <c r="L191" i="12"/>
  <c r="K191" i="12"/>
  <c r="I191" i="12"/>
  <c r="H191" i="12"/>
  <c r="J191" i="12" s="1"/>
  <c r="G191" i="12"/>
  <c r="F191" i="12"/>
  <c r="R190" i="12"/>
  <c r="Q190" i="12"/>
  <c r="P190" i="12"/>
  <c r="O190" i="12"/>
  <c r="N190" i="12"/>
  <c r="M190" i="12"/>
  <c r="L190" i="12"/>
  <c r="K190" i="12"/>
  <c r="I190" i="12"/>
  <c r="H190" i="12"/>
  <c r="J190" i="12" s="1"/>
  <c r="G190" i="12"/>
  <c r="F190" i="12"/>
  <c r="R189" i="12"/>
  <c r="Q189" i="12"/>
  <c r="P189" i="12"/>
  <c r="O189" i="12"/>
  <c r="N189" i="12"/>
  <c r="L189" i="12"/>
  <c r="K189" i="12"/>
  <c r="M189" i="12" s="1"/>
  <c r="J189" i="12"/>
  <c r="I189" i="12"/>
  <c r="H189" i="12"/>
  <c r="G189" i="12"/>
  <c r="F189" i="12"/>
  <c r="R188" i="12"/>
  <c r="Q188" i="12"/>
  <c r="P188" i="12"/>
  <c r="O188" i="12"/>
  <c r="N188" i="12"/>
  <c r="L188" i="12"/>
  <c r="K188" i="12"/>
  <c r="M188" i="12" s="1"/>
  <c r="I188" i="12"/>
  <c r="H188" i="12"/>
  <c r="J188" i="12" s="1"/>
  <c r="G188" i="12"/>
  <c r="F188" i="12"/>
  <c r="R187" i="12"/>
  <c r="Q187" i="12"/>
  <c r="P187" i="12"/>
  <c r="O187" i="12"/>
  <c r="N187" i="12"/>
  <c r="L187" i="12"/>
  <c r="K187" i="12"/>
  <c r="M187" i="12" s="1"/>
  <c r="J187" i="12"/>
  <c r="I187" i="12"/>
  <c r="H187" i="12"/>
  <c r="G187" i="12"/>
  <c r="F187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F186" i="12"/>
  <c r="R185" i="12"/>
  <c r="Q185" i="12"/>
  <c r="P185" i="12"/>
  <c r="O185" i="12"/>
  <c r="N185" i="12"/>
  <c r="L185" i="12"/>
  <c r="K185" i="12"/>
  <c r="M185" i="12" s="1"/>
  <c r="I185" i="12"/>
  <c r="H185" i="12"/>
  <c r="J185" i="12" s="1"/>
  <c r="G185" i="12"/>
  <c r="F185" i="12"/>
  <c r="R184" i="12"/>
  <c r="Q184" i="12"/>
  <c r="P184" i="12"/>
  <c r="O184" i="12"/>
  <c r="N184" i="12"/>
  <c r="M184" i="12"/>
  <c r="L184" i="12"/>
  <c r="K184" i="12"/>
  <c r="I184" i="12"/>
  <c r="H184" i="12"/>
  <c r="J184" i="12" s="1"/>
  <c r="G184" i="12"/>
  <c r="F184" i="12"/>
  <c r="R183" i="12"/>
  <c r="Q183" i="12"/>
  <c r="P183" i="12"/>
  <c r="O183" i="12"/>
  <c r="N183" i="12"/>
  <c r="M183" i="12"/>
  <c r="L183" i="12"/>
  <c r="K183" i="12"/>
  <c r="I183" i="12"/>
  <c r="H183" i="12"/>
  <c r="J183" i="12" s="1"/>
  <c r="G183" i="12"/>
  <c r="F183" i="12"/>
  <c r="R182" i="12"/>
  <c r="Q182" i="12"/>
  <c r="P182" i="12"/>
  <c r="O182" i="12"/>
  <c r="N182" i="12"/>
  <c r="L182" i="12"/>
  <c r="K182" i="12"/>
  <c r="M182" i="12" s="1"/>
  <c r="J182" i="12"/>
  <c r="I182" i="12"/>
  <c r="H182" i="12"/>
  <c r="G182" i="12"/>
  <c r="F182" i="12"/>
  <c r="R181" i="12"/>
  <c r="Q181" i="12"/>
  <c r="P181" i="12"/>
  <c r="O181" i="12"/>
  <c r="N181" i="12"/>
  <c r="L181" i="12"/>
  <c r="K181" i="12"/>
  <c r="M181" i="12" s="1"/>
  <c r="J181" i="12"/>
  <c r="I181" i="12"/>
  <c r="H181" i="12"/>
  <c r="G181" i="12"/>
  <c r="F181" i="12"/>
  <c r="R180" i="12"/>
  <c r="Q180" i="12"/>
  <c r="P180" i="12"/>
  <c r="O180" i="12"/>
  <c r="N180" i="12"/>
  <c r="L180" i="12"/>
  <c r="K180" i="12"/>
  <c r="M180" i="12" s="1"/>
  <c r="I180" i="12"/>
  <c r="H180" i="12"/>
  <c r="J180" i="12" s="1"/>
  <c r="G180" i="12"/>
  <c r="F180" i="12"/>
  <c r="R179" i="12"/>
  <c r="Q179" i="12"/>
  <c r="P179" i="12"/>
  <c r="O179" i="12"/>
  <c r="N179" i="12"/>
  <c r="M179" i="12"/>
  <c r="L179" i="12"/>
  <c r="K179" i="12"/>
  <c r="I179" i="12"/>
  <c r="H179" i="12"/>
  <c r="J179" i="12" s="1"/>
  <c r="G179" i="12"/>
  <c r="F179" i="12"/>
  <c r="R178" i="12"/>
  <c r="Q178" i="12"/>
  <c r="P178" i="12"/>
  <c r="O178" i="12"/>
  <c r="N178" i="12"/>
  <c r="M178" i="12"/>
  <c r="L178" i="12"/>
  <c r="K178" i="12"/>
  <c r="I178" i="12"/>
  <c r="H178" i="12"/>
  <c r="J178" i="12" s="1"/>
  <c r="G178" i="12"/>
  <c r="F178" i="12"/>
  <c r="R177" i="12"/>
  <c r="Q177" i="12"/>
  <c r="P177" i="12"/>
  <c r="O177" i="12"/>
  <c r="N177" i="12"/>
  <c r="L177" i="12"/>
  <c r="K177" i="12"/>
  <c r="M177" i="12" s="1"/>
  <c r="J177" i="12"/>
  <c r="I177" i="12"/>
  <c r="H177" i="12"/>
  <c r="G177" i="12"/>
  <c r="F177" i="12"/>
  <c r="R176" i="12"/>
  <c r="Q176" i="12"/>
  <c r="P176" i="12"/>
  <c r="O176" i="12"/>
  <c r="N176" i="12"/>
  <c r="L176" i="12"/>
  <c r="K176" i="12"/>
  <c r="M176" i="12" s="1"/>
  <c r="I176" i="12"/>
  <c r="H176" i="12"/>
  <c r="J176" i="12" s="1"/>
  <c r="G176" i="12"/>
  <c r="F176" i="12"/>
  <c r="R175" i="12"/>
  <c r="Q175" i="12"/>
  <c r="P175" i="12"/>
  <c r="O175" i="12"/>
  <c r="N175" i="12"/>
  <c r="L175" i="12"/>
  <c r="K175" i="12"/>
  <c r="M175" i="12" s="1"/>
  <c r="J175" i="12"/>
  <c r="I175" i="12"/>
  <c r="H175" i="12"/>
  <c r="G175" i="12"/>
  <c r="F175" i="12"/>
  <c r="R174" i="12"/>
  <c r="Q174" i="12"/>
  <c r="P174" i="12"/>
  <c r="O174" i="12"/>
  <c r="N174" i="12"/>
  <c r="M174" i="12"/>
  <c r="L174" i="12"/>
  <c r="K174" i="12"/>
  <c r="J174" i="12"/>
  <c r="I174" i="12"/>
  <c r="H174" i="12"/>
  <c r="G174" i="12"/>
  <c r="F174" i="12"/>
  <c r="R173" i="12"/>
  <c r="Q173" i="12"/>
  <c r="P173" i="12"/>
  <c r="O173" i="12"/>
  <c r="N173" i="12"/>
  <c r="L173" i="12"/>
  <c r="K173" i="12"/>
  <c r="M173" i="12" s="1"/>
  <c r="I173" i="12"/>
  <c r="H173" i="12"/>
  <c r="J173" i="12" s="1"/>
  <c r="G173" i="12"/>
  <c r="F173" i="12"/>
  <c r="R172" i="12"/>
  <c r="Q172" i="12"/>
  <c r="P172" i="12"/>
  <c r="O172" i="12"/>
  <c r="N172" i="12"/>
  <c r="M172" i="12"/>
  <c r="L172" i="12"/>
  <c r="K172" i="12"/>
  <c r="I172" i="12"/>
  <c r="H172" i="12"/>
  <c r="J172" i="12" s="1"/>
  <c r="G172" i="12"/>
  <c r="F172" i="12"/>
  <c r="R171" i="12"/>
  <c r="Q171" i="12"/>
  <c r="P171" i="12"/>
  <c r="O171" i="12"/>
  <c r="N171" i="12"/>
  <c r="M171" i="12"/>
  <c r="L171" i="12"/>
  <c r="K171" i="12"/>
  <c r="I171" i="12"/>
  <c r="H171" i="12"/>
  <c r="J171" i="12" s="1"/>
  <c r="G171" i="12"/>
  <c r="F171" i="12"/>
  <c r="R170" i="12"/>
  <c r="Q170" i="12"/>
  <c r="P170" i="12"/>
  <c r="O170" i="12"/>
  <c r="N170" i="12"/>
  <c r="L170" i="12"/>
  <c r="K170" i="12"/>
  <c r="M170" i="12" s="1"/>
  <c r="J170" i="12"/>
  <c r="I170" i="12"/>
  <c r="H170" i="12"/>
  <c r="G170" i="12"/>
  <c r="F170" i="12"/>
  <c r="R169" i="12"/>
  <c r="Q169" i="12"/>
  <c r="P169" i="12"/>
  <c r="O169" i="12"/>
  <c r="N169" i="12"/>
  <c r="L169" i="12"/>
  <c r="K169" i="12"/>
  <c r="M169" i="12" s="1"/>
  <c r="J169" i="12"/>
  <c r="I169" i="12"/>
  <c r="H169" i="12"/>
  <c r="G169" i="12"/>
  <c r="F169" i="12"/>
  <c r="R168" i="12"/>
  <c r="Q168" i="12"/>
  <c r="P168" i="12"/>
  <c r="O168" i="12"/>
  <c r="N168" i="12"/>
  <c r="L168" i="12"/>
  <c r="K168" i="12"/>
  <c r="M168" i="12" s="1"/>
  <c r="I168" i="12"/>
  <c r="H168" i="12"/>
  <c r="J168" i="12" s="1"/>
  <c r="G168" i="12"/>
  <c r="F168" i="12"/>
  <c r="R167" i="12"/>
  <c r="Q167" i="12"/>
  <c r="P167" i="12"/>
  <c r="O167" i="12"/>
  <c r="N167" i="12"/>
  <c r="M167" i="12"/>
  <c r="L167" i="12"/>
  <c r="K167" i="12"/>
  <c r="I167" i="12"/>
  <c r="H167" i="12"/>
  <c r="J167" i="12" s="1"/>
  <c r="G167" i="12"/>
  <c r="F167" i="12"/>
  <c r="R166" i="12"/>
  <c r="Q166" i="12"/>
  <c r="P166" i="12"/>
  <c r="O166" i="12"/>
  <c r="N166" i="12"/>
  <c r="M166" i="12"/>
  <c r="L166" i="12"/>
  <c r="K166" i="12"/>
  <c r="I166" i="12"/>
  <c r="H166" i="12"/>
  <c r="J166" i="12" s="1"/>
  <c r="G166" i="12"/>
  <c r="F166" i="12"/>
  <c r="R165" i="12"/>
  <c r="Q165" i="12"/>
  <c r="P165" i="12"/>
  <c r="O165" i="12"/>
  <c r="N165" i="12"/>
  <c r="L165" i="12"/>
  <c r="K165" i="12"/>
  <c r="M165" i="12" s="1"/>
  <c r="J165" i="12"/>
  <c r="I165" i="12"/>
  <c r="H165" i="12"/>
  <c r="G165" i="12"/>
  <c r="F165" i="12"/>
  <c r="R164" i="12"/>
  <c r="Q164" i="12"/>
  <c r="P164" i="12"/>
  <c r="O164" i="12"/>
  <c r="N164" i="12"/>
  <c r="L164" i="12"/>
  <c r="K164" i="12"/>
  <c r="M164" i="12" s="1"/>
  <c r="I164" i="12"/>
  <c r="H164" i="12"/>
  <c r="J164" i="12" s="1"/>
  <c r="G164" i="12"/>
  <c r="F164" i="12"/>
  <c r="R163" i="12"/>
  <c r="Q163" i="12"/>
  <c r="P163" i="12"/>
  <c r="O163" i="12"/>
  <c r="N163" i="12"/>
  <c r="L163" i="12"/>
  <c r="K163" i="12"/>
  <c r="M163" i="12" s="1"/>
  <c r="J163" i="12"/>
  <c r="I163" i="12"/>
  <c r="H163" i="12"/>
  <c r="G163" i="12"/>
  <c r="F163" i="12"/>
  <c r="R162" i="12"/>
  <c r="Q162" i="12"/>
  <c r="P162" i="12"/>
  <c r="O162" i="12"/>
  <c r="N162" i="12"/>
  <c r="M162" i="12"/>
  <c r="L162" i="12"/>
  <c r="K162" i="12"/>
  <c r="J162" i="12"/>
  <c r="I162" i="12"/>
  <c r="H162" i="12"/>
  <c r="G162" i="12"/>
  <c r="F162" i="12"/>
  <c r="R161" i="12"/>
  <c r="Q161" i="12"/>
  <c r="P161" i="12"/>
  <c r="O161" i="12"/>
  <c r="N161" i="12"/>
  <c r="L161" i="12"/>
  <c r="K161" i="12"/>
  <c r="M161" i="12" s="1"/>
  <c r="I161" i="12"/>
  <c r="H161" i="12"/>
  <c r="J161" i="12" s="1"/>
  <c r="G161" i="12"/>
  <c r="F161" i="12"/>
  <c r="R160" i="12"/>
  <c r="Q160" i="12"/>
  <c r="P160" i="12"/>
  <c r="O160" i="12"/>
  <c r="N160" i="12"/>
  <c r="M160" i="12"/>
  <c r="L160" i="12"/>
  <c r="K160" i="12"/>
  <c r="I160" i="12"/>
  <c r="H160" i="12"/>
  <c r="J160" i="12" s="1"/>
  <c r="G160" i="12"/>
  <c r="F160" i="12"/>
  <c r="R159" i="12"/>
  <c r="Q159" i="12"/>
  <c r="P159" i="12"/>
  <c r="O159" i="12"/>
  <c r="N159" i="12"/>
  <c r="M159" i="12"/>
  <c r="L159" i="12"/>
  <c r="K159" i="12"/>
  <c r="I159" i="12"/>
  <c r="H159" i="12"/>
  <c r="J159" i="12" s="1"/>
  <c r="G159" i="12"/>
  <c r="F159" i="12"/>
  <c r="R158" i="12"/>
  <c r="Q158" i="12"/>
  <c r="P158" i="12"/>
  <c r="O158" i="12"/>
  <c r="N158" i="12"/>
  <c r="L158" i="12"/>
  <c r="K158" i="12"/>
  <c r="M158" i="12" s="1"/>
  <c r="J158" i="12"/>
  <c r="I158" i="12"/>
  <c r="H158" i="12"/>
  <c r="G158" i="12"/>
  <c r="F158" i="12"/>
  <c r="R157" i="12"/>
  <c r="Q157" i="12"/>
  <c r="P157" i="12"/>
  <c r="O157" i="12"/>
  <c r="N157" i="12"/>
  <c r="L157" i="12"/>
  <c r="K157" i="12"/>
  <c r="M157" i="12" s="1"/>
  <c r="J157" i="12"/>
  <c r="I157" i="12"/>
  <c r="H157" i="12"/>
  <c r="G157" i="12"/>
  <c r="F157" i="12"/>
  <c r="R156" i="12"/>
  <c r="Q156" i="12"/>
  <c r="P156" i="12"/>
  <c r="O156" i="12"/>
  <c r="N156" i="12"/>
  <c r="L156" i="12"/>
  <c r="K156" i="12"/>
  <c r="M156" i="12" s="1"/>
  <c r="I156" i="12"/>
  <c r="H156" i="12"/>
  <c r="J156" i="12" s="1"/>
  <c r="G156" i="12"/>
  <c r="F156" i="12"/>
  <c r="R155" i="12"/>
  <c r="Q155" i="12"/>
  <c r="P155" i="12"/>
  <c r="O155" i="12"/>
  <c r="N155" i="12"/>
  <c r="M155" i="12"/>
  <c r="L155" i="12"/>
  <c r="K155" i="12"/>
  <c r="I155" i="12"/>
  <c r="H155" i="12"/>
  <c r="J155" i="12" s="1"/>
  <c r="G155" i="12"/>
  <c r="F155" i="12"/>
  <c r="R154" i="12"/>
  <c r="Q154" i="12"/>
  <c r="P154" i="12"/>
  <c r="O154" i="12"/>
  <c r="N154" i="12"/>
  <c r="M154" i="12"/>
  <c r="L154" i="12"/>
  <c r="K154" i="12"/>
  <c r="I154" i="12"/>
  <c r="H154" i="12"/>
  <c r="J154" i="12" s="1"/>
  <c r="G154" i="12"/>
  <c r="F154" i="12"/>
  <c r="R153" i="12"/>
  <c r="Q153" i="12"/>
  <c r="P153" i="12"/>
  <c r="O153" i="12"/>
  <c r="N153" i="12"/>
  <c r="L153" i="12"/>
  <c r="K153" i="12"/>
  <c r="M153" i="12" s="1"/>
  <c r="J153" i="12"/>
  <c r="I153" i="12"/>
  <c r="H153" i="12"/>
  <c r="G153" i="12"/>
  <c r="F153" i="12"/>
  <c r="R152" i="12"/>
  <c r="Q152" i="12"/>
  <c r="P152" i="12"/>
  <c r="O152" i="12"/>
  <c r="N152" i="12"/>
  <c r="L152" i="12"/>
  <c r="K152" i="12"/>
  <c r="M152" i="12" s="1"/>
  <c r="I152" i="12"/>
  <c r="H152" i="12"/>
  <c r="J152" i="12" s="1"/>
  <c r="G152" i="12"/>
  <c r="F152" i="12"/>
  <c r="R151" i="12"/>
  <c r="Q151" i="12"/>
  <c r="P151" i="12"/>
  <c r="O151" i="12"/>
  <c r="N151" i="12"/>
  <c r="L151" i="12"/>
  <c r="K151" i="12"/>
  <c r="M151" i="12" s="1"/>
  <c r="J151" i="12"/>
  <c r="I151" i="12"/>
  <c r="H151" i="12"/>
  <c r="G151" i="12"/>
  <c r="F151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R149" i="12"/>
  <c r="Q149" i="12"/>
  <c r="P149" i="12"/>
  <c r="O149" i="12"/>
  <c r="N149" i="12"/>
  <c r="L149" i="12"/>
  <c r="K149" i="12"/>
  <c r="M149" i="12" s="1"/>
  <c r="I149" i="12"/>
  <c r="H149" i="12"/>
  <c r="J149" i="12" s="1"/>
  <c r="G149" i="12"/>
  <c r="F149" i="12"/>
  <c r="R148" i="12"/>
  <c r="Q148" i="12"/>
  <c r="P148" i="12"/>
  <c r="O148" i="12"/>
  <c r="N148" i="12"/>
  <c r="M148" i="12"/>
  <c r="L148" i="12"/>
  <c r="K148" i="12"/>
  <c r="I148" i="12"/>
  <c r="H148" i="12"/>
  <c r="J148" i="12" s="1"/>
  <c r="G148" i="12"/>
  <c r="F148" i="12"/>
  <c r="R147" i="12"/>
  <c r="Q147" i="12"/>
  <c r="P147" i="12"/>
  <c r="O147" i="12"/>
  <c r="N147" i="12"/>
  <c r="M147" i="12"/>
  <c r="L147" i="12"/>
  <c r="K147" i="12"/>
  <c r="I147" i="12"/>
  <c r="H147" i="12"/>
  <c r="J147" i="12" s="1"/>
  <c r="G147" i="12"/>
  <c r="F147" i="12"/>
  <c r="R146" i="12"/>
  <c r="Q146" i="12"/>
  <c r="P146" i="12"/>
  <c r="O146" i="12"/>
  <c r="N146" i="12"/>
  <c r="L146" i="12"/>
  <c r="K146" i="12"/>
  <c r="M146" i="12" s="1"/>
  <c r="J146" i="12"/>
  <c r="I146" i="12"/>
  <c r="H146" i="12"/>
  <c r="G146" i="12"/>
  <c r="F146" i="12"/>
  <c r="R145" i="12"/>
  <c r="Q145" i="12"/>
  <c r="P145" i="12"/>
  <c r="O145" i="12"/>
  <c r="N145" i="12"/>
  <c r="L145" i="12"/>
  <c r="K145" i="12"/>
  <c r="M145" i="12" s="1"/>
  <c r="J145" i="12"/>
  <c r="I145" i="12"/>
  <c r="H145" i="12"/>
  <c r="G145" i="12"/>
  <c r="F145" i="12"/>
  <c r="R144" i="12"/>
  <c r="Q144" i="12"/>
  <c r="P144" i="12"/>
  <c r="O144" i="12"/>
  <c r="N144" i="12"/>
  <c r="L144" i="12"/>
  <c r="K144" i="12"/>
  <c r="M144" i="12" s="1"/>
  <c r="I144" i="12"/>
  <c r="H144" i="12"/>
  <c r="J144" i="12" s="1"/>
  <c r="G144" i="12"/>
  <c r="F144" i="12"/>
  <c r="R143" i="12"/>
  <c r="Q143" i="12"/>
  <c r="P143" i="12"/>
  <c r="O143" i="12"/>
  <c r="N143" i="12"/>
  <c r="M143" i="12"/>
  <c r="L143" i="12"/>
  <c r="K143" i="12"/>
  <c r="I143" i="12"/>
  <c r="H143" i="12"/>
  <c r="J143" i="12" s="1"/>
  <c r="G143" i="12"/>
  <c r="F143" i="12"/>
  <c r="R142" i="12"/>
  <c r="Q142" i="12"/>
  <c r="P142" i="12"/>
  <c r="O142" i="12"/>
  <c r="N142" i="12"/>
  <c r="M142" i="12"/>
  <c r="L142" i="12"/>
  <c r="K142" i="12"/>
  <c r="I142" i="12"/>
  <c r="H142" i="12"/>
  <c r="J142" i="12" s="1"/>
  <c r="G142" i="12"/>
  <c r="F142" i="12"/>
  <c r="R141" i="12"/>
  <c r="Q141" i="12"/>
  <c r="P141" i="12"/>
  <c r="O141" i="12"/>
  <c r="N141" i="12"/>
  <c r="L141" i="12"/>
  <c r="K141" i="12"/>
  <c r="M141" i="12" s="1"/>
  <c r="J141" i="12"/>
  <c r="I141" i="12"/>
  <c r="H141" i="12"/>
  <c r="G141" i="12"/>
  <c r="F141" i="12"/>
  <c r="R140" i="12"/>
  <c r="Q140" i="12"/>
  <c r="P140" i="12"/>
  <c r="O140" i="12"/>
  <c r="N140" i="12"/>
  <c r="L140" i="12"/>
  <c r="K140" i="12"/>
  <c r="M140" i="12" s="1"/>
  <c r="I140" i="12"/>
  <c r="H140" i="12"/>
  <c r="J140" i="12" s="1"/>
  <c r="G140" i="12"/>
  <c r="F140" i="12"/>
  <c r="R139" i="12"/>
  <c r="Q139" i="12"/>
  <c r="P139" i="12"/>
  <c r="O139" i="12"/>
  <c r="N139" i="12"/>
  <c r="L139" i="12"/>
  <c r="K139" i="12"/>
  <c r="M139" i="12" s="1"/>
  <c r="J139" i="12"/>
  <c r="I139" i="12"/>
  <c r="H139" i="12"/>
  <c r="G139" i="12"/>
  <c r="F139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R137" i="12"/>
  <c r="Q137" i="12"/>
  <c r="P137" i="12"/>
  <c r="O137" i="12"/>
  <c r="N137" i="12"/>
  <c r="L137" i="12"/>
  <c r="K137" i="12"/>
  <c r="M137" i="12" s="1"/>
  <c r="I137" i="12"/>
  <c r="H137" i="12"/>
  <c r="J137" i="12" s="1"/>
  <c r="G137" i="12"/>
  <c r="F137" i="12"/>
  <c r="R136" i="12"/>
  <c r="Q136" i="12"/>
  <c r="P136" i="12"/>
  <c r="O136" i="12"/>
  <c r="N136" i="12"/>
  <c r="M136" i="12"/>
  <c r="L136" i="12"/>
  <c r="K136" i="12"/>
  <c r="I136" i="12"/>
  <c r="H136" i="12"/>
  <c r="J136" i="12" s="1"/>
  <c r="G136" i="12"/>
  <c r="F136" i="12"/>
  <c r="R135" i="12"/>
  <c r="Q135" i="12"/>
  <c r="P135" i="12"/>
  <c r="O135" i="12"/>
  <c r="N135" i="12"/>
  <c r="M135" i="12"/>
  <c r="L135" i="12"/>
  <c r="K135" i="12"/>
  <c r="I135" i="12"/>
  <c r="H135" i="12"/>
  <c r="J135" i="12" s="1"/>
  <c r="G135" i="12"/>
  <c r="F135" i="12"/>
  <c r="R134" i="12"/>
  <c r="Q134" i="12"/>
  <c r="P134" i="12"/>
  <c r="O134" i="12"/>
  <c r="N134" i="12"/>
  <c r="L134" i="12"/>
  <c r="K134" i="12"/>
  <c r="M134" i="12" s="1"/>
  <c r="J134" i="12"/>
  <c r="I134" i="12"/>
  <c r="H134" i="12"/>
  <c r="G134" i="12"/>
  <c r="F134" i="12"/>
  <c r="R133" i="12"/>
  <c r="Q133" i="12"/>
  <c r="P133" i="12"/>
  <c r="O133" i="12"/>
  <c r="N133" i="12"/>
  <c r="L133" i="12"/>
  <c r="K133" i="12"/>
  <c r="M133" i="12" s="1"/>
  <c r="J133" i="12"/>
  <c r="I133" i="12"/>
  <c r="H133" i="12"/>
  <c r="G133" i="12"/>
  <c r="F133" i="12"/>
  <c r="R132" i="12"/>
  <c r="Q132" i="12"/>
  <c r="P132" i="12"/>
  <c r="O132" i="12"/>
  <c r="N132" i="12"/>
  <c r="L132" i="12"/>
  <c r="K132" i="12"/>
  <c r="M132" i="12" s="1"/>
  <c r="I132" i="12"/>
  <c r="H132" i="12"/>
  <c r="J132" i="12" s="1"/>
  <c r="G132" i="12"/>
  <c r="F132" i="12"/>
  <c r="R131" i="12"/>
  <c r="Q131" i="12"/>
  <c r="P131" i="12"/>
  <c r="O131" i="12"/>
  <c r="N131" i="12"/>
  <c r="M131" i="12"/>
  <c r="L131" i="12"/>
  <c r="K131" i="12"/>
  <c r="I131" i="12"/>
  <c r="H131" i="12"/>
  <c r="J131" i="12" s="1"/>
  <c r="G131" i="12"/>
  <c r="F131" i="12"/>
  <c r="R130" i="12"/>
  <c r="Q130" i="12"/>
  <c r="P130" i="12"/>
  <c r="O130" i="12"/>
  <c r="N130" i="12"/>
  <c r="M130" i="12"/>
  <c r="L130" i="12"/>
  <c r="K130" i="12"/>
  <c r="I130" i="12"/>
  <c r="H130" i="12"/>
  <c r="J130" i="12" s="1"/>
  <c r="G130" i="12"/>
  <c r="F130" i="12"/>
  <c r="R129" i="12"/>
  <c r="Q129" i="12"/>
  <c r="P129" i="12"/>
  <c r="O129" i="12"/>
  <c r="N129" i="12"/>
  <c r="L129" i="12"/>
  <c r="K129" i="12"/>
  <c r="M129" i="12" s="1"/>
  <c r="J129" i="12"/>
  <c r="I129" i="12"/>
  <c r="H129" i="12"/>
  <c r="G129" i="12"/>
  <c r="F129" i="12"/>
  <c r="R128" i="12"/>
  <c r="Q128" i="12"/>
  <c r="P128" i="12"/>
  <c r="O128" i="12"/>
  <c r="N128" i="12"/>
  <c r="L128" i="12"/>
  <c r="K128" i="12"/>
  <c r="M128" i="12" s="1"/>
  <c r="I128" i="12"/>
  <c r="H128" i="12"/>
  <c r="J128" i="12" s="1"/>
  <c r="G128" i="12"/>
  <c r="F128" i="12"/>
  <c r="R127" i="12"/>
  <c r="Q127" i="12"/>
  <c r="P127" i="12"/>
  <c r="O127" i="12"/>
  <c r="N127" i="12"/>
  <c r="L127" i="12"/>
  <c r="K127" i="12"/>
  <c r="M127" i="12" s="1"/>
  <c r="J127" i="12"/>
  <c r="I127" i="12"/>
  <c r="H127" i="12"/>
  <c r="G127" i="12"/>
  <c r="F127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R125" i="12"/>
  <c r="Q125" i="12"/>
  <c r="P125" i="12"/>
  <c r="O125" i="12"/>
  <c r="N125" i="12"/>
  <c r="L125" i="12"/>
  <c r="K125" i="12"/>
  <c r="M125" i="12" s="1"/>
  <c r="I125" i="12"/>
  <c r="H125" i="12"/>
  <c r="J125" i="12" s="1"/>
  <c r="G125" i="12"/>
  <c r="F125" i="12"/>
  <c r="R124" i="12"/>
  <c r="Q124" i="12"/>
  <c r="P124" i="12"/>
  <c r="O124" i="12"/>
  <c r="N124" i="12"/>
  <c r="M124" i="12"/>
  <c r="L124" i="12"/>
  <c r="K124" i="12"/>
  <c r="I124" i="12"/>
  <c r="H124" i="12"/>
  <c r="J124" i="12" s="1"/>
  <c r="G124" i="12"/>
  <c r="F124" i="12"/>
  <c r="R123" i="12"/>
  <c r="Q123" i="12"/>
  <c r="P123" i="12"/>
  <c r="O123" i="12"/>
  <c r="N123" i="12"/>
  <c r="M123" i="12"/>
  <c r="L123" i="12"/>
  <c r="K123" i="12"/>
  <c r="I123" i="12"/>
  <c r="H123" i="12"/>
  <c r="J123" i="12" s="1"/>
  <c r="G123" i="12"/>
  <c r="F123" i="12"/>
  <c r="R122" i="12"/>
  <c r="Q122" i="12"/>
  <c r="P122" i="12"/>
  <c r="O122" i="12"/>
  <c r="N122" i="12"/>
  <c r="L122" i="12"/>
  <c r="K122" i="12"/>
  <c r="M122" i="12" s="1"/>
  <c r="J122" i="12"/>
  <c r="I122" i="12"/>
  <c r="H122" i="12"/>
  <c r="G122" i="12"/>
  <c r="F122" i="12"/>
  <c r="R121" i="12"/>
  <c r="Q121" i="12"/>
  <c r="P121" i="12"/>
  <c r="O121" i="12"/>
  <c r="N121" i="12"/>
  <c r="L121" i="12"/>
  <c r="K121" i="12"/>
  <c r="M121" i="12" s="1"/>
  <c r="J121" i="12"/>
  <c r="I121" i="12"/>
  <c r="H121" i="12"/>
  <c r="G121" i="12"/>
  <c r="F121" i="12"/>
  <c r="R120" i="12"/>
  <c r="Q120" i="12"/>
  <c r="P120" i="12"/>
  <c r="O120" i="12"/>
  <c r="N120" i="12"/>
  <c r="L120" i="12"/>
  <c r="K120" i="12"/>
  <c r="M120" i="12" s="1"/>
  <c r="I120" i="12"/>
  <c r="H120" i="12"/>
  <c r="J120" i="12" s="1"/>
  <c r="G120" i="12"/>
  <c r="F120" i="12"/>
  <c r="R119" i="12"/>
  <c r="Q119" i="12"/>
  <c r="P119" i="12"/>
  <c r="O119" i="12"/>
  <c r="N119" i="12"/>
  <c r="M119" i="12"/>
  <c r="L119" i="12"/>
  <c r="K119" i="12"/>
  <c r="I119" i="12"/>
  <c r="H119" i="12"/>
  <c r="J119" i="12" s="1"/>
  <c r="G119" i="12"/>
  <c r="F119" i="12"/>
  <c r="R118" i="12"/>
  <c r="Q118" i="12"/>
  <c r="P118" i="12"/>
  <c r="O118" i="12"/>
  <c r="N118" i="12"/>
  <c r="M118" i="12"/>
  <c r="L118" i="12"/>
  <c r="K118" i="12"/>
  <c r="I118" i="12"/>
  <c r="H118" i="12"/>
  <c r="J118" i="12" s="1"/>
  <c r="G118" i="12"/>
  <c r="F118" i="12"/>
  <c r="R117" i="12"/>
  <c r="Q117" i="12"/>
  <c r="P117" i="12"/>
  <c r="O117" i="12"/>
  <c r="N117" i="12"/>
  <c r="L117" i="12"/>
  <c r="K117" i="12"/>
  <c r="M117" i="12" s="1"/>
  <c r="J117" i="12"/>
  <c r="I117" i="12"/>
  <c r="H117" i="12"/>
  <c r="G117" i="12"/>
  <c r="F117" i="12"/>
  <c r="R116" i="12"/>
  <c r="Q116" i="12"/>
  <c r="P116" i="12"/>
  <c r="O116" i="12"/>
  <c r="N116" i="12"/>
  <c r="L116" i="12"/>
  <c r="K116" i="12"/>
  <c r="M116" i="12" s="1"/>
  <c r="I116" i="12"/>
  <c r="H116" i="12"/>
  <c r="J116" i="12" s="1"/>
  <c r="G116" i="12"/>
  <c r="F116" i="12"/>
  <c r="R115" i="12"/>
  <c r="Q115" i="12"/>
  <c r="P115" i="12"/>
  <c r="O115" i="12"/>
  <c r="N115" i="12"/>
  <c r="L115" i="12"/>
  <c r="K115" i="12"/>
  <c r="M115" i="12" s="1"/>
  <c r="J115" i="12"/>
  <c r="I115" i="12"/>
  <c r="H115" i="12"/>
  <c r="G115" i="12"/>
  <c r="F115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R113" i="12"/>
  <c r="Q113" i="12"/>
  <c r="P113" i="12"/>
  <c r="O113" i="12"/>
  <c r="N113" i="12"/>
  <c r="L113" i="12"/>
  <c r="K113" i="12"/>
  <c r="M113" i="12" s="1"/>
  <c r="I113" i="12"/>
  <c r="H113" i="12"/>
  <c r="J113" i="12" s="1"/>
  <c r="G113" i="12"/>
  <c r="F113" i="12"/>
  <c r="R112" i="12"/>
  <c r="Q112" i="12"/>
  <c r="P112" i="12"/>
  <c r="O112" i="12"/>
  <c r="N112" i="12"/>
  <c r="M112" i="12"/>
  <c r="L112" i="12"/>
  <c r="K112" i="12"/>
  <c r="I112" i="12"/>
  <c r="H112" i="12"/>
  <c r="J112" i="12" s="1"/>
  <c r="G112" i="12"/>
  <c r="F112" i="12"/>
  <c r="R111" i="12"/>
  <c r="Q111" i="12"/>
  <c r="P111" i="12"/>
  <c r="O111" i="12"/>
  <c r="N111" i="12"/>
  <c r="M111" i="12"/>
  <c r="L111" i="12"/>
  <c r="K111" i="12"/>
  <c r="I111" i="12"/>
  <c r="H111" i="12"/>
  <c r="J111" i="12" s="1"/>
  <c r="G111" i="12"/>
  <c r="F111" i="12"/>
  <c r="R110" i="12"/>
  <c r="Q110" i="12"/>
  <c r="P110" i="12"/>
  <c r="O110" i="12"/>
  <c r="N110" i="12"/>
  <c r="L110" i="12"/>
  <c r="K110" i="12"/>
  <c r="M110" i="12" s="1"/>
  <c r="J110" i="12"/>
  <c r="I110" i="12"/>
  <c r="H110" i="12"/>
  <c r="G110" i="12"/>
  <c r="F110" i="12"/>
  <c r="R109" i="12"/>
  <c r="Q109" i="12"/>
  <c r="P109" i="12"/>
  <c r="O109" i="12"/>
  <c r="N109" i="12"/>
  <c r="L109" i="12"/>
  <c r="K109" i="12"/>
  <c r="M109" i="12" s="1"/>
  <c r="J109" i="12"/>
  <c r="I109" i="12"/>
  <c r="H109" i="12"/>
  <c r="G109" i="12"/>
  <c r="F109" i="12"/>
  <c r="R108" i="12"/>
  <c r="Q108" i="12"/>
  <c r="P108" i="12"/>
  <c r="O108" i="12"/>
  <c r="N108" i="12"/>
  <c r="L108" i="12"/>
  <c r="K108" i="12"/>
  <c r="M108" i="12" s="1"/>
  <c r="I108" i="12"/>
  <c r="H108" i="12"/>
  <c r="J108" i="12" s="1"/>
  <c r="G108" i="12"/>
  <c r="F108" i="12"/>
  <c r="R107" i="12"/>
  <c r="Q107" i="12"/>
  <c r="P107" i="12"/>
  <c r="O107" i="12"/>
  <c r="N107" i="12"/>
  <c r="M107" i="12"/>
  <c r="L107" i="12"/>
  <c r="K107" i="12"/>
  <c r="I107" i="12"/>
  <c r="H107" i="12"/>
  <c r="J107" i="12" s="1"/>
  <c r="G107" i="12"/>
  <c r="F107" i="12"/>
  <c r="R106" i="12"/>
  <c r="Q106" i="12"/>
  <c r="P106" i="12"/>
  <c r="O106" i="12"/>
  <c r="N106" i="12"/>
  <c r="M106" i="12"/>
  <c r="L106" i="12"/>
  <c r="K106" i="12"/>
  <c r="I106" i="12"/>
  <c r="H106" i="12"/>
  <c r="J106" i="12" s="1"/>
  <c r="G106" i="12"/>
  <c r="F106" i="12"/>
  <c r="R105" i="12"/>
  <c r="Q105" i="12"/>
  <c r="P105" i="12"/>
  <c r="O105" i="12"/>
  <c r="N105" i="12"/>
  <c r="L105" i="12"/>
  <c r="K105" i="12"/>
  <c r="M105" i="12" s="1"/>
  <c r="J105" i="12"/>
  <c r="I105" i="12"/>
  <c r="H105" i="12"/>
  <c r="G105" i="12"/>
  <c r="F105" i="12"/>
  <c r="R104" i="12"/>
  <c r="Q104" i="12"/>
  <c r="P104" i="12"/>
  <c r="O104" i="12"/>
  <c r="N104" i="12"/>
  <c r="L104" i="12"/>
  <c r="K104" i="12"/>
  <c r="M104" i="12" s="1"/>
  <c r="I104" i="12"/>
  <c r="H104" i="12"/>
  <c r="J104" i="12" s="1"/>
  <c r="G104" i="12"/>
  <c r="F104" i="12"/>
  <c r="R103" i="12"/>
  <c r="Q103" i="12"/>
  <c r="P103" i="12"/>
  <c r="O103" i="12"/>
  <c r="N103" i="12"/>
  <c r="L103" i="12"/>
  <c r="K103" i="12"/>
  <c r="M103" i="12" s="1"/>
  <c r="J103" i="12"/>
  <c r="I103" i="12"/>
  <c r="H103" i="12"/>
  <c r="G103" i="12"/>
  <c r="F103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R101" i="12"/>
  <c r="Q101" i="12"/>
  <c r="P101" i="12"/>
  <c r="O101" i="12"/>
  <c r="N101" i="12"/>
  <c r="L101" i="12"/>
  <c r="K101" i="12"/>
  <c r="M101" i="12" s="1"/>
  <c r="I101" i="12"/>
  <c r="H101" i="12"/>
  <c r="J101" i="12" s="1"/>
  <c r="G101" i="12"/>
  <c r="F101" i="12"/>
  <c r="R100" i="12"/>
  <c r="Q100" i="12"/>
  <c r="P100" i="12"/>
  <c r="O100" i="12"/>
  <c r="N100" i="12"/>
  <c r="M100" i="12"/>
  <c r="L100" i="12"/>
  <c r="K100" i="12"/>
  <c r="I100" i="12"/>
  <c r="H100" i="12"/>
  <c r="J100" i="12" s="1"/>
  <c r="G100" i="12"/>
  <c r="F100" i="12"/>
  <c r="R99" i="12"/>
  <c r="Q99" i="12"/>
  <c r="P99" i="12"/>
  <c r="O99" i="12"/>
  <c r="N99" i="12"/>
  <c r="M99" i="12"/>
  <c r="L99" i="12"/>
  <c r="K99" i="12"/>
  <c r="I99" i="12"/>
  <c r="H99" i="12"/>
  <c r="J99" i="12" s="1"/>
  <c r="G99" i="12"/>
  <c r="F99" i="12"/>
  <c r="R98" i="12"/>
  <c r="Q98" i="12"/>
  <c r="P98" i="12"/>
  <c r="O98" i="12"/>
  <c r="N98" i="12"/>
  <c r="L98" i="12"/>
  <c r="K98" i="12"/>
  <c r="M98" i="12" s="1"/>
  <c r="J98" i="12"/>
  <c r="I98" i="12"/>
  <c r="H98" i="12"/>
  <c r="G98" i="12"/>
  <c r="F98" i="12"/>
  <c r="R97" i="12"/>
  <c r="Q97" i="12"/>
  <c r="P97" i="12"/>
  <c r="O97" i="12"/>
  <c r="N97" i="12"/>
  <c r="L97" i="12"/>
  <c r="K97" i="12"/>
  <c r="M97" i="12" s="1"/>
  <c r="J97" i="12"/>
  <c r="I97" i="12"/>
  <c r="H97" i="12"/>
  <c r="G97" i="12"/>
  <c r="F97" i="12"/>
  <c r="R96" i="12"/>
  <c r="Q96" i="12"/>
  <c r="P96" i="12"/>
  <c r="O96" i="12"/>
  <c r="N96" i="12"/>
  <c r="L96" i="12"/>
  <c r="K96" i="12"/>
  <c r="M96" i="12" s="1"/>
  <c r="I96" i="12"/>
  <c r="H96" i="12"/>
  <c r="J96" i="12" s="1"/>
  <c r="G96" i="12"/>
  <c r="F96" i="12"/>
  <c r="R95" i="12"/>
  <c r="Q95" i="12"/>
  <c r="P95" i="12"/>
  <c r="O95" i="12"/>
  <c r="N95" i="12"/>
  <c r="M95" i="12"/>
  <c r="L95" i="12"/>
  <c r="K95" i="12"/>
  <c r="I95" i="12"/>
  <c r="H95" i="12"/>
  <c r="J95" i="12" s="1"/>
  <c r="G95" i="12"/>
  <c r="F95" i="12"/>
  <c r="R94" i="12"/>
  <c r="Q94" i="12"/>
  <c r="P94" i="12"/>
  <c r="O94" i="12"/>
  <c r="N94" i="12"/>
  <c r="M94" i="12"/>
  <c r="L94" i="12"/>
  <c r="K94" i="12"/>
  <c r="I94" i="12"/>
  <c r="H94" i="12"/>
  <c r="J94" i="12" s="1"/>
  <c r="G94" i="12"/>
  <c r="F94" i="12"/>
  <c r="R93" i="12"/>
  <c r="Q93" i="12"/>
  <c r="P93" i="12"/>
  <c r="O93" i="12"/>
  <c r="N93" i="12"/>
  <c r="L93" i="12"/>
  <c r="K93" i="12"/>
  <c r="M93" i="12" s="1"/>
  <c r="J93" i="12"/>
  <c r="I93" i="12"/>
  <c r="H93" i="12"/>
  <c r="G93" i="12"/>
  <c r="F93" i="12"/>
  <c r="R92" i="12"/>
  <c r="Q92" i="12"/>
  <c r="P92" i="12"/>
  <c r="O92" i="12"/>
  <c r="N92" i="12"/>
  <c r="L92" i="12"/>
  <c r="K92" i="12"/>
  <c r="M92" i="12" s="1"/>
  <c r="I92" i="12"/>
  <c r="H92" i="12"/>
  <c r="J92" i="12" s="1"/>
  <c r="G92" i="12"/>
  <c r="F92" i="12"/>
  <c r="R91" i="12"/>
  <c r="Q91" i="12"/>
  <c r="P91" i="12"/>
  <c r="O91" i="12"/>
  <c r="N91" i="12"/>
  <c r="L91" i="12"/>
  <c r="K91" i="12"/>
  <c r="M91" i="12" s="1"/>
  <c r="J91" i="12"/>
  <c r="I91" i="12"/>
  <c r="H91" i="12"/>
  <c r="G91" i="12"/>
  <c r="F91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R89" i="12"/>
  <c r="Q89" i="12"/>
  <c r="P89" i="12"/>
  <c r="O89" i="12"/>
  <c r="N89" i="12"/>
  <c r="L89" i="12"/>
  <c r="K89" i="12"/>
  <c r="M89" i="12" s="1"/>
  <c r="I89" i="12"/>
  <c r="H89" i="12"/>
  <c r="J89" i="12" s="1"/>
  <c r="G89" i="12"/>
  <c r="F89" i="12"/>
  <c r="R88" i="12"/>
  <c r="Q88" i="12"/>
  <c r="P88" i="12"/>
  <c r="O88" i="12"/>
  <c r="N88" i="12"/>
  <c r="M88" i="12"/>
  <c r="L88" i="12"/>
  <c r="K88" i="12"/>
  <c r="I88" i="12"/>
  <c r="H88" i="12"/>
  <c r="J88" i="12" s="1"/>
  <c r="G88" i="12"/>
  <c r="F88" i="12"/>
  <c r="R87" i="12"/>
  <c r="Q87" i="12"/>
  <c r="P87" i="12"/>
  <c r="O87" i="12"/>
  <c r="N87" i="12"/>
  <c r="M87" i="12"/>
  <c r="L87" i="12"/>
  <c r="K87" i="12"/>
  <c r="I87" i="12"/>
  <c r="H87" i="12"/>
  <c r="J87" i="12" s="1"/>
  <c r="G87" i="12"/>
  <c r="F87" i="12"/>
  <c r="R86" i="12"/>
  <c r="Q86" i="12"/>
  <c r="P86" i="12"/>
  <c r="O86" i="12"/>
  <c r="N86" i="12"/>
  <c r="L86" i="12"/>
  <c r="K86" i="12"/>
  <c r="M86" i="12" s="1"/>
  <c r="J86" i="12"/>
  <c r="I86" i="12"/>
  <c r="H86" i="12"/>
  <c r="G86" i="12"/>
  <c r="F86" i="12"/>
  <c r="R85" i="12"/>
  <c r="Q85" i="12"/>
  <c r="P85" i="12"/>
  <c r="O85" i="12"/>
  <c r="N85" i="12"/>
  <c r="L85" i="12"/>
  <c r="K85" i="12"/>
  <c r="M85" i="12" s="1"/>
  <c r="J85" i="12"/>
  <c r="I85" i="12"/>
  <c r="H85" i="12"/>
  <c r="G85" i="12"/>
  <c r="F85" i="12"/>
  <c r="R84" i="12"/>
  <c r="Q84" i="12"/>
  <c r="P84" i="12"/>
  <c r="O84" i="12"/>
  <c r="N84" i="12"/>
  <c r="L84" i="12"/>
  <c r="K84" i="12"/>
  <c r="M84" i="12" s="1"/>
  <c r="I84" i="12"/>
  <c r="H84" i="12"/>
  <c r="J84" i="12" s="1"/>
  <c r="G84" i="12"/>
  <c r="F84" i="12"/>
  <c r="R83" i="12"/>
  <c r="Q83" i="12"/>
  <c r="P83" i="12"/>
  <c r="O83" i="12"/>
  <c r="N83" i="12"/>
  <c r="M83" i="12"/>
  <c r="L83" i="12"/>
  <c r="K83" i="12"/>
  <c r="I83" i="12"/>
  <c r="H83" i="12"/>
  <c r="J83" i="12" s="1"/>
  <c r="G83" i="12"/>
  <c r="F83" i="12"/>
  <c r="R82" i="12"/>
  <c r="Q82" i="12"/>
  <c r="P82" i="12"/>
  <c r="O82" i="12"/>
  <c r="N82" i="12"/>
  <c r="M82" i="12"/>
  <c r="L82" i="12"/>
  <c r="K82" i="12"/>
  <c r="I82" i="12"/>
  <c r="H82" i="12"/>
  <c r="J82" i="12" s="1"/>
  <c r="G82" i="12"/>
  <c r="F82" i="12"/>
  <c r="R81" i="12"/>
  <c r="Q81" i="12"/>
  <c r="P81" i="12"/>
  <c r="O81" i="12"/>
  <c r="N81" i="12"/>
  <c r="L81" i="12"/>
  <c r="K81" i="12"/>
  <c r="M81" i="12" s="1"/>
  <c r="J81" i="12"/>
  <c r="I81" i="12"/>
  <c r="H81" i="12"/>
  <c r="G81" i="12"/>
  <c r="F81" i="12"/>
  <c r="R80" i="12"/>
  <c r="Q80" i="12"/>
  <c r="P80" i="12"/>
  <c r="O80" i="12"/>
  <c r="N80" i="12"/>
  <c r="L80" i="12"/>
  <c r="K80" i="12"/>
  <c r="M80" i="12" s="1"/>
  <c r="I80" i="12"/>
  <c r="H80" i="12"/>
  <c r="J80" i="12" s="1"/>
  <c r="G80" i="12"/>
  <c r="F80" i="12"/>
  <c r="R79" i="12"/>
  <c r="Q79" i="12"/>
  <c r="P79" i="12"/>
  <c r="O79" i="12"/>
  <c r="N79" i="12"/>
  <c r="L79" i="12"/>
  <c r="K79" i="12"/>
  <c r="M79" i="12" s="1"/>
  <c r="J79" i="12"/>
  <c r="I79" i="12"/>
  <c r="H79" i="12"/>
  <c r="G79" i="12"/>
  <c r="F79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R77" i="12"/>
  <c r="Q77" i="12"/>
  <c r="P77" i="12"/>
  <c r="O77" i="12"/>
  <c r="N77" i="12"/>
  <c r="L77" i="12"/>
  <c r="K77" i="12"/>
  <c r="M77" i="12" s="1"/>
  <c r="I77" i="12"/>
  <c r="H77" i="12"/>
  <c r="J77" i="12" s="1"/>
  <c r="G77" i="12"/>
  <c r="F77" i="12"/>
  <c r="R76" i="12"/>
  <c r="Q76" i="12"/>
  <c r="P76" i="12"/>
  <c r="O76" i="12"/>
  <c r="N76" i="12"/>
  <c r="M76" i="12"/>
  <c r="L76" i="12"/>
  <c r="K76" i="12"/>
  <c r="I76" i="12"/>
  <c r="H76" i="12"/>
  <c r="J76" i="12" s="1"/>
  <c r="G76" i="12"/>
  <c r="F76" i="12"/>
  <c r="R75" i="12"/>
  <c r="Q75" i="12"/>
  <c r="P75" i="12"/>
  <c r="O75" i="12"/>
  <c r="N75" i="12"/>
  <c r="M75" i="12"/>
  <c r="L75" i="12"/>
  <c r="K75" i="12"/>
  <c r="I75" i="12"/>
  <c r="H75" i="12"/>
  <c r="J75" i="12" s="1"/>
  <c r="G75" i="12"/>
  <c r="F75" i="12"/>
  <c r="R74" i="12"/>
  <c r="Q74" i="12"/>
  <c r="P74" i="12"/>
  <c r="O74" i="12"/>
  <c r="N74" i="12"/>
  <c r="L74" i="12"/>
  <c r="K74" i="12"/>
  <c r="M74" i="12" s="1"/>
  <c r="J74" i="12"/>
  <c r="I74" i="12"/>
  <c r="H74" i="12"/>
  <c r="G74" i="12"/>
  <c r="F74" i="12"/>
  <c r="R73" i="12"/>
  <c r="Q73" i="12"/>
  <c r="P73" i="12"/>
  <c r="O73" i="12"/>
  <c r="N73" i="12"/>
  <c r="L73" i="12"/>
  <c r="K73" i="12"/>
  <c r="M73" i="12" s="1"/>
  <c r="J73" i="12"/>
  <c r="I73" i="12"/>
  <c r="H73" i="12"/>
  <c r="G73" i="12"/>
  <c r="F73" i="12"/>
  <c r="R72" i="12"/>
  <c r="Q72" i="12"/>
  <c r="P72" i="12"/>
  <c r="O72" i="12"/>
  <c r="N72" i="12"/>
  <c r="L72" i="12"/>
  <c r="K72" i="12"/>
  <c r="M72" i="12" s="1"/>
  <c r="I72" i="12"/>
  <c r="H72" i="12"/>
  <c r="J72" i="12" s="1"/>
  <c r="G72" i="12"/>
  <c r="F72" i="12"/>
  <c r="R71" i="12"/>
  <c r="Q71" i="12"/>
  <c r="P71" i="12"/>
  <c r="O71" i="12"/>
  <c r="N71" i="12"/>
  <c r="M71" i="12"/>
  <c r="L71" i="12"/>
  <c r="K71" i="12"/>
  <c r="I71" i="12"/>
  <c r="H71" i="12"/>
  <c r="J71" i="12" s="1"/>
  <c r="G71" i="12"/>
  <c r="F71" i="12"/>
  <c r="R70" i="12"/>
  <c r="Q70" i="12"/>
  <c r="P70" i="12"/>
  <c r="O70" i="12"/>
  <c r="N70" i="12"/>
  <c r="M70" i="12"/>
  <c r="L70" i="12"/>
  <c r="K70" i="12"/>
  <c r="I70" i="12"/>
  <c r="H70" i="12"/>
  <c r="J70" i="12" s="1"/>
  <c r="G70" i="12"/>
  <c r="F70" i="12"/>
  <c r="R69" i="12"/>
  <c r="Q69" i="12"/>
  <c r="P69" i="12"/>
  <c r="O69" i="12"/>
  <c r="N69" i="12"/>
  <c r="L69" i="12"/>
  <c r="K69" i="12"/>
  <c r="M69" i="12" s="1"/>
  <c r="J69" i="12"/>
  <c r="I69" i="12"/>
  <c r="H69" i="12"/>
  <c r="G69" i="12"/>
  <c r="F69" i="12"/>
  <c r="R68" i="12"/>
  <c r="Q68" i="12"/>
  <c r="P68" i="12"/>
  <c r="O68" i="12"/>
  <c r="N68" i="12"/>
  <c r="L68" i="12"/>
  <c r="K68" i="12"/>
  <c r="M68" i="12" s="1"/>
  <c r="I68" i="12"/>
  <c r="H68" i="12"/>
  <c r="J68" i="12" s="1"/>
  <c r="G68" i="12"/>
  <c r="F68" i="12"/>
  <c r="R67" i="12"/>
  <c r="Q67" i="12"/>
  <c r="P67" i="12"/>
  <c r="O67" i="12"/>
  <c r="N67" i="12"/>
  <c r="L67" i="12"/>
  <c r="K67" i="12"/>
  <c r="M67" i="12" s="1"/>
  <c r="J67" i="12"/>
  <c r="I67" i="12"/>
  <c r="H67" i="12"/>
  <c r="G67" i="12"/>
  <c r="F67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R65" i="12"/>
  <c r="Q65" i="12"/>
  <c r="P65" i="12"/>
  <c r="O65" i="12"/>
  <c r="N65" i="12"/>
  <c r="L65" i="12"/>
  <c r="K65" i="12"/>
  <c r="M65" i="12" s="1"/>
  <c r="I65" i="12"/>
  <c r="H65" i="12"/>
  <c r="J65" i="12" s="1"/>
  <c r="G65" i="12"/>
  <c r="F65" i="12"/>
  <c r="R64" i="12"/>
  <c r="Q64" i="12"/>
  <c r="P64" i="12"/>
  <c r="O64" i="12"/>
  <c r="N64" i="12"/>
  <c r="M64" i="12"/>
  <c r="L64" i="12"/>
  <c r="K64" i="12"/>
  <c r="I64" i="12"/>
  <c r="H64" i="12"/>
  <c r="J64" i="12" s="1"/>
  <c r="G64" i="12"/>
  <c r="F64" i="12"/>
  <c r="R63" i="12"/>
  <c r="Q63" i="12"/>
  <c r="P63" i="12"/>
  <c r="O63" i="12"/>
  <c r="N63" i="12"/>
  <c r="M63" i="12"/>
  <c r="L63" i="12"/>
  <c r="K63" i="12"/>
  <c r="I63" i="12"/>
  <c r="H63" i="12"/>
  <c r="J63" i="12" s="1"/>
  <c r="G63" i="12"/>
  <c r="F63" i="12"/>
  <c r="R62" i="12"/>
  <c r="Q62" i="12"/>
  <c r="P62" i="12"/>
  <c r="O62" i="12"/>
  <c r="N62" i="12"/>
  <c r="L62" i="12"/>
  <c r="K62" i="12"/>
  <c r="M62" i="12" s="1"/>
  <c r="J62" i="12"/>
  <c r="I62" i="12"/>
  <c r="H62" i="12"/>
  <c r="G62" i="12"/>
  <c r="F62" i="12"/>
  <c r="R61" i="12"/>
  <c r="Q61" i="12"/>
  <c r="P61" i="12"/>
  <c r="O61" i="12"/>
  <c r="N61" i="12"/>
  <c r="L61" i="12"/>
  <c r="K61" i="12"/>
  <c r="M61" i="12" s="1"/>
  <c r="J61" i="12"/>
  <c r="I61" i="12"/>
  <c r="H61" i="12"/>
  <c r="G61" i="12"/>
  <c r="F61" i="12"/>
  <c r="R60" i="12"/>
  <c r="Q60" i="12"/>
  <c r="P60" i="12"/>
  <c r="O60" i="12"/>
  <c r="N60" i="12"/>
  <c r="L60" i="12"/>
  <c r="K60" i="12"/>
  <c r="M60" i="12" s="1"/>
  <c r="I60" i="12"/>
  <c r="H60" i="12"/>
  <c r="J60" i="12" s="1"/>
  <c r="G60" i="12"/>
  <c r="F60" i="12"/>
  <c r="R59" i="12"/>
  <c r="Q59" i="12"/>
  <c r="P59" i="12"/>
  <c r="O59" i="12"/>
  <c r="N59" i="12"/>
  <c r="M59" i="12"/>
  <c r="L59" i="12"/>
  <c r="K59" i="12"/>
  <c r="I59" i="12"/>
  <c r="H59" i="12"/>
  <c r="J59" i="12" s="1"/>
  <c r="G59" i="12"/>
  <c r="F59" i="12"/>
  <c r="R58" i="12"/>
  <c r="Q58" i="12"/>
  <c r="P58" i="12"/>
  <c r="O58" i="12"/>
  <c r="N58" i="12"/>
  <c r="M58" i="12"/>
  <c r="L58" i="12"/>
  <c r="K58" i="12"/>
  <c r="I58" i="12"/>
  <c r="H58" i="12"/>
  <c r="J58" i="12" s="1"/>
  <c r="G58" i="12"/>
  <c r="F58" i="12"/>
  <c r="R57" i="12"/>
  <c r="Q57" i="12"/>
  <c r="P57" i="12"/>
  <c r="O57" i="12"/>
  <c r="N57" i="12"/>
  <c r="L57" i="12"/>
  <c r="K57" i="12"/>
  <c r="M57" i="12" s="1"/>
  <c r="J57" i="12"/>
  <c r="I57" i="12"/>
  <c r="H57" i="12"/>
  <c r="G57" i="12"/>
  <c r="F57" i="12"/>
  <c r="R56" i="12"/>
  <c r="Q56" i="12"/>
  <c r="P56" i="12"/>
  <c r="O56" i="12"/>
  <c r="N56" i="12"/>
  <c r="L56" i="12"/>
  <c r="K56" i="12"/>
  <c r="M56" i="12" s="1"/>
  <c r="I56" i="12"/>
  <c r="H56" i="12"/>
  <c r="J56" i="12" s="1"/>
  <c r="G56" i="12"/>
  <c r="F56" i="12"/>
  <c r="R55" i="12"/>
  <c r="Q55" i="12"/>
  <c r="P55" i="12"/>
  <c r="O55" i="12"/>
  <c r="N55" i="12"/>
  <c r="L55" i="12"/>
  <c r="K55" i="12"/>
  <c r="M55" i="12" s="1"/>
  <c r="J55" i="12"/>
  <c r="I55" i="12"/>
  <c r="H55" i="12"/>
  <c r="G55" i="12"/>
  <c r="F55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R53" i="12"/>
  <c r="Q53" i="12"/>
  <c r="P53" i="12"/>
  <c r="O53" i="12"/>
  <c r="N53" i="12"/>
  <c r="L53" i="12"/>
  <c r="K53" i="12"/>
  <c r="M53" i="12" s="1"/>
  <c r="I53" i="12"/>
  <c r="H53" i="12"/>
  <c r="J53" i="12" s="1"/>
  <c r="G53" i="12"/>
  <c r="F53" i="12"/>
  <c r="R52" i="12"/>
  <c r="Q52" i="12"/>
  <c r="P52" i="12"/>
  <c r="O52" i="12"/>
  <c r="N52" i="12"/>
  <c r="M52" i="12"/>
  <c r="L52" i="12"/>
  <c r="K52" i="12"/>
  <c r="I52" i="12"/>
  <c r="H52" i="12"/>
  <c r="J52" i="12" s="1"/>
  <c r="G52" i="12"/>
  <c r="F52" i="12"/>
  <c r="R51" i="12"/>
  <c r="Q51" i="12"/>
  <c r="P51" i="12"/>
  <c r="O51" i="12"/>
  <c r="N51" i="12"/>
  <c r="M51" i="12"/>
  <c r="L51" i="12"/>
  <c r="K51" i="12"/>
  <c r="I51" i="12"/>
  <c r="H51" i="12"/>
  <c r="J51" i="12" s="1"/>
  <c r="G51" i="12"/>
  <c r="F51" i="12"/>
  <c r="R50" i="12"/>
  <c r="Q50" i="12"/>
  <c r="P50" i="12"/>
  <c r="O50" i="12"/>
  <c r="N50" i="12"/>
  <c r="L50" i="12"/>
  <c r="K50" i="12"/>
  <c r="M50" i="12" s="1"/>
  <c r="J50" i="12"/>
  <c r="I50" i="12"/>
  <c r="H50" i="12"/>
  <c r="G50" i="12"/>
  <c r="F50" i="12"/>
  <c r="R49" i="12"/>
  <c r="Q49" i="12"/>
  <c r="P49" i="12"/>
  <c r="O49" i="12"/>
  <c r="N49" i="12"/>
  <c r="L49" i="12"/>
  <c r="K49" i="12"/>
  <c r="M49" i="12" s="1"/>
  <c r="J49" i="12"/>
  <c r="I49" i="12"/>
  <c r="H49" i="12"/>
  <c r="G49" i="12"/>
  <c r="F49" i="12"/>
  <c r="R48" i="12"/>
  <c r="Q48" i="12"/>
  <c r="P48" i="12"/>
  <c r="O48" i="12"/>
  <c r="N48" i="12"/>
  <c r="L48" i="12"/>
  <c r="K48" i="12"/>
  <c r="M48" i="12" s="1"/>
  <c r="I48" i="12"/>
  <c r="H48" i="12"/>
  <c r="J48" i="12" s="1"/>
  <c r="G48" i="12"/>
  <c r="F48" i="12"/>
  <c r="R47" i="12"/>
  <c r="Q47" i="12"/>
  <c r="P47" i="12"/>
  <c r="O47" i="12"/>
  <c r="N47" i="12"/>
  <c r="M47" i="12"/>
  <c r="L47" i="12"/>
  <c r="K47" i="12"/>
  <c r="I47" i="12"/>
  <c r="H47" i="12"/>
  <c r="J47" i="12" s="1"/>
  <c r="G47" i="12"/>
  <c r="F47" i="12"/>
  <c r="R46" i="12"/>
  <c r="Q46" i="12"/>
  <c r="P46" i="12"/>
  <c r="O46" i="12"/>
  <c r="N46" i="12"/>
  <c r="M46" i="12"/>
  <c r="L46" i="12"/>
  <c r="K46" i="12"/>
  <c r="I46" i="12"/>
  <c r="H46" i="12"/>
  <c r="J46" i="12" s="1"/>
  <c r="G46" i="12"/>
  <c r="F46" i="12"/>
  <c r="R45" i="12"/>
  <c r="Q45" i="12"/>
  <c r="P45" i="12"/>
  <c r="O45" i="12"/>
  <c r="N45" i="12"/>
  <c r="L45" i="12"/>
  <c r="K45" i="12"/>
  <c r="M45" i="12" s="1"/>
  <c r="J45" i="12"/>
  <c r="I45" i="12"/>
  <c r="H45" i="12"/>
  <c r="G45" i="12"/>
  <c r="F45" i="12"/>
  <c r="R44" i="12"/>
  <c r="Q44" i="12"/>
  <c r="P44" i="12"/>
  <c r="O44" i="12"/>
  <c r="N44" i="12"/>
  <c r="L44" i="12"/>
  <c r="K44" i="12"/>
  <c r="M44" i="12" s="1"/>
  <c r="I44" i="12"/>
  <c r="H44" i="12"/>
  <c r="J44" i="12" s="1"/>
  <c r="G44" i="12"/>
  <c r="F44" i="12"/>
  <c r="R43" i="12"/>
  <c r="Q43" i="12"/>
  <c r="P43" i="12"/>
  <c r="O43" i="12"/>
  <c r="N43" i="12"/>
  <c r="L43" i="12"/>
  <c r="K43" i="12"/>
  <c r="M43" i="12" s="1"/>
  <c r="J43" i="12"/>
  <c r="I43" i="12"/>
  <c r="H43" i="12"/>
  <c r="G43" i="12"/>
  <c r="F43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R41" i="12"/>
  <c r="Q41" i="12"/>
  <c r="P41" i="12"/>
  <c r="O41" i="12"/>
  <c r="N41" i="12"/>
  <c r="L41" i="12"/>
  <c r="K41" i="12"/>
  <c r="M41" i="12" s="1"/>
  <c r="I41" i="12"/>
  <c r="H41" i="12"/>
  <c r="J41" i="12" s="1"/>
  <c r="G41" i="12"/>
  <c r="F41" i="12"/>
  <c r="R40" i="12"/>
  <c r="Q40" i="12"/>
  <c r="P40" i="12"/>
  <c r="O40" i="12"/>
  <c r="N40" i="12"/>
  <c r="M40" i="12"/>
  <c r="L40" i="12"/>
  <c r="K40" i="12"/>
  <c r="I40" i="12"/>
  <c r="H40" i="12"/>
  <c r="J40" i="12" s="1"/>
  <c r="G40" i="12"/>
  <c r="F40" i="12"/>
  <c r="R39" i="12"/>
  <c r="Q39" i="12"/>
  <c r="P39" i="12"/>
  <c r="O39" i="12"/>
  <c r="N39" i="12"/>
  <c r="M39" i="12"/>
  <c r="L39" i="12"/>
  <c r="K39" i="12"/>
  <c r="I39" i="12"/>
  <c r="H39" i="12"/>
  <c r="J39" i="12" s="1"/>
  <c r="G39" i="12"/>
  <c r="F39" i="12"/>
  <c r="R38" i="12"/>
  <c r="Q38" i="12"/>
  <c r="P38" i="12"/>
  <c r="O38" i="12"/>
  <c r="N38" i="12"/>
  <c r="L38" i="12"/>
  <c r="K38" i="12"/>
  <c r="M38" i="12" s="1"/>
  <c r="J38" i="12"/>
  <c r="I38" i="12"/>
  <c r="H38" i="12"/>
  <c r="G38" i="12"/>
  <c r="F38" i="12"/>
  <c r="R37" i="12"/>
  <c r="Q37" i="12"/>
  <c r="P37" i="12"/>
  <c r="O37" i="12"/>
  <c r="N37" i="12"/>
  <c r="L37" i="12"/>
  <c r="K37" i="12"/>
  <c r="M37" i="12" s="1"/>
  <c r="J37" i="12"/>
  <c r="I37" i="12"/>
  <c r="H37" i="12"/>
  <c r="G37" i="12"/>
  <c r="F37" i="12"/>
  <c r="R36" i="12"/>
  <c r="Q36" i="12"/>
  <c r="P36" i="12"/>
  <c r="O36" i="12"/>
  <c r="N36" i="12"/>
  <c r="L36" i="12"/>
  <c r="K36" i="12"/>
  <c r="M36" i="12" s="1"/>
  <c r="I36" i="12"/>
  <c r="H36" i="12"/>
  <c r="J36" i="12" s="1"/>
  <c r="G36" i="12"/>
  <c r="F36" i="12"/>
  <c r="R35" i="12"/>
  <c r="Q35" i="12"/>
  <c r="P35" i="12"/>
  <c r="O35" i="12"/>
  <c r="N35" i="12"/>
  <c r="M35" i="12"/>
  <c r="L35" i="12"/>
  <c r="K35" i="12"/>
  <c r="I35" i="12"/>
  <c r="H35" i="12"/>
  <c r="J35" i="12" s="1"/>
  <c r="G35" i="12"/>
  <c r="F35" i="12"/>
  <c r="R34" i="12"/>
  <c r="Q34" i="12"/>
  <c r="P34" i="12"/>
  <c r="O34" i="12"/>
  <c r="N34" i="12"/>
  <c r="M34" i="12"/>
  <c r="L34" i="12"/>
  <c r="K34" i="12"/>
  <c r="I34" i="12"/>
  <c r="H34" i="12"/>
  <c r="J34" i="12" s="1"/>
  <c r="G34" i="12"/>
  <c r="F34" i="12"/>
  <c r="R33" i="12"/>
  <c r="Q33" i="12"/>
  <c r="P33" i="12"/>
  <c r="O33" i="12"/>
  <c r="N33" i="12"/>
  <c r="L33" i="12"/>
  <c r="K33" i="12"/>
  <c r="M33" i="12" s="1"/>
  <c r="J33" i="12"/>
  <c r="I33" i="12"/>
  <c r="H33" i="12"/>
  <c r="G33" i="12"/>
  <c r="F33" i="12"/>
  <c r="R32" i="12"/>
  <c r="Q32" i="12"/>
  <c r="P32" i="12"/>
  <c r="O32" i="12"/>
  <c r="N32" i="12"/>
  <c r="L32" i="12"/>
  <c r="K32" i="12"/>
  <c r="M32" i="12" s="1"/>
  <c r="I32" i="12"/>
  <c r="H32" i="12"/>
  <c r="J32" i="12" s="1"/>
  <c r="G32" i="12"/>
  <c r="F32" i="12"/>
  <c r="R31" i="12"/>
  <c r="Q31" i="12"/>
  <c r="P31" i="12"/>
  <c r="O31" i="12"/>
  <c r="N31" i="12"/>
  <c r="L31" i="12"/>
  <c r="K31" i="12"/>
  <c r="M31" i="12" s="1"/>
  <c r="J31" i="12"/>
  <c r="I31" i="12"/>
  <c r="H31" i="12"/>
  <c r="G31" i="12"/>
  <c r="F31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R29" i="12"/>
  <c r="Q29" i="12"/>
  <c r="P29" i="12"/>
  <c r="O29" i="12"/>
  <c r="N29" i="12"/>
  <c r="L29" i="12"/>
  <c r="K29" i="12"/>
  <c r="M29" i="12" s="1"/>
  <c r="I29" i="12"/>
  <c r="H29" i="12"/>
  <c r="J29" i="12" s="1"/>
  <c r="G29" i="12"/>
  <c r="F29" i="12"/>
  <c r="R28" i="12"/>
  <c r="Q28" i="12"/>
  <c r="P28" i="12"/>
  <c r="O28" i="12"/>
  <c r="N28" i="12"/>
  <c r="M28" i="12"/>
  <c r="L28" i="12"/>
  <c r="K28" i="12"/>
  <c r="I28" i="12"/>
  <c r="H28" i="12"/>
  <c r="J28" i="12" s="1"/>
  <c r="G28" i="12"/>
  <c r="F28" i="12"/>
  <c r="R27" i="12"/>
  <c r="Q27" i="12"/>
  <c r="P27" i="12"/>
  <c r="O27" i="12"/>
  <c r="N27" i="12"/>
  <c r="M27" i="12"/>
  <c r="L27" i="12"/>
  <c r="K27" i="12"/>
  <c r="I27" i="12"/>
  <c r="H27" i="12"/>
  <c r="J27" i="12" s="1"/>
  <c r="G27" i="12"/>
  <c r="F27" i="12"/>
  <c r="R26" i="12"/>
  <c r="Q26" i="12"/>
  <c r="P26" i="12"/>
  <c r="O26" i="12"/>
  <c r="N26" i="12"/>
  <c r="L26" i="12"/>
  <c r="K26" i="12"/>
  <c r="M26" i="12" s="1"/>
  <c r="J26" i="12"/>
  <c r="I26" i="12"/>
  <c r="H26" i="12"/>
  <c r="G26" i="12"/>
  <c r="F26" i="12"/>
  <c r="R25" i="12"/>
  <c r="Q25" i="12"/>
  <c r="P25" i="12"/>
  <c r="O25" i="12"/>
  <c r="N25" i="12"/>
  <c r="L25" i="12"/>
  <c r="K25" i="12"/>
  <c r="M25" i="12" s="1"/>
  <c r="J25" i="12"/>
  <c r="I25" i="12"/>
  <c r="H25" i="12"/>
  <c r="G25" i="12"/>
  <c r="F25" i="12"/>
  <c r="R24" i="12"/>
  <c r="Q24" i="12"/>
  <c r="P24" i="12"/>
  <c r="O24" i="12"/>
  <c r="N24" i="12"/>
  <c r="L24" i="12"/>
  <c r="K24" i="12"/>
  <c r="M24" i="12" s="1"/>
  <c r="I24" i="12"/>
  <c r="H24" i="12"/>
  <c r="J24" i="12" s="1"/>
  <c r="G24" i="12"/>
  <c r="F24" i="12"/>
  <c r="R23" i="12"/>
  <c r="Q23" i="12"/>
  <c r="P23" i="12"/>
  <c r="O23" i="12"/>
  <c r="N23" i="12"/>
  <c r="M23" i="12"/>
  <c r="L23" i="12"/>
  <c r="K23" i="12"/>
  <c r="I23" i="12"/>
  <c r="H23" i="12"/>
  <c r="J23" i="12" s="1"/>
  <c r="G23" i="12"/>
  <c r="F23" i="12"/>
  <c r="R22" i="12"/>
  <c r="Q22" i="12"/>
  <c r="P22" i="12"/>
  <c r="O22" i="12"/>
  <c r="N22" i="12"/>
  <c r="M22" i="12"/>
  <c r="L22" i="12"/>
  <c r="K22" i="12"/>
  <c r="I22" i="12"/>
  <c r="H22" i="12"/>
  <c r="J22" i="12" s="1"/>
  <c r="G22" i="12"/>
  <c r="F22" i="12"/>
  <c r="R21" i="12"/>
  <c r="Q21" i="12"/>
  <c r="P21" i="12"/>
  <c r="O21" i="12"/>
  <c r="N21" i="12"/>
  <c r="L21" i="12"/>
  <c r="K21" i="12"/>
  <c r="M21" i="12" s="1"/>
  <c r="J21" i="12"/>
  <c r="I21" i="12"/>
  <c r="H21" i="12"/>
  <c r="G21" i="12"/>
  <c r="F21" i="12"/>
  <c r="R20" i="12"/>
  <c r="Q20" i="12"/>
  <c r="P20" i="12"/>
  <c r="O20" i="12"/>
  <c r="N20" i="12"/>
  <c r="L20" i="12"/>
  <c r="K20" i="12"/>
  <c r="M20" i="12" s="1"/>
  <c r="I20" i="12"/>
  <c r="H20" i="12"/>
  <c r="J20" i="12" s="1"/>
  <c r="G20" i="12"/>
  <c r="F20" i="12"/>
  <c r="R19" i="12"/>
  <c r="Q19" i="12"/>
  <c r="P19" i="12"/>
  <c r="O19" i="12"/>
  <c r="N19" i="12"/>
  <c r="L19" i="12"/>
  <c r="K19" i="12"/>
  <c r="M19" i="12" s="1"/>
  <c r="J19" i="12"/>
  <c r="I19" i="12"/>
  <c r="H19" i="12"/>
  <c r="G19" i="12"/>
  <c r="F19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R17" i="12"/>
  <c r="Q17" i="12"/>
  <c r="P17" i="12"/>
  <c r="O17" i="12"/>
  <c r="N17" i="12"/>
  <c r="L17" i="12"/>
  <c r="K17" i="12"/>
  <c r="M17" i="12" s="1"/>
  <c r="I17" i="12"/>
  <c r="H17" i="12"/>
  <c r="J17" i="12" s="1"/>
  <c r="G17" i="12"/>
  <c r="F17" i="12"/>
  <c r="R16" i="12"/>
  <c r="Q16" i="12"/>
  <c r="P16" i="12"/>
  <c r="O16" i="12"/>
  <c r="N16" i="12"/>
  <c r="M16" i="12"/>
  <c r="L16" i="12"/>
  <c r="K16" i="12"/>
  <c r="I16" i="12"/>
  <c r="H16" i="12"/>
  <c r="J16" i="12" s="1"/>
  <c r="G16" i="12"/>
  <c r="F16" i="12"/>
  <c r="R15" i="12"/>
  <c r="Q15" i="12"/>
  <c r="P15" i="12"/>
  <c r="O15" i="12"/>
  <c r="N15" i="12"/>
  <c r="M15" i="12"/>
  <c r="L15" i="12"/>
  <c r="K15" i="12"/>
  <c r="I15" i="12"/>
  <c r="H15" i="12"/>
  <c r="J15" i="12" s="1"/>
  <c r="G15" i="12"/>
  <c r="F15" i="12"/>
  <c r="R14" i="12"/>
  <c r="Q14" i="12"/>
  <c r="P14" i="12"/>
  <c r="O14" i="12"/>
  <c r="N14" i="12"/>
  <c r="L14" i="12"/>
  <c r="K14" i="12"/>
  <c r="M14" i="12" s="1"/>
  <c r="J14" i="12"/>
  <c r="I14" i="12"/>
  <c r="H14" i="12"/>
  <c r="G14" i="12"/>
  <c r="F14" i="12"/>
  <c r="R13" i="12"/>
  <c r="Q13" i="12"/>
  <c r="P13" i="12"/>
  <c r="O13" i="12"/>
  <c r="N13" i="12"/>
  <c r="L13" i="12"/>
  <c r="K13" i="12"/>
  <c r="M13" i="12" s="1"/>
  <c r="J13" i="12"/>
  <c r="I13" i="12"/>
  <c r="H13" i="12"/>
  <c r="G13" i="12"/>
  <c r="F13" i="12"/>
  <c r="R12" i="12"/>
  <c r="Q12" i="12"/>
  <c r="P12" i="12"/>
  <c r="O12" i="12"/>
  <c r="N12" i="12"/>
  <c r="L12" i="12"/>
  <c r="K12" i="12"/>
  <c r="M12" i="12" s="1"/>
  <c r="I12" i="12"/>
  <c r="H12" i="12"/>
  <c r="J12" i="12" s="1"/>
  <c r="G12" i="12"/>
  <c r="F12" i="12"/>
  <c r="R11" i="12"/>
  <c r="Q11" i="12"/>
  <c r="P11" i="12"/>
  <c r="O11" i="12"/>
  <c r="N11" i="12"/>
  <c r="M11" i="12"/>
  <c r="L11" i="12"/>
  <c r="K11" i="12"/>
  <c r="I11" i="12"/>
  <c r="H11" i="12"/>
  <c r="J11" i="12" s="1"/>
  <c r="G11" i="12"/>
  <c r="F11" i="12"/>
  <c r="R10" i="12"/>
  <c r="Q10" i="12"/>
  <c r="P10" i="12"/>
  <c r="O10" i="12"/>
  <c r="N10" i="12"/>
  <c r="M10" i="12"/>
  <c r="L10" i="12"/>
  <c r="K10" i="12"/>
  <c r="I10" i="12"/>
  <c r="H10" i="12"/>
  <c r="J10" i="12" s="1"/>
  <c r="G10" i="12"/>
  <c r="F10" i="12"/>
  <c r="R9" i="12"/>
  <c r="Q9" i="12"/>
  <c r="P9" i="12"/>
  <c r="O9" i="12"/>
  <c r="N9" i="12"/>
  <c r="L9" i="12"/>
  <c r="K9" i="12"/>
  <c r="M9" i="12" s="1"/>
  <c r="J9" i="12"/>
  <c r="I9" i="12"/>
  <c r="H9" i="12"/>
  <c r="G9" i="12"/>
  <c r="F9" i="12"/>
  <c r="R8" i="12"/>
  <c r="Q8" i="12"/>
  <c r="P8" i="12"/>
  <c r="O8" i="12"/>
  <c r="N8" i="12"/>
  <c r="L8" i="12"/>
  <c r="K8" i="12"/>
  <c r="M8" i="12" s="1"/>
  <c r="I8" i="12"/>
  <c r="H8" i="12"/>
  <c r="J8" i="12" s="1"/>
  <c r="G8" i="12"/>
  <c r="F8" i="12"/>
  <c r="R7" i="12"/>
  <c r="Q7" i="12"/>
  <c r="P7" i="12"/>
  <c r="O7" i="12"/>
  <c r="N7" i="12"/>
  <c r="L7" i="12"/>
  <c r="K7" i="12"/>
  <c r="M7" i="12" s="1"/>
  <c r="J7" i="12"/>
  <c r="I7" i="12"/>
  <c r="H7" i="12"/>
  <c r="G7" i="12"/>
  <c r="F7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R5" i="12"/>
  <c r="Q5" i="12"/>
  <c r="P5" i="12"/>
  <c r="O5" i="12"/>
  <c r="N5" i="12"/>
  <c r="L5" i="12"/>
  <c r="K5" i="12"/>
  <c r="M5" i="12" s="1"/>
  <c r="I5" i="12"/>
  <c r="H5" i="12"/>
  <c r="J5" i="12" s="1"/>
  <c r="G5" i="12"/>
  <c r="F5" i="12"/>
  <c r="R4" i="12"/>
  <c r="Q4" i="12"/>
  <c r="P4" i="12"/>
  <c r="O4" i="12"/>
  <c r="N4" i="12"/>
  <c r="M4" i="12"/>
  <c r="L4" i="12"/>
  <c r="K4" i="12"/>
  <c r="I4" i="12"/>
  <c r="H4" i="12"/>
  <c r="J4" i="12" s="1"/>
  <c r="G4" i="12"/>
  <c r="F4" i="12"/>
  <c r="R3" i="12"/>
  <c r="Q3" i="12"/>
  <c r="P3" i="12"/>
  <c r="O3" i="12"/>
  <c r="N3" i="12"/>
  <c r="M3" i="12"/>
  <c r="L3" i="12"/>
  <c r="K3" i="12"/>
  <c r="I3" i="12"/>
  <c r="H3" i="12"/>
  <c r="J3" i="12" s="1"/>
  <c r="G3" i="12"/>
  <c r="F3" i="12"/>
  <c r="R2" i="12"/>
  <c r="Q2" i="12"/>
  <c r="P2" i="12"/>
  <c r="O2" i="12"/>
  <c r="N2" i="12"/>
  <c r="L2" i="12"/>
  <c r="K2" i="12"/>
  <c r="M2" i="12" s="1"/>
  <c r="J2" i="12"/>
  <c r="I2" i="12"/>
  <c r="H2" i="12"/>
  <c r="G2" i="12"/>
  <c r="F2" i="12"/>
  <c r="W1000" i="9"/>
  <c r="W999" i="9"/>
  <c r="W998" i="9"/>
  <c r="W997" i="9"/>
  <c r="W996" i="9"/>
  <c r="W995" i="9"/>
  <c r="W994" i="9"/>
  <c r="W993" i="9"/>
  <c r="W992" i="9"/>
  <c r="W991" i="9"/>
  <c r="W990" i="9"/>
  <c r="W989" i="9"/>
  <c r="W988" i="9"/>
  <c r="W987" i="9"/>
  <c r="W986" i="9"/>
  <c r="W985" i="9"/>
  <c r="W984" i="9"/>
  <c r="W983" i="9"/>
  <c r="W982" i="9"/>
  <c r="W981" i="9"/>
  <c r="W980" i="9"/>
  <c r="W979" i="9"/>
  <c r="W978" i="9"/>
  <c r="W977" i="9"/>
  <c r="W976" i="9"/>
  <c r="W975" i="9"/>
  <c r="W974" i="9"/>
  <c r="W973" i="9"/>
  <c r="W972" i="9"/>
  <c r="W971" i="9"/>
  <c r="W970" i="9"/>
  <c r="W969" i="9"/>
  <c r="W968" i="9"/>
  <c r="W967" i="9"/>
  <c r="W966" i="9"/>
  <c r="W965" i="9"/>
  <c r="W964" i="9"/>
  <c r="W963" i="9"/>
  <c r="W962" i="9"/>
  <c r="W961" i="9"/>
  <c r="W960" i="9"/>
  <c r="W959" i="9"/>
  <c r="W958" i="9"/>
  <c r="W957" i="9"/>
  <c r="W956" i="9"/>
  <c r="W955" i="9"/>
  <c r="W954" i="9"/>
  <c r="W953" i="9"/>
  <c r="W952" i="9"/>
  <c r="W951" i="9"/>
  <c r="W950" i="9"/>
  <c r="W949" i="9"/>
  <c r="W948" i="9"/>
  <c r="W947" i="9"/>
  <c r="W946" i="9"/>
  <c r="W945" i="9"/>
  <c r="W944" i="9"/>
  <c r="W943" i="9"/>
  <c r="W942" i="9"/>
  <c r="W941" i="9"/>
  <c r="W940" i="9"/>
  <c r="W939" i="9"/>
  <c r="W938" i="9"/>
  <c r="W937" i="9"/>
  <c r="W936" i="9"/>
  <c r="W935" i="9"/>
  <c r="W934" i="9"/>
  <c r="W933" i="9"/>
  <c r="W932" i="9"/>
  <c r="W931" i="9"/>
  <c r="W930" i="9"/>
  <c r="W929" i="9"/>
  <c r="W928" i="9"/>
  <c r="W927" i="9"/>
  <c r="W926" i="9"/>
  <c r="W925" i="9"/>
  <c r="W924" i="9"/>
  <c r="W923" i="9"/>
  <c r="W922" i="9"/>
  <c r="W921" i="9"/>
  <c r="W920" i="9"/>
  <c r="W919" i="9"/>
  <c r="W918" i="9"/>
  <c r="W917" i="9"/>
  <c r="W916" i="9"/>
  <c r="W915" i="9"/>
  <c r="W914" i="9"/>
  <c r="W913" i="9"/>
  <c r="W912" i="9"/>
  <c r="W911" i="9"/>
  <c r="W910" i="9"/>
  <c r="W909" i="9"/>
  <c r="W908" i="9"/>
  <c r="W907" i="9"/>
  <c r="W906" i="9"/>
  <c r="W905" i="9"/>
  <c r="W904" i="9"/>
  <c r="W903" i="9"/>
  <c r="W902" i="9"/>
  <c r="W901" i="9"/>
  <c r="W900" i="9"/>
  <c r="W899" i="9"/>
  <c r="W898" i="9"/>
  <c r="W897" i="9"/>
  <c r="W896" i="9"/>
  <c r="W895" i="9"/>
  <c r="W894" i="9"/>
  <c r="W893" i="9"/>
  <c r="W892" i="9"/>
  <c r="W891" i="9"/>
  <c r="W890" i="9"/>
  <c r="W889" i="9"/>
  <c r="W888" i="9"/>
  <c r="W887" i="9"/>
  <c r="W886" i="9"/>
  <c r="W885" i="9"/>
  <c r="W884" i="9"/>
  <c r="W883" i="9"/>
  <c r="W882" i="9"/>
  <c r="W881" i="9"/>
  <c r="W880" i="9"/>
  <c r="W879" i="9"/>
  <c r="W878" i="9"/>
  <c r="W877" i="9"/>
  <c r="W876" i="9"/>
  <c r="W875" i="9"/>
  <c r="W874" i="9"/>
  <c r="W873" i="9"/>
  <c r="W872" i="9"/>
  <c r="W871" i="9"/>
  <c r="W870" i="9"/>
  <c r="W869" i="9"/>
  <c r="W868" i="9"/>
  <c r="W867" i="9"/>
  <c r="W866" i="9"/>
  <c r="W865" i="9"/>
  <c r="W864" i="9"/>
  <c r="W863" i="9"/>
  <c r="W862" i="9"/>
  <c r="W861" i="9"/>
  <c r="W860" i="9"/>
  <c r="W859" i="9"/>
  <c r="W858" i="9"/>
  <c r="W857" i="9"/>
  <c r="W856" i="9"/>
  <c r="W855" i="9"/>
  <c r="W854" i="9"/>
  <c r="W853" i="9"/>
  <c r="W852" i="9"/>
  <c r="W851" i="9"/>
  <c r="W850" i="9"/>
  <c r="W849" i="9"/>
  <c r="W848" i="9"/>
  <c r="W847" i="9"/>
  <c r="W846" i="9"/>
  <c r="W845" i="9"/>
  <c r="W844" i="9"/>
  <c r="W843" i="9"/>
  <c r="W842" i="9"/>
  <c r="W841" i="9"/>
  <c r="W840" i="9"/>
  <c r="W839" i="9"/>
  <c r="W838" i="9"/>
  <c r="W837" i="9"/>
  <c r="W836" i="9"/>
  <c r="W835" i="9"/>
  <c r="W834" i="9"/>
  <c r="W833" i="9"/>
  <c r="W832" i="9"/>
  <c r="W831" i="9"/>
  <c r="W830" i="9"/>
  <c r="W829" i="9"/>
  <c r="W828" i="9"/>
  <c r="W827" i="9"/>
  <c r="W826" i="9"/>
  <c r="W825" i="9"/>
  <c r="W824" i="9"/>
  <c r="W823" i="9"/>
  <c r="W822" i="9"/>
  <c r="W821" i="9"/>
  <c r="W820" i="9"/>
  <c r="W819" i="9"/>
  <c r="W818" i="9"/>
  <c r="W817" i="9"/>
  <c r="W816" i="9"/>
  <c r="W815" i="9"/>
  <c r="W814" i="9"/>
  <c r="W813" i="9"/>
  <c r="W812" i="9"/>
  <c r="W811" i="9"/>
  <c r="W810" i="9"/>
  <c r="W809" i="9"/>
  <c r="W808" i="9"/>
  <c r="W807" i="9"/>
  <c r="W806" i="9"/>
  <c r="W805" i="9"/>
  <c r="W804" i="9"/>
  <c r="W803" i="9"/>
  <c r="W802" i="9"/>
  <c r="W801" i="9"/>
  <c r="W800" i="9"/>
  <c r="W799" i="9"/>
  <c r="W798" i="9"/>
  <c r="W797" i="9"/>
  <c r="W796" i="9"/>
  <c r="W795" i="9"/>
  <c r="W794" i="9"/>
  <c r="W793" i="9"/>
  <c r="W792" i="9"/>
  <c r="W791" i="9"/>
  <c r="W790" i="9"/>
  <c r="W789" i="9"/>
  <c r="W788" i="9"/>
  <c r="W787" i="9"/>
  <c r="W786" i="9"/>
  <c r="W785" i="9"/>
  <c r="W784" i="9"/>
  <c r="W783" i="9"/>
  <c r="W782" i="9"/>
  <c r="W781" i="9"/>
  <c r="W780" i="9"/>
  <c r="W779" i="9"/>
  <c r="W778" i="9"/>
  <c r="W777" i="9"/>
  <c r="W776" i="9"/>
  <c r="W775" i="9"/>
  <c r="W774" i="9"/>
  <c r="W773" i="9"/>
  <c r="W772" i="9"/>
  <c r="W771" i="9"/>
  <c r="W770" i="9"/>
  <c r="W769" i="9"/>
  <c r="W768" i="9"/>
  <c r="W767" i="9"/>
  <c r="W766" i="9"/>
  <c r="W765" i="9"/>
  <c r="W764" i="9"/>
  <c r="W763" i="9"/>
  <c r="W762" i="9"/>
  <c r="W761" i="9"/>
  <c r="W760" i="9"/>
  <c r="W759" i="9"/>
  <c r="W758" i="9"/>
  <c r="W757" i="9"/>
  <c r="W756" i="9"/>
  <c r="W755" i="9"/>
  <c r="W754" i="9"/>
  <c r="W753" i="9"/>
  <c r="W752" i="9"/>
  <c r="W751" i="9"/>
  <c r="W750" i="9"/>
  <c r="W749" i="9"/>
  <c r="W748" i="9"/>
  <c r="W747" i="9"/>
  <c r="W746" i="9"/>
  <c r="W745" i="9"/>
  <c r="W744" i="9"/>
  <c r="W743" i="9"/>
  <c r="W742" i="9"/>
  <c r="W741" i="9"/>
  <c r="W740" i="9"/>
  <c r="W739" i="9"/>
  <c r="W738" i="9"/>
  <c r="W737" i="9"/>
  <c r="W736" i="9"/>
  <c r="W735" i="9"/>
  <c r="W734" i="9"/>
  <c r="W733" i="9"/>
  <c r="W732" i="9"/>
  <c r="W731" i="9"/>
  <c r="W730" i="9"/>
  <c r="W729" i="9"/>
  <c r="W728" i="9"/>
  <c r="W727" i="9"/>
  <c r="W726" i="9"/>
  <c r="W725" i="9"/>
  <c r="W724" i="9"/>
  <c r="W723" i="9"/>
  <c r="W722" i="9"/>
  <c r="W721" i="9"/>
  <c r="W720" i="9"/>
  <c r="W719" i="9"/>
  <c r="W718" i="9"/>
  <c r="W717" i="9"/>
  <c r="W716" i="9"/>
  <c r="W715" i="9"/>
  <c r="W714" i="9"/>
  <c r="W713" i="9"/>
  <c r="W712" i="9"/>
  <c r="W711" i="9"/>
  <c r="W710" i="9"/>
  <c r="W709" i="9"/>
  <c r="W708" i="9"/>
  <c r="W707" i="9"/>
  <c r="W706" i="9"/>
  <c r="W705" i="9"/>
  <c r="W704" i="9"/>
  <c r="W703" i="9"/>
  <c r="W702" i="9"/>
  <c r="W701" i="9"/>
  <c r="W700" i="9"/>
  <c r="W699" i="9"/>
  <c r="W698" i="9"/>
  <c r="W697" i="9"/>
  <c r="W696" i="9"/>
  <c r="W695" i="9"/>
  <c r="W694" i="9"/>
  <c r="W693" i="9"/>
  <c r="W692" i="9"/>
  <c r="W691" i="9"/>
  <c r="W690" i="9"/>
  <c r="W689" i="9"/>
  <c r="W688" i="9"/>
  <c r="W687" i="9"/>
  <c r="W686" i="9"/>
  <c r="W685" i="9"/>
  <c r="W684" i="9"/>
  <c r="W683" i="9"/>
  <c r="W682" i="9"/>
  <c r="W681" i="9"/>
  <c r="W680" i="9"/>
  <c r="W679" i="9"/>
  <c r="W678" i="9"/>
  <c r="W677" i="9"/>
  <c r="W676" i="9"/>
  <c r="W675" i="9"/>
  <c r="W674" i="9"/>
  <c r="W673" i="9"/>
  <c r="W672" i="9"/>
  <c r="W671" i="9"/>
  <c r="W670" i="9"/>
  <c r="W669" i="9"/>
  <c r="W668" i="9"/>
  <c r="W667" i="9"/>
  <c r="W666" i="9"/>
  <c r="W665" i="9"/>
  <c r="W664" i="9"/>
  <c r="W663" i="9"/>
  <c r="W662" i="9"/>
  <c r="W661" i="9"/>
  <c r="W660" i="9"/>
  <c r="W659" i="9"/>
  <c r="W658" i="9"/>
  <c r="W657" i="9"/>
  <c r="W656" i="9"/>
  <c r="W655" i="9"/>
  <c r="W654" i="9"/>
  <c r="W653" i="9"/>
  <c r="W652" i="9"/>
  <c r="W651" i="9"/>
  <c r="W650" i="9"/>
  <c r="W649" i="9"/>
  <c r="W648" i="9"/>
  <c r="W647" i="9"/>
  <c r="W646" i="9"/>
  <c r="W645" i="9"/>
  <c r="W644" i="9"/>
  <c r="W643" i="9"/>
  <c r="W642" i="9"/>
  <c r="W641" i="9"/>
  <c r="W640" i="9"/>
  <c r="W639" i="9"/>
  <c r="W638" i="9"/>
  <c r="W637" i="9"/>
  <c r="W636" i="9"/>
  <c r="W635" i="9"/>
  <c r="W634" i="9"/>
  <c r="W633" i="9"/>
  <c r="W632" i="9"/>
  <c r="W631" i="9"/>
  <c r="W630" i="9"/>
  <c r="W629" i="9"/>
  <c r="W628" i="9"/>
  <c r="W627" i="9"/>
  <c r="W626" i="9"/>
  <c r="W625" i="9"/>
  <c r="W624" i="9"/>
  <c r="W623" i="9"/>
  <c r="W622" i="9"/>
  <c r="W621" i="9"/>
  <c r="W620" i="9"/>
  <c r="W619" i="9"/>
  <c r="W618" i="9"/>
  <c r="W617" i="9"/>
  <c r="W616" i="9"/>
  <c r="W615" i="9"/>
  <c r="W614" i="9"/>
  <c r="W613" i="9"/>
  <c r="W612" i="9"/>
  <c r="W611" i="9"/>
  <c r="W610" i="9"/>
  <c r="W609" i="9"/>
  <c r="W608" i="9"/>
  <c r="W607" i="9"/>
  <c r="W606" i="9"/>
  <c r="W605" i="9"/>
  <c r="W604" i="9"/>
  <c r="W603" i="9"/>
  <c r="W602" i="9"/>
  <c r="W601" i="9"/>
  <c r="W600" i="9"/>
  <c r="W599" i="9"/>
  <c r="W598" i="9"/>
  <c r="W597" i="9"/>
  <c r="W596" i="9"/>
  <c r="W595" i="9"/>
  <c r="W594" i="9"/>
  <c r="W593" i="9"/>
  <c r="W592" i="9"/>
  <c r="W591" i="9"/>
  <c r="W590" i="9"/>
  <c r="W589" i="9"/>
  <c r="W588" i="9"/>
  <c r="W587" i="9"/>
  <c r="W586" i="9"/>
  <c r="W585" i="9"/>
  <c r="W584" i="9"/>
  <c r="W583" i="9"/>
  <c r="W582" i="9"/>
  <c r="W581" i="9"/>
  <c r="W580" i="9"/>
  <c r="W579" i="9"/>
  <c r="W578" i="9"/>
  <c r="W577" i="9"/>
  <c r="W576" i="9"/>
  <c r="W575" i="9"/>
  <c r="W574" i="9"/>
  <c r="W573" i="9"/>
  <c r="W572" i="9"/>
  <c r="W571" i="9"/>
  <c r="W570" i="9"/>
  <c r="W569" i="9"/>
  <c r="W568" i="9"/>
  <c r="W567" i="9"/>
  <c r="W566" i="9"/>
  <c r="W565" i="9"/>
  <c r="W564" i="9"/>
  <c r="W563" i="9"/>
  <c r="W562" i="9"/>
  <c r="W561" i="9"/>
  <c r="W560" i="9"/>
  <c r="W559" i="9"/>
  <c r="W558" i="9"/>
  <c r="W557" i="9"/>
  <c r="W556" i="9"/>
  <c r="W555" i="9"/>
  <c r="W554" i="9"/>
  <c r="W553" i="9"/>
  <c r="W552" i="9"/>
  <c r="W551" i="9"/>
  <c r="W550" i="9"/>
  <c r="W549" i="9"/>
  <c r="W548" i="9"/>
  <c r="W547" i="9"/>
  <c r="W546" i="9"/>
  <c r="W545" i="9"/>
  <c r="W544" i="9"/>
  <c r="W543" i="9"/>
  <c r="W542" i="9"/>
  <c r="W541" i="9"/>
  <c r="W540" i="9"/>
  <c r="W539" i="9"/>
  <c r="W538" i="9"/>
  <c r="W537" i="9"/>
  <c r="W536" i="9"/>
  <c r="W535" i="9"/>
  <c r="W534" i="9"/>
  <c r="W533" i="9"/>
  <c r="W532" i="9"/>
  <c r="W531" i="9"/>
  <c r="W530" i="9"/>
  <c r="W529" i="9"/>
  <c r="W528" i="9"/>
  <c r="W527" i="9"/>
  <c r="W526" i="9"/>
  <c r="W525" i="9"/>
  <c r="W524" i="9"/>
  <c r="W523" i="9"/>
  <c r="W522" i="9"/>
  <c r="W521" i="9"/>
  <c r="W520" i="9"/>
  <c r="W519" i="9"/>
  <c r="W518" i="9"/>
  <c r="W517" i="9"/>
  <c r="W516" i="9"/>
  <c r="W515" i="9"/>
  <c r="W514" i="9"/>
  <c r="W513" i="9"/>
  <c r="W512" i="9"/>
  <c r="W511" i="9"/>
  <c r="W510" i="9"/>
  <c r="W509" i="9"/>
  <c r="W508" i="9"/>
  <c r="W507" i="9"/>
  <c r="W506" i="9"/>
  <c r="W505" i="9"/>
  <c r="W504" i="9"/>
  <c r="W503" i="9"/>
  <c r="W502" i="9"/>
  <c r="W501" i="9"/>
  <c r="W500" i="9"/>
  <c r="W499" i="9"/>
  <c r="W498" i="9"/>
  <c r="W497" i="9"/>
  <c r="W496" i="9"/>
  <c r="W495" i="9"/>
  <c r="W494" i="9"/>
  <c r="W493" i="9"/>
  <c r="W492" i="9"/>
  <c r="W491" i="9"/>
  <c r="W490" i="9"/>
  <c r="W489" i="9"/>
  <c r="W488" i="9"/>
  <c r="W487" i="9"/>
  <c r="W486" i="9"/>
  <c r="W485" i="9"/>
  <c r="W484" i="9"/>
  <c r="W483" i="9"/>
  <c r="W482" i="9"/>
  <c r="W481" i="9"/>
  <c r="W480" i="9"/>
  <c r="W479" i="9"/>
  <c r="W478" i="9"/>
  <c r="W477" i="9"/>
  <c r="W476" i="9"/>
  <c r="W475" i="9"/>
  <c r="W474" i="9"/>
  <c r="W473" i="9"/>
  <c r="W472" i="9"/>
  <c r="W471" i="9"/>
  <c r="W470" i="9"/>
  <c r="W469" i="9"/>
  <c r="W468" i="9"/>
  <c r="W467" i="9"/>
  <c r="W466" i="9"/>
  <c r="W465" i="9"/>
  <c r="W464" i="9"/>
  <c r="W463" i="9"/>
  <c r="W462" i="9"/>
  <c r="W461" i="9"/>
  <c r="W460" i="9"/>
  <c r="W459" i="9"/>
  <c r="W458" i="9"/>
  <c r="W457" i="9"/>
  <c r="W456" i="9"/>
  <c r="W455" i="9"/>
  <c r="W454" i="9"/>
  <c r="W453" i="9"/>
  <c r="W452" i="9"/>
  <c r="W451" i="9"/>
  <c r="W450" i="9"/>
  <c r="W449" i="9"/>
  <c r="W448" i="9"/>
  <c r="W447" i="9"/>
  <c r="W446" i="9"/>
  <c r="W445" i="9"/>
  <c r="W444" i="9"/>
  <c r="W443" i="9"/>
  <c r="W442" i="9"/>
  <c r="W441" i="9"/>
  <c r="W440" i="9"/>
  <c r="W439" i="9"/>
  <c r="W438" i="9"/>
  <c r="W437" i="9"/>
  <c r="W436" i="9"/>
  <c r="W435" i="9"/>
  <c r="W434" i="9"/>
  <c r="W433" i="9"/>
  <c r="W432" i="9"/>
  <c r="W431" i="9"/>
  <c r="W430" i="9"/>
  <c r="W429" i="9"/>
  <c r="W428" i="9"/>
  <c r="W427" i="9"/>
  <c r="W426" i="9"/>
  <c r="W425" i="9"/>
  <c r="W424" i="9"/>
  <c r="W423" i="9"/>
  <c r="W422" i="9"/>
  <c r="W421" i="9"/>
  <c r="W420" i="9"/>
  <c r="W419" i="9"/>
  <c r="W418" i="9"/>
  <c r="W417" i="9"/>
  <c r="W416" i="9"/>
  <c r="W415" i="9"/>
  <c r="W414" i="9"/>
  <c r="W413" i="9"/>
  <c r="W412" i="9"/>
  <c r="W411" i="9"/>
  <c r="W410" i="9"/>
  <c r="W409" i="9"/>
  <c r="W408" i="9"/>
  <c r="W407" i="9"/>
  <c r="W406" i="9"/>
  <c r="W405" i="9"/>
  <c r="W404" i="9"/>
  <c r="W403" i="9"/>
  <c r="W402" i="9"/>
  <c r="W401" i="9"/>
  <c r="W400" i="9"/>
  <c r="W399" i="9"/>
  <c r="W398" i="9"/>
  <c r="W397" i="9"/>
  <c r="W396" i="9"/>
  <c r="W395" i="9"/>
  <c r="W394" i="9"/>
  <c r="W393" i="9"/>
  <c r="W392" i="9"/>
  <c r="W391" i="9"/>
  <c r="W390" i="9"/>
  <c r="W389" i="9"/>
  <c r="W388" i="9"/>
  <c r="W387" i="9"/>
  <c r="W386" i="9"/>
  <c r="W385" i="9"/>
  <c r="W384" i="9"/>
  <c r="W383" i="9"/>
  <c r="W382" i="9"/>
  <c r="W381" i="9"/>
  <c r="W380" i="9"/>
  <c r="W379" i="9"/>
  <c r="W378" i="9"/>
  <c r="W377" i="9"/>
  <c r="W376" i="9"/>
  <c r="W375" i="9"/>
  <c r="W374" i="9"/>
  <c r="W373" i="9"/>
  <c r="W372" i="9"/>
  <c r="W371" i="9"/>
  <c r="W370" i="9"/>
  <c r="W369" i="9"/>
  <c r="W368" i="9"/>
  <c r="W367" i="9"/>
  <c r="W366" i="9"/>
  <c r="W365" i="9"/>
  <c r="W364" i="9"/>
  <c r="W363" i="9"/>
  <c r="W362" i="9"/>
  <c r="W361" i="9"/>
  <c r="W360" i="9"/>
  <c r="W359" i="9"/>
  <c r="W358" i="9"/>
  <c r="W357" i="9"/>
  <c r="W356" i="9"/>
  <c r="W355" i="9"/>
  <c r="W354" i="9"/>
  <c r="W353" i="9"/>
  <c r="W352" i="9"/>
  <c r="W351" i="9"/>
  <c r="W350" i="9"/>
  <c r="W349" i="9"/>
  <c r="W348" i="9"/>
  <c r="W347" i="9"/>
  <c r="W346" i="9"/>
  <c r="W345" i="9"/>
  <c r="W344" i="9"/>
  <c r="W343" i="9"/>
  <c r="W342" i="9"/>
  <c r="W341" i="9"/>
  <c r="W340" i="9"/>
  <c r="W339" i="9"/>
  <c r="W338" i="9"/>
  <c r="W337" i="9"/>
  <c r="W336" i="9"/>
  <c r="W335" i="9"/>
  <c r="W334" i="9"/>
  <c r="W333" i="9"/>
  <c r="W332" i="9"/>
  <c r="W331" i="9"/>
  <c r="W330" i="9"/>
  <c r="W329" i="9"/>
  <c r="W328" i="9"/>
  <c r="W327" i="9"/>
  <c r="W326" i="9"/>
  <c r="W325" i="9"/>
  <c r="W324" i="9"/>
  <c r="W323" i="9"/>
  <c r="W322" i="9"/>
  <c r="W321" i="9"/>
  <c r="W320" i="9"/>
  <c r="W319" i="9"/>
  <c r="W318" i="9"/>
  <c r="W317" i="9"/>
  <c r="W316" i="9"/>
  <c r="W315" i="9"/>
  <c r="W314" i="9"/>
  <c r="W313" i="9"/>
  <c r="W312" i="9"/>
  <c r="W311" i="9"/>
  <c r="W310" i="9"/>
  <c r="W309" i="9"/>
  <c r="W308" i="9"/>
  <c r="W307" i="9"/>
  <c r="W306" i="9"/>
  <c r="W305" i="9"/>
  <c r="W304" i="9"/>
  <c r="W303" i="9"/>
  <c r="W302" i="9"/>
  <c r="W301" i="9"/>
  <c r="W300" i="9"/>
  <c r="W299" i="9"/>
  <c r="W298" i="9"/>
  <c r="W297" i="9"/>
  <c r="W296" i="9"/>
  <c r="W295" i="9"/>
  <c r="W294" i="9"/>
  <c r="W293" i="9"/>
  <c r="W292" i="9"/>
  <c r="W291" i="9"/>
  <c r="W290" i="9"/>
  <c r="W289" i="9"/>
  <c r="W288" i="9"/>
  <c r="W287" i="9"/>
  <c r="W286" i="9"/>
  <c r="W285" i="9"/>
  <c r="W284" i="9"/>
  <c r="W283" i="9"/>
  <c r="W282" i="9"/>
  <c r="W281" i="9"/>
  <c r="W280" i="9"/>
  <c r="W279" i="9"/>
  <c r="W278" i="9"/>
  <c r="W277" i="9"/>
  <c r="W276" i="9"/>
  <c r="W275" i="9"/>
  <c r="W274" i="9"/>
  <c r="W273" i="9"/>
  <c r="W272" i="9"/>
  <c r="W271" i="9"/>
  <c r="W270" i="9"/>
  <c r="W269" i="9"/>
  <c r="W268" i="9"/>
  <c r="W267" i="9"/>
  <c r="W266" i="9"/>
  <c r="W265" i="9"/>
  <c r="W264" i="9"/>
  <c r="W263" i="9"/>
  <c r="W262" i="9"/>
  <c r="W261" i="9"/>
  <c r="W260" i="9"/>
  <c r="W259" i="9"/>
  <c r="W258" i="9"/>
  <c r="W257" i="9"/>
  <c r="W256" i="9"/>
  <c r="W255" i="9"/>
  <c r="W254" i="9"/>
  <c r="W253" i="9"/>
  <c r="W252" i="9"/>
  <c r="W251" i="9"/>
  <c r="W250" i="9"/>
  <c r="W249" i="9"/>
  <c r="W248" i="9"/>
  <c r="W247" i="9"/>
  <c r="W246" i="9"/>
  <c r="W245" i="9"/>
  <c r="W244" i="9"/>
  <c r="W243" i="9"/>
  <c r="W242" i="9"/>
  <c r="W241" i="9"/>
  <c r="W240" i="9"/>
  <c r="W239" i="9"/>
  <c r="W238" i="9"/>
  <c r="W237" i="9"/>
  <c r="W236" i="9"/>
  <c r="W235" i="9"/>
  <c r="W234" i="9"/>
  <c r="W233" i="9"/>
  <c r="W232" i="9"/>
  <c r="W231" i="9"/>
  <c r="W230" i="9"/>
  <c r="W229" i="9"/>
  <c r="W228" i="9"/>
  <c r="W227" i="9"/>
  <c r="W226" i="9"/>
  <c r="W225" i="9"/>
  <c r="W224" i="9"/>
  <c r="W223" i="9"/>
  <c r="W222" i="9"/>
  <c r="W221" i="9"/>
  <c r="W220" i="9"/>
  <c r="W219" i="9"/>
  <c r="W218" i="9"/>
  <c r="W217" i="9"/>
  <c r="W216" i="9"/>
  <c r="W215" i="9"/>
  <c r="W214" i="9"/>
  <c r="W213" i="9"/>
  <c r="W212" i="9"/>
  <c r="W211" i="9"/>
  <c r="W210" i="9"/>
  <c r="W209" i="9"/>
  <c r="W208" i="9"/>
  <c r="W207" i="9"/>
  <c r="W206" i="9"/>
  <c r="W205" i="9"/>
  <c r="W204" i="9"/>
  <c r="W203" i="9"/>
  <c r="W202" i="9"/>
  <c r="W201" i="9"/>
  <c r="W200" i="9"/>
  <c r="W199" i="9"/>
  <c r="W198" i="9"/>
  <c r="W197" i="9"/>
  <c r="W196" i="9"/>
  <c r="W195" i="9"/>
  <c r="W194" i="9"/>
  <c r="W193" i="9"/>
  <c r="W192" i="9"/>
  <c r="W191" i="9"/>
  <c r="W190" i="9"/>
  <c r="W189" i="9"/>
  <c r="W188" i="9"/>
  <c r="W187" i="9"/>
  <c r="W186" i="9"/>
  <c r="W185" i="9"/>
  <c r="W184" i="9"/>
  <c r="W183" i="9"/>
  <c r="W182" i="9"/>
  <c r="W181" i="9"/>
  <c r="W180" i="9"/>
  <c r="W179" i="9"/>
  <c r="W178" i="9"/>
  <c r="W177" i="9"/>
  <c r="W176" i="9"/>
  <c r="W175" i="9"/>
  <c r="W174" i="9"/>
  <c r="W173" i="9"/>
  <c r="W172" i="9"/>
  <c r="W171" i="9"/>
  <c r="W170" i="9"/>
  <c r="W169" i="9"/>
  <c r="W168" i="9"/>
  <c r="W167" i="9"/>
  <c r="W166" i="9"/>
  <c r="W165" i="9"/>
  <c r="W164" i="9"/>
  <c r="W163" i="9"/>
  <c r="W162" i="9"/>
  <c r="W161" i="9"/>
  <c r="W160" i="9"/>
  <c r="W159" i="9"/>
  <c r="W158" i="9"/>
  <c r="W157" i="9"/>
  <c r="W156" i="9"/>
  <c r="W155" i="9"/>
  <c r="W154" i="9"/>
  <c r="W153" i="9"/>
  <c r="W152" i="9"/>
  <c r="W151" i="9"/>
  <c r="W150" i="9"/>
  <c r="W149" i="9"/>
  <c r="W148" i="9"/>
  <c r="W147" i="9"/>
  <c r="W146" i="9"/>
  <c r="W145" i="9"/>
  <c r="W144" i="9"/>
  <c r="W143" i="9"/>
  <c r="W142" i="9"/>
  <c r="W141" i="9"/>
  <c r="W140" i="9"/>
  <c r="W139" i="9"/>
  <c r="W138" i="9"/>
  <c r="W137" i="9"/>
  <c r="W136" i="9"/>
  <c r="W135" i="9"/>
  <c r="W134" i="9"/>
  <c r="W133" i="9"/>
  <c r="W132" i="9"/>
  <c r="W131" i="9"/>
  <c r="W130" i="9"/>
  <c r="W129" i="9"/>
  <c r="W128" i="9"/>
  <c r="W127" i="9"/>
  <c r="W126" i="9"/>
  <c r="W125" i="9"/>
  <c r="W124" i="9"/>
  <c r="W123" i="9"/>
  <c r="W122" i="9"/>
  <c r="W121" i="9"/>
  <c r="W120" i="9"/>
  <c r="W119" i="9"/>
  <c r="W118" i="9"/>
  <c r="W117" i="9"/>
  <c r="W116" i="9"/>
  <c r="W115" i="9"/>
  <c r="W114" i="9"/>
  <c r="W113" i="9"/>
  <c r="W112" i="9"/>
  <c r="W111" i="9"/>
  <c r="W110" i="9"/>
  <c r="W109" i="9"/>
  <c r="W108" i="9"/>
  <c r="W107" i="9"/>
  <c r="W106" i="9"/>
  <c r="W105" i="9"/>
  <c r="W104" i="9"/>
  <c r="W103" i="9"/>
  <c r="W102" i="9"/>
  <c r="W101" i="9"/>
  <c r="W100" i="9"/>
  <c r="W99" i="9"/>
  <c r="W98" i="9"/>
  <c r="W97" i="9"/>
  <c r="W96" i="9"/>
  <c r="W95" i="9"/>
  <c r="W94" i="9"/>
  <c r="W93" i="9"/>
  <c r="W92" i="9"/>
  <c r="W91" i="9"/>
  <c r="W90" i="9"/>
  <c r="W89" i="9"/>
  <c r="W88" i="9"/>
  <c r="W87" i="9"/>
  <c r="W86" i="9"/>
  <c r="W85" i="9"/>
  <c r="W84" i="9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W51" i="9"/>
  <c r="W50" i="9"/>
  <c r="W49" i="9"/>
  <c r="W48" i="9"/>
  <c r="W47" i="9"/>
  <c r="W46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W4" i="9"/>
  <c r="W3" i="9"/>
  <c r="W2" i="9"/>
  <c r="W1000" i="8"/>
  <c r="W999" i="8"/>
  <c r="W998" i="8"/>
  <c r="W997" i="8"/>
  <c r="W996" i="8"/>
  <c r="W995" i="8"/>
  <c r="W994" i="8"/>
  <c r="W993" i="8"/>
  <c r="W992" i="8"/>
  <c r="W991" i="8"/>
  <c r="W990" i="8"/>
  <c r="W989" i="8"/>
  <c r="W988" i="8"/>
  <c r="W987" i="8"/>
  <c r="W986" i="8"/>
  <c r="W985" i="8"/>
  <c r="W984" i="8"/>
  <c r="W983" i="8"/>
  <c r="W982" i="8"/>
  <c r="W981" i="8"/>
  <c r="W980" i="8"/>
  <c r="W979" i="8"/>
  <c r="W978" i="8"/>
  <c r="W977" i="8"/>
  <c r="W976" i="8"/>
  <c r="W975" i="8"/>
  <c r="W974" i="8"/>
  <c r="W973" i="8"/>
  <c r="W972" i="8"/>
  <c r="W971" i="8"/>
  <c r="W970" i="8"/>
  <c r="W969" i="8"/>
  <c r="W968" i="8"/>
  <c r="W967" i="8"/>
  <c r="W966" i="8"/>
  <c r="W965" i="8"/>
  <c r="W964" i="8"/>
  <c r="W963" i="8"/>
  <c r="W962" i="8"/>
  <c r="W961" i="8"/>
  <c r="W960" i="8"/>
  <c r="W959" i="8"/>
  <c r="W958" i="8"/>
  <c r="W957" i="8"/>
  <c r="W956" i="8"/>
  <c r="W955" i="8"/>
  <c r="W954" i="8"/>
  <c r="W953" i="8"/>
  <c r="W952" i="8"/>
  <c r="W951" i="8"/>
  <c r="W950" i="8"/>
  <c r="W949" i="8"/>
  <c r="W948" i="8"/>
  <c r="W947" i="8"/>
  <c r="W946" i="8"/>
  <c r="W945" i="8"/>
  <c r="W944" i="8"/>
  <c r="W943" i="8"/>
  <c r="W942" i="8"/>
  <c r="W941" i="8"/>
  <c r="W940" i="8"/>
  <c r="W939" i="8"/>
  <c r="W938" i="8"/>
  <c r="W937" i="8"/>
  <c r="W936" i="8"/>
  <c r="W935" i="8"/>
  <c r="W934" i="8"/>
  <c r="W933" i="8"/>
  <c r="W932" i="8"/>
  <c r="W931" i="8"/>
  <c r="W930" i="8"/>
  <c r="W929" i="8"/>
  <c r="W928" i="8"/>
  <c r="W927" i="8"/>
  <c r="W926" i="8"/>
  <c r="W925" i="8"/>
  <c r="W924" i="8"/>
  <c r="W923" i="8"/>
  <c r="W922" i="8"/>
  <c r="W921" i="8"/>
  <c r="W920" i="8"/>
  <c r="W919" i="8"/>
  <c r="W918" i="8"/>
  <c r="W917" i="8"/>
  <c r="W916" i="8"/>
  <c r="W915" i="8"/>
  <c r="W914" i="8"/>
  <c r="W913" i="8"/>
  <c r="W912" i="8"/>
  <c r="W911" i="8"/>
  <c r="W910" i="8"/>
  <c r="W909" i="8"/>
  <c r="W908" i="8"/>
  <c r="W907" i="8"/>
  <c r="W906" i="8"/>
  <c r="W905" i="8"/>
  <c r="W904" i="8"/>
  <c r="W903" i="8"/>
  <c r="W902" i="8"/>
  <c r="W901" i="8"/>
  <c r="W900" i="8"/>
  <c r="W899" i="8"/>
  <c r="W898" i="8"/>
  <c r="W897" i="8"/>
  <c r="W896" i="8"/>
  <c r="W895" i="8"/>
  <c r="W894" i="8"/>
  <c r="W893" i="8"/>
  <c r="W892" i="8"/>
  <c r="W891" i="8"/>
  <c r="W890" i="8"/>
  <c r="W889" i="8"/>
  <c r="W888" i="8"/>
  <c r="W887" i="8"/>
  <c r="W886" i="8"/>
  <c r="W885" i="8"/>
  <c r="W884" i="8"/>
  <c r="W883" i="8"/>
  <c r="W882" i="8"/>
  <c r="W881" i="8"/>
  <c r="W880" i="8"/>
  <c r="W879" i="8"/>
  <c r="W878" i="8"/>
  <c r="W877" i="8"/>
  <c r="W876" i="8"/>
  <c r="W875" i="8"/>
  <c r="W874" i="8"/>
  <c r="W873" i="8"/>
  <c r="W872" i="8"/>
  <c r="W871" i="8"/>
  <c r="W870" i="8"/>
  <c r="W869" i="8"/>
  <c r="W868" i="8"/>
  <c r="W867" i="8"/>
  <c r="W866" i="8"/>
  <c r="W865" i="8"/>
  <c r="W864" i="8"/>
  <c r="W863" i="8"/>
  <c r="W862" i="8"/>
  <c r="W861" i="8"/>
  <c r="W860" i="8"/>
  <c r="W859" i="8"/>
  <c r="W858" i="8"/>
  <c r="W857" i="8"/>
  <c r="W856" i="8"/>
  <c r="W855" i="8"/>
  <c r="W854" i="8"/>
  <c r="W853" i="8"/>
  <c r="W852" i="8"/>
  <c r="W851" i="8"/>
  <c r="W850" i="8"/>
  <c r="W849" i="8"/>
  <c r="W848" i="8"/>
  <c r="W847" i="8"/>
  <c r="W846" i="8"/>
  <c r="W845" i="8"/>
  <c r="W844" i="8"/>
  <c r="W843" i="8"/>
  <c r="W842" i="8"/>
  <c r="W841" i="8"/>
  <c r="W840" i="8"/>
  <c r="W839" i="8"/>
  <c r="W838" i="8"/>
  <c r="W837" i="8"/>
  <c r="W836" i="8"/>
  <c r="W835" i="8"/>
  <c r="W834" i="8"/>
  <c r="W833" i="8"/>
  <c r="W832" i="8"/>
  <c r="W831" i="8"/>
  <c r="W830" i="8"/>
  <c r="W829" i="8"/>
  <c r="W828" i="8"/>
  <c r="W827" i="8"/>
  <c r="W826" i="8"/>
  <c r="W825" i="8"/>
  <c r="W824" i="8"/>
  <c r="W823" i="8"/>
  <c r="W822" i="8"/>
  <c r="W821" i="8"/>
  <c r="W820" i="8"/>
  <c r="W819" i="8"/>
  <c r="W818" i="8"/>
  <c r="W817" i="8"/>
  <c r="W816" i="8"/>
  <c r="W815" i="8"/>
  <c r="W814" i="8"/>
  <c r="W813" i="8"/>
  <c r="W812" i="8"/>
  <c r="W811" i="8"/>
  <c r="W810" i="8"/>
  <c r="W809" i="8"/>
  <c r="W808" i="8"/>
  <c r="W807" i="8"/>
  <c r="W806" i="8"/>
  <c r="W805" i="8"/>
  <c r="W804" i="8"/>
  <c r="W803" i="8"/>
  <c r="W802" i="8"/>
  <c r="W801" i="8"/>
  <c r="W800" i="8"/>
  <c r="W799" i="8"/>
  <c r="W798" i="8"/>
  <c r="W797" i="8"/>
  <c r="W796" i="8"/>
  <c r="W795" i="8"/>
  <c r="W794" i="8"/>
  <c r="W793" i="8"/>
  <c r="W792" i="8"/>
  <c r="W791" i="8"/>
  <c r="W790" i="8"/>
  <c r="W789" i="8"/>
  <c r="W788" i="8"/>
  <c r="W787" i="8"/>
  <c r="W786" i="8"/>
  <c r="W785" i="8"/>
  <c r="W784" i="8"/>
  <c r="W783" i="8"/>
  <c r="W782" i="8"/>
  <c r="W781" i="8"/>
  <c r="W780" i="8"/>
  <c r="W779" i="8"/>
  <c r="W778" i="8"/>
  <c r="W777" i="8"/>
  <c r="W776" i="8"/>
  <c r="W775" i="8"/>
  <c r="W774" i="8"/>
  <c r="W773" i="8"/>
  <c r="W772" i="8"/>
  <c r="W771" i="8"/>
  <c r="W770" i="8"/>
  <c r="W769" i="8"/>
  <c r="W768" i="8"/>
  <c r="W767" i="8"/>
  <c r="W766" i="8"/>
  <c r="W765" i="8"/>
  <c r="W764" i="8"/>
  <c r="W763" i="8"/>
  <c r="W762" i="8"/>
  <c r="W761" i="8"/>
  <c r="W760" i="8"/>
  <c r="W759" i="8"/>
  <c r="W758" i="8"/>
  <c r="W757" i="8"/>
  <c r="W756" i="8"/>
  <c r="W755" i="8"/>
  <c r="W754" i="8"/>
  <c r="W753" i="8"/>
  <c r="W752" i="8"/>
  <c r="W751" i="8"/>
  <c r="W750" i="8"/>
  <c r="W749" i="8"/>
  <c r="W748" i="8"/>
  <c r="W747" i="8"/>
  <c r="W746" i="8"/>
  <c r="W745" i="8"/>
  <c r="W744" i="8"/>
  <c r="W743" i="8"/>
  <c r="W742" i="8"/>
  <c r="W741" i="8"/>
  <c r="W740" i="8"/>
  <c r="W739" i="8"/>
  <c r="W738" i="8"/>
  <c r="W737" i="8"/>
  <c r="W736" i="8"/>
  <c r="W735" i="8"/>
  <c r="W734" i="8"/>
  <c r="W733" i="8"/>
  <c r="W732" i="8"/>
  <c r="W731" i="8"/>
  <c r="W730" i="8"/>
  <c r="W729" i="8"/>
  <c r="W728" i="8"/>
  <c r="W727" i="8"/>
  <c r="W726" i="8"/>
  <c r="W725" i="8"/>
  <c r="W724" i="8"/>
  <c r="W723" i="8"/>
  <c r="W722" i="8"/>
  <c r="W721" i="8"/>
  <c r="W720" i="8"/>
  <c r="W719" i="8"/>
  <c r="W718" i="8"/>
  <c r="W717" i="8"/>
  <c r="W716" i="8"/>
  <c r="W715" i="8"/>
  <c r="W714" i="8"/>
  <c r="W713" i="8"/>
  <c r="W712" i="8"/>
  <c r="W711" i="8"/>
  <c r="W710" i="8"/>
  <c r="W709" i="8"/>
  <c r="W708" i="8"/>
  <c r="W707" i="8"/>
  <c r="W706" i="8"/>
  <c r="W705" i="8"/>
  <c r="W704" i="8"/>
  <c r="W703" i="8"/>
  <c r="W702" i="8"/>
  <c r="W701" i="8"/>
  <c r="W700" i="8"/>
  <c r="W699" i="8"/>
  <c r="W698" i="8"/>
  <c r="W697" i="8"/>
  <c r="W696" i="8"/>
  <c r="W695" i="8"/>
  <c r="W694" i="8"/>
  <c r="W693" i="8"/>
  <c r="W692" i="8"/>
  <c r="W691" i="8"/>
  <c r="W690" i="8"/>
  <c r="W689" i="8"/>
  <c r="W688" i="8"/>
  <c r="W687" i="8"/>
  <c r="W686" i="8"/>
  <c r="W685" i="8"/>
  <c r="W684" i="8"/>
  <c r="W683" i="8"/>
  <c r="W682" i="8"/>
  <c r="W681" i="8"/>
  <c r="W680" i="8"/>
  <c r="W679" i="8"/>
  <c r="W678" i="8"/>
  <c r="W677" i="8"/>
  <c r="W676" i="8"/>
  <c r="W675" i="8"/>
  <c r="W674" i="8"/>
  <c r="W673" i="8"/>
  <c r="W672" i="8"/>
  <c r="W671" i="8"/>
  <c r="W670" i="8"/>
  <c r="W669" i="8"/>
  <c r="W668" i="8"/>
  <c r="W667" i="8"/>
  <c r="W666" i="8"/>
  <c r="W665" i="8"/>
  <c r="W664" i="8"/>
  <c r="W663" i="8"/>
  <c r="W662" i="8"/>
  <c r="W661" i="8"/>
  <c r="W660" i="8"/>
  <c r="W659" i="8"/>
  <c r="W658" i="8"/>
  <c r="W657" i="8"/>
  <c r="W656" i="8"/>
  <c r="W655" i="8"/>
  <c r="W654" i="8"/>
  <c r="W653" i="8"/>
  <c r="W652" i="8"/>
  <c r="W651" i="8"/>
  <c r="W650" i="8"/>
  <c r="W649" i="8"/>
  <c r="W648" i="8"/>
  <c r="W647" i="8"/>
  <c r="W646" i="8"/>
  <c r="W645" i="8"/>
  <c r="W644" i="8"/>
  <c r="W643" i="8"/>
  <c r="W642" i="8"/>
  <c r="W641" i="8"/>
  <c r="W640" i="8"/>
  <c r="W639" i="8"/>
  <c r="W638" i="8"/>
  <c r="W637" i="8"/>
  <c r="W636" i="8"/>
  <c r="W635" i="8"/>
  <c r="W634" i="8"/>
  <c r="W633" i="8"/>
  <c r="W632" i="8"/>
  <c r="W631" i="8"/>
  <c r="W630" i="8"/>
  <c r="W629" i="8"/>
  <c r="W628" i="8"/>
  <c r="W627" i="8"/>
  <c r="W626" i="8"/>
  <c r="W625" i="8"/>
  <c r="W624" i="8"/>
  <c r="W623" i="8"/>
  <c r="W622" i="8"/>
  <c r="W621" i="8"/>
  <c r="W620" i="8"/>
  <c r="W619" i="8"/>
  <c r="W618" i="8"/>
  <c r="W617" i="8"/>
  <c r="W616" i="8"/>
  <c r="W615" i="8"/>
  <c r="W614" i="8"/>
  <c r="W613" i="8"/>
  <c r="W612" i="8"/>
  <c r="W611" i="8"/>
  <c r="W610" i="8"/>
  <c r="W609" i="8"/>
  <c r="W608" i="8"/>
  <c r="W607" i="8"/>
  <c r="W606" i="8"/>
  <c r="W605" i="8"/>
  <c r="W604" i="8"/>
  <c r="W603" i="8"/>
  <c r="W602" i="8"/>
  <c r="W601" i="8"/>
  <c r="W600" i="8"/>
  <c r="W599" i="8"/>
  <c r="W598" i="8"/>
  <c r="W597" i="8"/>
  <c r="W596" i="8"/>
  <c r="W595" i="8"/>
  <c r="W594" i="8"/>
  <c r="W593" i="8"/>
  <c r="W592" i="8"/>
  <c r="W591" i="8"/>
  <c r="W590" i="8"/>
  <c r="W589" i="8"/>
  <c r="W588" i="8"/>
  <c r="W587" i="8"/>
  <c r="W586" i="8"/>
  <c r="W585" i="8"/>
  <c r="W584" i="8"/>
  <c r="W583" i="8"/>
  <c r="W582" i="8"/>
  <c r="W581" i="8"/>
  <c r="W580" i="8"/>
  <c r="W579" i="8"/>
  <c r="W578" i="8"/>
  <c r="W577" i="8"/>
  <c r="W576" i="8"/>
  <c r="W575" i="8"/>
  <c r="W574" i="8"/>
  <c r="W573" i="8"/>
  <c r="W572" i="8"/>
  <c r="W571" i="8"/>
  <c r="W570" i="8"/>
  <c r="W569" i="8"/>
  <c r="W568" i="8"/>
  <c r="W567" i="8"/>
  <c r="W566" i="8"/>
  <c r="W565" i="8"/>
  <c r="W564" i="8"/>
  <c r="W563" i="8"/>
  <c r="W562" i="8"/>
  <c r="W561" i="8"/>
  <c r="W560" i="8"/>
  <c r="W559" i="8"/>
  <c r="W558" i="8"/>
  <c r="W557" i="8"/>
  <c r="W556" i="8"/>
  <c r="W555" i="8"/>
  <c r="W554" i="8"/>
  <c r="W553" i="8"/>
  <c r="W552" i="8"/>
  <c r="W551" i="8"/>
  <c r="W550" i="8"/>
  <c r="W549" i="8"/>
  <c r="W548" i="8"/>
  <c r="W547" i="8"/>
  <c r="W546" i="8"/>
  <c r="W545" i="8"/>
  <c r="W544" i="8"/>
  <c r="W543" i="8"/>
  <c r="W542" i="8"/>
  <c r="W541" i="8"/>
  <c r="W540" i="8"/>
  <c r="W539" i="8"/>
  <c r="W538" i="8"/>
  <c r="W537" i="8"/>
  <c r="W536" i="8"/>
  <c r="W535" i="8"/>
  <c r="W534" i="8"/>
  <c r="W533" i="8"/>
  <c r="W532" i="8"/>
  <c r="W531" i="8"/>
  <c r="W530" i="8"/>
  <c r="W529" i="8"/>
  <c r="W528" i="8"/>
  <c r="W527" i="8"/>
  <c r="W526" i="8"/>
  <c r="W525" i="8"/>
  <c r="W524" i="8"/>
  <c r="W523" i="8"/>
  <c r="W522" i="8"/>
  <c r="W521" i="8"/>
  <c r="W520" i="8"/>
  <c r="W519" i="8"/>
  <c r="W518" i="8"/>
  <c r="W517" i="8"/>
  <c r="W516" i="8"/>
  <c r="W515" i="8"/>
  <c r="W514" i="8"/>
  <c r="W513" i="8"/>
  <c r="W512" i="8"/>
  <c r="W511" i="8"/>
  <c r="W510" i="8"/>
  <c r="W509" i="8"/>
  <c r="W508" i="8"/>
  <c r="W507" i="8"/>
  <c r="W506" i="8"/>
  <c r="W505" i="8"/>
  <c r="W504" i="8"/>
  <c r="W503" i="8"/>
  <c r="W502" i="8"/>
  <c r="W501" i="8"/>
  <c r="W500" i="8"/>
  <c r="W499" i="8"/>
  <c r="W498" i="8"/>
  <c r="W497" i="8"/>
  <c r="W496" i="8"/>
  <c r="W495" i="8"/>
  <c r="W494" i="8"/>
  <c r="W493" i="8"/>
  <c r="W492" i="8"/>
  <c r="W491" i="8"/>
  <c r="W490" i="8"/>
  <c r="W489" i="8"/>
  <c r="W488" i="8"/>
  <c r="W487" i="8"/>
  <c r="W486" i="8"/>
  <c r="W485" i="8"/>
  <c r="W484" i="8"/>
  <c r="W483" i="8"/>
  <c r="W482" i="8"/>
  <c r="W481" i="8"/>
  <c r="W480" i="8"/>
  <c r="W479" i="8"/>
  <c r="W478" i="8"/>
  <c r="W477" i="8"/>
  <c r="W476" i="8"/>
  <c r="W475" i="8"/>
  <c r="W474" i="8"/>
  <c r="W473" i="8"/>
  <c r="W472" i="8"/>
  <c r="W471" i="8"/>
  <c r="W470" i="8"/>
  <c r="W469" i="8"/>
  <c r="W468" i="8"/>
  <c r="W467" i="8"/>
  <c r="W466" i="8"/>
  <c r="W465" i="8"/>
  <c r="W464" i="8"/>
  <c r="W463" i="8"/>
  <c r="W462" i="8"/>
  <c r="W461" i="8"/>
  <c r="W460" i="8"/>
  <c r="W459" i="8"/>
  <c r="W458" i="8"/>
  <c r="W457" i="8"/>
  <c r="W456" i="8"/>
  <c r="W455" i="8"/>
  <c r="W454" i="8"/>
  <c r="W453" i="8"/>
  <c r="W452" i="8"/>
  <c r="W451" i="8"/>
  <c r="W450" i="8"/>
  <c r="W449" i="8"/>
  <c r="W448" i="8"/>
  <c r="W447" i="8"/>
  <c r="W446" i="8"/>
  <c r="W445" i="8"/>
  <c r="W444" i="8"/>
  <c r="W443" i="8"/>
  <c r="W442" i="8"/>
  <c r="W441" i="8"/>
  <c r="W440" i="8"/>
  <c r="W439" i="8"/>
  <c r="W438" i="8"/>
  <c r="W437" i="8"/>
  <c r="W436" i="8"/>
  <c r="W435" i="8"/>
  <c r="W434" i="8"/>
  <c r="W433" i="8"/>
  <c r="W432" i="8"/>
  <c r="W431" i="8"/>
  <c r="W430" i="8"/>
  <c r="W429" i="8"/>
  <c r="W428" i="8"/>
  <c r="W427" i="8"/>
  <c r="W426" i="8"/>
  <c r="W425" i="8"/>
  <c r="W424" i="8"/>
  <c r="W423" i="8"/>
  <c r="W422" i="8"/>
  <c r="W421" i="8"/>
  <c r="W420" i="8"/>
  <c r="W419" i="8"/>
  <c r="W418" i="8"/>
  <c r="W417" i="8"/>
  <c r="W416" i="8"/>
  <c r="W415" i="8"/>
  <c r="W414" i="8"/>
  <c r="W413" i="8"/>
  <c r="W412" i="8"/>
  <c r="W411" i="8"/>
  <c r="W410" i="8"/>
  <c r="W409" i="8"/>
  <c r="W408" i="8"/>
  <c r="W407" i="8"/>
  <c r="W406" i="8"/>
  <c r="W405" i="8"/>
  <c r="W404" i="8"/>
  <c r="W403" i="8"/>
  <c r="W402" i="8"/>
  <c r="W401" i="8"/>
  <c r="W400" i="8"/>
  <c r="W399" i="8"/>
  <c r="W398" i="8"/>
  <c r="W397" i="8"/>
  <c r="W396" i="8"/>
  <c r="W395" i="8"/>
  <c r="W394" i="8"/>
  <c r="W393" i="8"/>
  <c r="W392" i="8"/>
  <c r="W391" i="8"/>
  <c r="W390" i="8"/>
  <c r="W389" i="8"/>
  <c r="W388" i="8"/>
  <c r="W387" i="8"/>
  <c r="W386" i="8"/>
  <c r="W385" i="8"/>
  <c r="W384" i="8"/>
  <c r="W383" i="8"/>
  <c r="W382" i="8"/>
  <c r="W381" i="8"/>
  <c r="W380" i="8"/>
  <c r="W379" i="8"/>
  <c r="W378" i="8"/>
  <c r="W377" i="8"/>
  <c r="W376" i="8"/>
  <c r="W375" i="8"/>
  <c r="W374" i="8"/>
  <c r="W373" i="8"/>
  <c r="W372" i="8"/>
  <c r="W371" i="8"/>
  <c r="W370" i="8"/>
  <c r="W369" i="8"/>
  <c r="W368" i="8"/>
  <c r="W367" i="8"/>
  <c r="W366" i="8"/>
  <c r="W365" i="8"/>
  <c r="W364" i="8"/>
  <c r="W363" i="8"/>
  <c r="W362" i="8"/>
  <c r="W361" i="8"/>
  <c r="W360" i="8"/>
  <c r="W359" i="8"/>
  <c r="W358" i="8"/>
  <c r="W357" i="8"/>
  <c r="W356" i="8"/>
  <c r="W355" i="8"/>
  <c r="W354" i="8"/>
  <c r="W353" i="8"/>
  <c r="W352" i="8"/>
  <c r="W351" i="8"/>
  <c r="W350" i="8"/>
  <c r="W349" i="8"/>
  <c r="W348" i="8"/>
  <c r="W347" i="8"/>
  <c r="W346" i="8"/>
  <c r="W345" i="8"/>
  <c r="W344" i="8"/>
  <c r="W343" i="8"/>
  <c r="W342" i="8"/>
  <c r="W341" i="8"/>
  <c r="W340" i="8"/>
  <c r="W339" i="8"/>
  <c r="W338" i="8"/>
  <c r="W337" i="8"/>
  <c r="W336" i="8"/>
  <c r="W335" i="8"/>
  <c r="W334" i="8"/>
  <c r="W333" i="8"/>
  <c r="W332" i="8"/>
  <c r="W331" i="8"/>
  <c r="W330" i="8"/>
  <c r="W329" i="8"/>
  <c r="W328" i="8"/>
  <c r="W327" i="8"/>
  <c r="W326" i="8"/>
  <c r="W325" i="8"/>
  <c r="W324" i="8"/>
  <c r="W323" i="8"/>
  <c r="W322" i="8"/>
  <c r="W321" i="8"/>
  <c r="W320" i="8"/>
  <c r="W319" i="8"/>
  <c r="W318" i="8"/>
  <c r="W317" i="8"/>
  <c r="W316" i="8"/>
  <c r="W315" i="8"/>
  <c r="W314" i="8"/>
  <c r="W313" i="8"/>
  <c r="W312" i="8"/>
  <c r="W311" i="8"/>
  <c r="W310" i="8"/>
  <c r="W309" i="8"/>
  <c r="W308" i="8"/>
  <c r="W307" i="8"/>
  <c r="W306" i="8"/>
  <c r="W305" i="8"/>
  <c r="W304" i="8"/>
  <c r="W303" i="8"/>
  <c r="W302" i="8"/>
  <c r="W301" i="8"/>
  <c r="W300" i="8"/>
  <c r="W299" i="8"/>
  <c r="W298" i="8"/>
  <c r="W297" i="8"/>
  <c r="W296" i="8"/>
  <c r="W295" i="8"/>
  <c r="W294" i="8"/>
  <c r="W293" i="8"/>
  <c r="W292" i="8"/>
  <c r="W291" i="8"/>
  <c r="W290" i="8"/>
  <c r="W289" i="8"/>
  <c r="W288" i="8"/>
  <c r="W287" i="8"/>
  <c r="W286" i="8"/>
  <c r="W285" i="8"/>
  <c r="W284" i="8"/>
  <c r="W283" i="8"/>
  <c r="W282" i="8"/>
  <c r="W281" i="8"/>
  <c r="W280" i="8"/>
  <c r="W279" i="8"/>
  <c r="W278" i="8"/>
  <c r="W277" i="8"/>
  <c r="W276" i="8"/>
  <c r="W275" i="8"/>
  <c r="W274" i="8"/>
  <c r="W273" i="8"/>
  <c r="W272" i="8"/>
  <c r="W271" i="8"/>
  <c r="W270" i="8"/>
  <c r="W269" i="8"/>
  <c r="W268" i="8"/>
  <c r="W267" i="8"/>
  <c r="W266" i="8"/>
  <c r="W265" i="8"/>
  <c r="W264" i="8"/>
  <c r="W263" i="8"/>
  <c r="W262" i="8"/>
  <c r="W261" i="8"/>
  <c r="W260" i="8"/>
  <c r="W259" i="8"/>
  <c r="W258" i="8"/>
  <c r="W257" i="8"/>
  <c r="W256" i="8"/>
  <c r="W255" i="8"/>
  <c r="W254" i="8"/>
  <c r="W253" i="8"/>
  <c r="W252" i="8"/>
  <c r="W251" i="8"/>
  <c r="W250" i="8"/>
  <c r="W249" i="8"/>
  <c r="W248" i="8"/>
  <c r="W247" i="8"/>
  <c r="W246" i="8"/>
  <c r="W245" i="8"/>
  <c r="W244" i="8"/>
  <c r="W243" i="8"/>
  <c r="W242" i="8"/>
  <c r="W241" i="8"/>
  <c r="W240" i="8"/>
  <c r="W239" i="8"/>
  <c r="W238" i="8"/>
  <c r="W237" i="8"/>
  <c r="W236" i="8"/>
  <c r="W235" i="8"/>
  <c r="W234" i="8"/>
  <c r="W233" i="8"/>
  <c r="W232" i="8"/>
  <c r="W231" i="8"/>
  <c r="W230" i="8"/>
  <c r="W229" i="8"/>
  <c r="W228" i="8"/>
  <c r="W227" i="8"/>
  <c r="W226" i="8"/>
  <c r="W225" i="8"/>
  <c r="W224" i="8"/>
  <c r="W223" i="8"/>
  <c r="W222" i="8"/>
  <c r="W221" i="8"/>
  <c r="W220" i="8"/>
  <c r="W219" i="8"/>
  <c r="W218" i="8"/>
  <c r="W217" i="8"/>
  <c r="W216" i="8"/>
  <c r="W215" i="8"/>
  <c r="W214" i="8"/>
  <c r="W213" i="8"/>
  <c r="W212" i="8"/>
  <c r="W211" i="8"/>
  <c r="W210" i="8"/>
  <c r="W209" i="8"/>
  <c r="W208" i="8"/>
  <c r="W207" i="8"/>
  <c r="W206" i="8"/>
  <c r="W205" i="8"/>
  <c r="W204" i="8"/>
  <c r="W203" i="8"/>
  <c r="W202" i="8"/>
  <c r="W201" i="8"/>
  <c r="W200" i="8"/>
  <c r="W199" i="8"/>
  <c r="W198" i="8"/>
  <c r="W197" i="8"/>
  <c r="W196" i="8"/>
  <c r="W195" i="8"/>
  <c r="W194" i="8"/>
  <c r="W193" i="8"/>
  <c r="W192" i="8"/>
  <c r="W191" i="8"/>
  <c r="W190" i="8"/>
  <c r="W189" i="8"/>
  <c r="W188" i="8"/>
  <c r="W187" i="8"/>
  <c r="W186" i="8"/>
  <c r="W185" i="8"/>
  <c r="W184" i="8"/>
  <c r="W183" i="8"/>
  <c r="W182" i="8"/>
  <c r="W181" i="8"/>
  <c r="W180" i="8"/>
  <c r="W179" i="8"/>
  <c r="W178" i="8"/>
  <c r="W177" i="8"/>
  <c r="W176" i="8"/>
  <c r="W175" i="8"/>
  <c r="W174" i="8"/>
  <c r="W173" i="8"/>
  <c r="W172" i="8"/>
  <c r="W171" i="8"/>
  <c r="W170" i="8"/>
  <c r="W169" i="8"/>
  <c r="W168" i="8"/>
  <c r="W167" i="8"/>
  <c r="W166" i="8"/>
  <c r="W165" i="8"/>
  <c r="W164" i="8"/>
  <c r="W163" i="8"/>
  <c r="W162" i="8"/>
  <c r="W161" i="8"/>
  <c r="W160" i="8"/>
  <c r="W159" i="8"/>
  <c r="W158" i="8"/>
  <c r="W157" i="8"/>
  <c r="W156" i="8"/>
  <c r="W155" i="8"/>
  <c r="W154" i="8"/>
  <c r="W153" i="8"/>
  <c r="W152" i="8"/>
  <c r="W151" i="8"/>
  <c r="W150" i="8"/>
  <c r="W149" i="8"/>
  <c r="W148" i="8"/>
  <c r="W147" i="8"/>
  <c r="W146" i="8"/>
  <c r="W145" i="8"/>
  <c r="W144" i="8"/>
  <c r="W143" i="8"/>
  <c r="W142" i="8"/>
  <c r="W141" i="8"/>
  <c r="W140" i="8"/>
  <c r="W139" i="8"/>
  <c r="W138" i="8"/>
  <c r="W137" i="8"/>
  <c r="W136" i="8"/>
  <c r="W135" i="8"/>
  <c r="W134" i="8"/>
  <c r="W133" i="8"/>
  <c r="W132" i="8"/>
  <c r="W131" i="8"/>
  <c r="W130" i="8"/>
  <c r="W129" i="8"/>
  <c r="W128" i="8"/>
  <c r="W127" i="8"/>
  <c r="W126" i="8"/>
  <c r="W125" i="8"/>
  <c r="W124" i="8"/>
  <c r="W123" i="8"/>
  <c r="W122" i="8"/>
  <c r="W121" i="8"/>
  <c r="W120" i="8"/>
  <c r="W119" i="8"/>
  <c r="W118" i="8"/>
  <c r="W117" i="8"/>
  <c r="W116" i="8"/>
  <c r="W115" i="8"/>
  <c r="W114" i="8"/>
  <c r="W113" i="8"/>
  <c r="W112" i="8"/>
  <c r="W111" i="8"/>
  <c r="W110" i="8"/>
  <c r="W109" i="8"/>
  <c r="W108" i="8"/>
  <c r="W107" i="8"/>
  <c r="W106" i="8"/>
  <c r="W105" i="8"/>
  <c r="W104" i="8"/>
  <c r="W103" i="8"/>
  <c r="W102" i="8"/>
  <c r="W101" i="8"/>
  <c r="W100" i="8"/>
  <c r="W99" i="8"/>
  <c r="W98" i="8"/>
  <c r="W97" i="8"/>
  <c r="W96" i="8"/>
  <c r="W95" i="8"/>
  <c r="W94" i="8"/>
  <c r="W93" i="8"/>
  <c r="W92" i="8"/>
  <c r="W91" i="8"/>
  <c r="W90" i="8"/>
  <c r="W89" i="8"/>
  <c r="W88" i="8"/>
  <c r="W87" i="8"/>
  <c r="W86" i="8"/>
  <c r="W85" i="8"/>
  <c r="W84" i="8"/>
  <c r="W83" i="8"/>
  <c r="W82" i="8"/>
  <c r="W81" i="8"/>
  <c r="W80" i="8"/>
  <c r="W79" i="8"/>
  <c r="W78" i="8"/>
  <c r="W77" i="8"/>
  <c r="W76" i="8"/>
  <c r="W75" i="8"/>
  <c r="W74" i="8"/>
  <c r="W73" i="8"/>
  <c r="W72" i="8"/>
  <c r="W71" i="8"/>
  <c r="W70" i="8"/>
  <c r="W69" i="8"/>
  <c r="W68" i="8"/>
  <c r="W67" i="8"/>
  <c r="W66" i="8"/>
  <c r="W65" i="8"/>
  <c r="W64" i="8"/>
  <c r="W63" i="8"/>
  <c r="W62" i="8"/>
  <c r="W61" i="8"/>
  <c r="W60" i="8"/>
  <c r="W59" i="8"/>
  <c r="W58" i="8"/>
  <c r="W57" i="8"/>
  <c r="W56" i="8"/>
  <c r="W55" i="8"/>
  <c r="W54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W13" i="8"/>
  <c r="W12" i="8"/>
  <c r="W11" i="8"/>
  <c r="W10" i="8"/>
  <c r="W9" i="8"/>
  <c r="W8" i="8"/>
  <c r="W7" i="8"/>
  <c r="W6" i="8"/>
  <c r="W5" i="8"/>
  <c r="W4" i="8"/>
  <c r="W3" i="8"/>
  <c r="W2" i="8"/>
  <c r="W1000" i="7"/>
  <c r="W999" i="7"/>
  <c r="W998" i="7"/>
  <c r="W997" i="7"/>
  <c r="W996" i="7"/>
  <c r="W995" i="7"/>
  <c r="W994" i="7"/>
  <c r="W993" i="7"/>
  <c r="W992" i="7"/>
  <c r="W991" i="7"/>
  <c r="W990" i="7"/>
  <c r="W989" i="7"/>
  <c r="W988" i="7"/>
  <c r="W987" i="7"/>
  <c r="W986" i="7"/>
  <c r="W985" i="7"/>
  <c r="W984" i="7"/>
  <c r="W983" i="7"/>
  <c r="W982" i="7"/>
  <c r="W981" i="7"/>
  <c r="W980" i="7"/>
  <c r="W979" i="7"/>
  <c r="W978" i="7"/>
  <c r="W977" i="7"/>
  <c r="W976" i="7"/>
  <c r="W975" i="7"/>
  <c r="W974" i="7"/>
  <c r="W973" i="7"/>
  <c r="W972" i="7"/>
  <c r="W971" i="7"/>
  <c r="W970" i="7"/>
  <c r="W969" i="7"/>
  <c r="W968" i="7"/>
  <c r="W967" i="7"/>
  <c r="W966" i="7"/>
  <c r="W965" i="7"/>
  <c r="W964" i="7"/>
  <c r="W963" i="7"/>
  <c r="W962" i="7"/>
  <c r="W961" i="7"/>
  <c r="W960" i="7"/>
  <c r="W959" i="7"/>
  <c r="W958" i="7"/>
  <c r="W957" i="7"/>
  <c r="W956" i="7"/>
  <c r="W955" i="7"/>
  <c r="W954" i="7"/>
  <c r="W953" i="7"/>
  <c r="W952" i="7"/>
  <c r="W951" i="7"/>
  <c r="W950" i="7"/>
  <c r="W949" i="7"/>
  <c r="W948" i="7"/>
  <c r="W947" i="7"/>
  <c r="W946" i="7"/>
  <c r="W945" i="7"/>
  <c r="W944" i="7"/>
  <c r="W943" i="7"/>
  <c r="W942" i="7"/>
  <c r="W941" i="7"/>
  <c r="W940" i="7"/>
  <c r="W939" i="7"/>
  <c r="W938" i="7"/>
  <c r="W937" i="7"/>
  <c r="W936" i="7"/>
  <c r="W935" i="7"/>
  <c r="W934" i="7"/>
  <c r="W933" i="7"/>
  <c r="W932" i="7"/>
  <c r="W931" i="7"/>
  <c r="W930" i="7"/>
  <c r="W929" i="7"/>
  <c r="W928" i="7"/>
  <c r="W927" i="7"/>
  <c r="W926" i="7"/>
  <c r="W925" i="7"/>
  <c r="W924" i="7"/>
  <c r="W923" i="7"/>
  <c r="W922" i="7"/>
  <c r="W921" i="7"/>
  <c r="W920" i="7"/>
  <c r="W919" i="7"/>
  <c r="W918" i="7"/>
  <c r="W917" i="7"/>
  <c r="W916" i="7"/>
  <c r="W915" i="7"/>
  <c r="W914" i="7"/>
  <c r="W913" i="7"/>
  <c r="W912" i="7"/>
  <c r="W911" i="7"/>
  <c r="W910" i="7"/>
  <c r="W909" i="7"/>
  <c r="W908" i="7"/>
  <c r="W907" i="7"/>
  <c r="W906" i="7"/>
  <c r="W905" i="7"/>
  <c r="W904" i="7"/>
  <c r="W903" i="7"/>
  <c r="W902" i="7"/>
  <c r="W901" i="7"/>
  <c r="W900" i="7"/>
  <c r="W899" i="7"/>
  <c r="W898" i="7"/>
  <c r="W897" i="7"/>
  <c r="W896" i="7"/>
  <c r="W895" i="7"/>
  <c r="W894" i="7"/>
  <c r="W893" i="7"/>
  <c r="W892" i="7"/>
  <c r="W891" i="7"/>
  <c r="W890" i="7"/>
  <c r="W889" i="7"/>
  <c r="W888" i="7"/>
  <c r="W887" i="7"/>
  <c r="W886" i="7"/>
  <c r="W885" i="7"/>
  <c r="W884" i="7"/>
  <c r="W883" i="7"/>
  <c r="W882" i="7"/>
  <c r="W881" i="7"/>
  <c r="W880" i="7"/>
  <c r="W879" i="7"/>
  <c r="W878" i="7"/>
  <c r="W877" i="7"/>
  <c r="W876" i="7"/>
  <c r="W875" i="7"/>
  <c r="W874" i="7"/>
  <c r="W873" i="7"/>
  <c r="W872" i="7"/>
  <c r="W871" i="7"/>
  <c r="W870" i="7"/>
  <c r="W869" i="7"/>
  <c r="W868" i="7"/>
  <c r="W867" i="7"/>
  <c r="W866" i="7"/>
  <c r="W865" i="7"/>
  <c r="W864" i="7"/>
  <c r="W863" i="7"/>
  <c r="W862" i="7"/>
  <c r="W861" i="7"/>
  <c r="W860" i="7"/>
  <c r="W859" i="7"/>
  <c r="W858" i="7"/>
  <c r="W857" i="7"/>
  <c r="W856" i="7"/>
  <c r="W855" i="7"/>
  <c r="W854" i="7"/>
  <c r="W853" i="7"/>
  <c r="W852" i="7"/>
  <c r="W851" i="7"/>
  <c r="W850" i="7"/>
  <c r="W849" i="7"/>
  <c r="W848" i="7"/>
  <c r="W847" i="7"/>
  <c r="W846" i="7"/>
  <c r="W845" i="7"/>
  <c r="W844" i="7"/>
  <c r="W843" i="7"/>
  <c r="W842" i="7"/>
  <c r="W841" i="7"/>
  <c r="W840" i="7"/>
  <c r="W839" i="7"/>
  <c r="W838" i="7"/>
  <c r="W837" i="7"/>
  <c r="W836" i="7"/>
  <c r="W835" i="7"/>
  <c r="W834" i="7"/>
  <c r="W833" i="7"/>
  <c r="W832" i="7"/>
  <c r="W831" i="7"/>
  <c r="W830" i="7"/>
  <c r="W829" i="7"/>
  <c r="W828" i="7"/>
  <c r="W827" i="7"/>
  <c r="W826" i="7"/>
  <c r="W825" i="7"/>
  <c r="W824" i="7"/>
  <c r="W823" i="7"/>
  <c r="W822" i="7"/>
  <c r="W821" i="7"/>
  <c r="W820" i="7"/>
  <c r="W819" i="7"/>
  <c r="W818" i="7"/>
  <c r="W817" i="7"/>
  <c r="W816" i="7"/>
  <c r="W815" i="7"/>
  <c r="W814" i="7"/>
  <c r="W813" i="7"/>
  <c r="W812" i="7"/>
  <c r="W811" i="7"/>
  <c r="W810" i="7"/>
  <c r="W809" i="7"/>
  <c r="W808" i="7"/>
  <c r="W807" i="7"/>
  <c r="W806" i="7"/>
  <c r="W805" i="7"/>
  <c r="W804" i="7"/>
  <c r="W803" i="7"/>
  <c r="W802" i="7"/>
  <c r="W801" i="7"/>
  <c r="W800" i="7"/>
  <c r="W799" i="7"/>
  <c r="W798" i="7"/>
  <c r="W797" i="7"/>
  <c r="W796" i="7"/>
  <c r="W795" i="7"/>
  <c r="W794" i="7"/>
  <c r="W793" i="7"/>
  <c r="W792" i="7"/>
  <c r="W791" i="7"/>
  <c r="W790" i="7"/>
  <c r="W789" i="7"/>
  <c r="W788" i="7"/>
  <c r="W787" i="7"/>
  <c r="W786" i="7"/>
  <c r="W785" i="7"/>
  <c r="W784" i="7"/>
  <c r="W783" i="7"/>
  <c r="W782" i="7"/>
  <c r="W781" i="7"/>
  <c r="W780" i="7"/>
  <c r="W779" i="7"/>
  <c r="W778" i="7"/>
  <c r="W777" i="7"/>
  <c r="W776" i="7"/>
  <c r="W775" i="7"/>
  <c r="W774" i="7"/>
  <c r="W773" i="7"/>
  <c r="W772" i="7"/>
  <c r="W771" i="7"/>
  <c r="W770" i="7"/>
  <c r="W769" i="7"/>
  <c r="W768" i="7"/>
  <c r="W767" i="7"/>
  <c r="W766" i="7"/>
  <c r="W765" i="7"/>
  <c r="W764" i="7"/>
  <c r="W763" i="7"/>
  <c r="W762" i="7"/>
  <c r="W761" i="7"/>
  <c r="W760" i="7"/>
  <c r="W759" i="7"/>
  <c r="W758" i="7"/>
  <c r="W757" i="7"/>
  <c r="W756" i="7"/>
  <c r="W755" i="7"/>
  <c r="W754" i="7"/>
  <c r="W753" i="7"/>
  <c r="W752" i="7"/>
  <c r="W751" i="7"/>
  <c r="W750" i="7"/>
  <c r="W749" i="7"/>
  <c r="W748" i="7"/>
  <c r="W747" i="7"/>
  <c r="W746" i="7"/>
  <c r="W745" i="7"/>
  <c r="W744" i="7"/>
  <c r="W743" i="7"/>
  <c r="W742" i="7"/>
  <c r="W741" i="7"/>
  <c r="W740" i="7"/>
  <c r="W739" i="7"/>
  <c r="W738" i="7"/>
  <c r="W737" i="7"/>
  <c r="W736" i="7"/>
  <c r="W735" i="7"/>
  <c r="W734" i="7"/>
  <c r="W733" i="7"/>
  <c r="W732" i="7"/>
  <c r="W731" i="7"/>
  <c r="W730" i="7"/>
  <c r="W729" i="7"/>
  <c r="W728" i="7"/>
  <c r="W727" i="7"/>
  <c r="W726" i="7"/>
  <c r="W725" i="7"/>
  <c r="W724" i="7"/>
  <c r="W723" i="7"/>
  <c r="W722" i="7"/>
  <c r="W721" i="7"/>
  <c r="W720" i="7"/>
  <c r="W719" i="7"/>
  <c r="W718" i="7"/>
  <c r="W717" i="7"/>
  <c r="W716" i="7"/>
  <c r="W715" i="7"/>
  <c r="W714" i="7"/>
  <c r="W713" i="7"/>
  <c r="W712" i="7"/>
  <c r="W711" i="7"/>
  <c r="W710" i="7"/>
  <c r="W709" i="7"/>
  <c r="W708" i="7"/>
  <c r="W707" i="7"/>
  <c r="W706" i="7"/>
  <c r="W705" i="7"/>
  <c r="W704" i="7"/>
  <c r="W703" i="7"/>
  <c r="W702" i="7"/>
  <c r="W701" i="7"/>
  <c r="W700" i="7"/>
  <c r="W699" i="7"/>
  <c r="W698" i="7"/>
  <c r="W697" i="7"/>
  <c r="W696" i="7"/>
  <c r="W695" i="7"/>
  <c r="W694" i="7"/>
  <c r="W693" i="7"/>
  <c r="W692" i="7"/>
  <c r="W691" i="7"/>
  <c r="W690" i="7"/>
  <c r="W689" i="7"/>
  <c r="W688" i="7"/>
  <c r="W687" i="7"/>
  <c r="W686" i="7"/>
  <c r="W685" i="7"/>
  <c r="W684" i="7"/>
  <c r="W683" i="7"/>
  <c r="W682" i="7"/>
  <c r="W681" i="7"/>
  <c r="W680" i="7"/>
  <c r="W679" i="7"/>
  <c r="W678" i="7"/>
  <c r="W677" i="7"/>
  <c r="W676" i="7"/>
  <c r="W675" i="7"/>
  <c r="W674" i="7"/>
  <c r="W673" i="7"/>
  <c r="W672" i="7"/>
  <c r="W671" i="7"/>
  <c r="W670" i="7"/>
  <c r="W669" i="7"/>
  <c r="W668" i="7"/>
  <c r="W667" i="7"/>
  <c r="W666" i="7"/>
  <c r="W665" i="7"/>
  <c r="W664" i="7"/>
  <c r="W663" i="7"/>
  <c r="W662" i="7"/>
  <c r="W661" i="7"/>
  <c r="W660" i="7"/>
  <c r="W659" i="7"/>
  <c r="W658" i="7"/>
  <c r="W657" i="7"/>
  <c r="W656" i="7"/>
  <c r="W655" i="7"/>
  <c r="W654" i="7"/>
  <c r="W653" i="7"/>
  <c r="W652" i="7"/>
  <c r="W651" i="7"/>
  <c r="W650" i="7"/>
  <c r="W649" i="7"/>
  <c r="W648" i="7"/>
  <c r="W647" i="7"/>
  <c r="W646" i="7"/>
  <c r="W645" i="7"/>
  <c r="W644" i="7"/>
  <c r="W643" i="7"/>
  <c r="W642" i="7"/>
  <c r="W641" i="7"/>
  <c r="W640" i="7"/>
  <c r="W639" i="7"/>
  <c r="W638" i="7"/>
  <c r="W637" i="7"/>
  <c r="W636" i="7"/>
  <c r="W635" i="7"/>
  <c r="W634" i="7"/>
  <c r="W633" i="7"/>
  <c r="W632" i="7"/>
  <c r="W631" i="7"/>
  <c r="W630" i="7"/>
  <c r="W629" i="7"/>
  <c r="W628" i="7"/>
  <c r="W627" i="7"/>
  <c r="W626" i="7"/>
  <c r="W625" i="7"/>
  <c r="W624" i="7"/>
  <c r="W623" i="7"/>
  <c r="W622" i="7"/>
  <c r="W621" i="7"/>
  <c r="W620" i="7"/>
  <c r="W619" i="7"/>
  <c r="W618" i="7"/>
  <c r="W617" i="7"/>
  <c r="W616" i="7"/>
  <c r="W615" i="7"/>
  <c r="W614" i="7"/>
  <c r="W613" i="7"/>
  <c r="W612" i="7"/>
  <c r="W611" i="7"/>
  <c r="W610" i="7"/>
  <c r="W609" i="7"/>
  <c r="W608" i="7"/>
  <c r="W607" i="7"/>
  <c r="W606" i="7"/>
  <c r="W605" i="7"/>
  <c r="W604" i="7"/>
  <c r="W603" i="7"/>
  <c r="W602" i="7"/>
  <c r="W601" i="7"/>
  <c r="W600" i="7"/>
  <c r="W599" i="7"/>
  <c r="W598" i="7"/>
  <c r="W597" i="7"/>
  <c r="W596" i="7"/>
  <c r="W595" i="7"/>
  <c r="W594" i="7"/>
  <c r="W593" i="7"/>
  <c r="W592" i="7"/>
  <c r="W591" i="7"/>
  <c r="W590" i="7"/>
  <c r="W589" i="7"/>
  <c r="W588" i="7"/>
  <c r="W587" i="7"/>
  <c r="W586" i="7"/>
  <c r="W585" i="7"/>
  <c r="W584" i="7"/>
  <c r="W583" i="7"/>
  <c r="W582" i="7"/>
  <c r="W581" i="7"/>
  <c r="W580" i="7"/>
  <c r="W579" i="7"/>
  <c r="W578" i="7"/>
  <c r="W577" i="7"/>
  <c r="W576" i="7"/>
  <c r="W575" i="7"/>
  <c r="W574" i="7"/>
  <c r="W573" i="7"/>
  <c r="W572" i="7"/>
  <c r="W571" i="7"/>
  <c r="W570" i="7"/>
  <c r="W569" i="7"/>
  <c r="W568" i="7"/>
  <c r="W567" i="7"/>
  <c r="W566" i="7"/>
  <c r="W565" i="7"/>
  <c r="W564" i="7"/>
  <c r="W563" i="7"/>
  <c r="W562" i="7"/>
  <c r="W561" i="7"/>
  <c r="W560" i="7"/>
  <c r="W559" i="7"/>
  <c r="W558" i="7"/>
  <c r="W557" i="7"/>
  <c r="W556" i="7"/>
  <c r="W555" i="7"/>
  <c r="W554" i="7"/>
  <c r="W553" i="7"/>
  <c r="W552" i="7"/>
  <c r="W551" i="7"/>
  <c r="W550" i="7"/>
  <c r="W549" i="7"/>
  <c r="W548" i="7"/>
  <c r="W547" i="7"/>
  <c r="W546" i="7"/>
  <c r="W545" i="7"/>
  <c r="W544" i="7"/>
  <c r="W543" i="7"/>
  <c r="W542" i="7"/>
  <c r="W541" i="7"/>
  <c r="W540" i="7"/>
  <c r="W539" i="7"/>
  <c r="W538" i="7"/>
  <c r="W537" i="7"/>
  <c r="W536" i="7"/>
  <c r="W535" i="7"/>
  <c r="W534" i="7"/>
  <c r="W533" i="7"/>
  <c r="W532" i="7"/>
  <c r="W531" i="7"/>
  <c r="W530" i="7"/>
  <c r="W529" i="7"/>
  <c r="W528" i="7"/>
  <c r="W527" i="7"/>
  <c r="W526" i="7"/>
  <c r="W525" i="7"/>
  <c r="W524" i="7"/>
  <c r="W523" i="7"/>
  <c r="W522" i="7"/>
  <c r="W521" i="7"/>
  <c r="W520" i="7"/>
  <c r="W519" i="7"/>
  <c r="W518" i="7"/>
  <c r="W517" i="7"/>
  <c r="W516" i="7"/>
  <c r="W515" i="7"/>
  <c r="W514" i="7"/>
  <c r="W513" i="7"/>
  <c r="W512" i="7"/>
  <c r="W511" i="7"/>
  <c r="W510" i="7"/>
  <c r="W509" i="7"/>
  <c r="W508" i="7"/>
  <c r="W507" i="7"/>
  <c r="W506" i="7"/>
  <c r="W505" i="7"/>
  <c r="W504" i="7"/>
  <c r="W503" i="7"/>
  <c r="W502" i="7"/>
  <c r="W501" i="7"/>
  <c r="W500" i="7"/>
  <c r="W499" i="7"/>
  <c r="W498" i="7"/>
  <c r="W497" i="7"/>
  <c r="W496" i="7"/>
  <c r="W495" i="7"/>
  <c r="W494" i="7"/>
  <c r="W493" i="7"/>
  <c r="W492" i="7"/>
  <c r="W491" i="7"/>
  <c r="W490" i="7"/>
  <c r="W489" i="7"/>
  <c r="W488" i="7"/>
  <c r="W487" i="7"/>
  <c r="W486" i="7"/>
  <c r="W485" i="7"/>
  <c r="W484" i="7"/>
  <c r="W483" i="7"/>
  <c r="W482" i="7"/>
  <c r="W481" i="7"/>
  <c r="W480" i="7"/>
  <c r="W479" i="7"/>
  <c r="W478" i="7"/>
  <c r="W477" i="7"/>
  <c r="W476" i="7"/>
  <c r="W475" i="7"/>
  <c r="W474" i="7"/>
  <c r="W473" i="7"/>
  <c r="W472" i="7"/>
  <c r="W471" i="7"/>
  <c r="W470" i="7"/>
  <c r="W469" i="7"/>
  <c r="W468" i="7"/>
  <c r="W467" i="7"/>
  <c r="W466" i="7"/>
  <c r="W465" i="7"/>
  <c r="W464" i="7"/>
  <c r="W463" i="7"/>
  <c r="W462" i="7"/>
  <c r="W461" i="7"/>
  <c r="W460" i="7"/>
  <c r="W459" i="7"/>
  <c r="W458" i="7"/>
  <c r="W457" i="7"/>
  <c r="W456" i="7"/>
  <c r="W455" i="7"/>
  <c r="W454" i="7"/>
  <c r="W453" i="7"/>
  <c r="W452" i="7"/>
  <c r="W451" i="7"/>
  <c r="W450" i="7"/>
  <c r="W449" i="7"/>
  <c r="W448" i="7"/>
  <c r="W447" i="7"/>
  <c r="W446" i="7"/>
  <c r="W445" i="7"/>
  <c r="W444" i="7"/>
  <c r="W443" i="7"/>
  <c r="W442" i="7"/>
  <c r="W441" i="7"/>
  <c r="W440" i="7"/>
  <c r="W439" i="7"/>
  <c r="W438" i="7"/>
  <c r="W437" i="7"/>
  <c r="W436" i="7"/>
  <c r="W435" i="7"/>
  <c r="W434" i="7"/>
  <c r="W433" i="7"/>
  <c r="W432" i="7"/>
  <c r="W431" i="7"/>
  <c r="W430" i="7"/>
  <c r="W429" i="7"/>
  <c r="W428" i="7"/>
  <c r="W427" i="7"/>
  <c r="W426" i="7"/>
  <c r="W425" i="7"/>
  <c r="W424" i="7"/>
  <c r="W423" i="7"/>
  <c r="W422" i="7"/>
  <c r="W421" i="7"/>
  <c r="W420" i="7"/>
  <c r="W419" i="7"/>
  <c r="W418" i="7"/>
  <c r="W417" i="7"/>
  <c r="W416" i="7"/>
  <c r="W415" i="7"/>
  <c r="W414" i="7"/>
  <c r="W413" i="7"/>
  <c r="W412" i="7"/>
  <c r="W411" i="7"/>
  <c r="W410" i="7"/>
  <c r="W409" i="7"/>
  <c r="W408" i="7"/>
  <c r="W407" i="7"/>
  <c r="W406" i="7"/>
  <c r="W405" i="7"/>
  <c r="W404" i="7"/>
  <c r="W403" i="7"/>
  <c r="W402" i="7"/>
  <c r="W401" i="7"/>
  <c r="W400" i="7"/>
  <c r="W399" i="7"/>
  <c r="W398" i="7"/>
  <c r="W397" i="7"/>
  <c r="W396" i="7"/>
  <c r="W395" i="7"/>
  <c r="W394" i="7"/>
  <c r="W393" i="7"/>
  <c r="W392" i="7"/>
  <c r="W391" i="7"/>
  <c r="W390" i="7"/>
  <c r="W389" i="7"/>
  <c r="W388" i="7"/>
  <c r="W387" i="7"/>
  <c r="W386" i="7"/>
  <c r="W385" i="7"/>
  <c r="W384" i="7"/>
  <c r="W383" i="7"/>
  <c r="W382" i="7"/>
  <c r="W381" i="7"/>
  <c r="W380" i="7"/>
  <c r="W379" i="7"/>
  <c r="W378" i="7"/>
  <c r="W377" i="7"/>
  <c r="W376" i="7"/>
  <c r="W375" i="7"/>
  <c r="W374" i="7"/>
  <c r="W373" i="7"/>
  <c r="W372" i="7"/>
  <c r="W371" i="7"/>
  <c r="W370" i="7"/>
  <c r="W369" i="7"/>
  <c r="W368" i="7"/>
  <c r="W367" i="7"/>
  <c r="W366" i="7"/>
  <c r="W365" i="7"/>
  <c r="W364" i="7"/>
  <c r="W363" i="7"/>
  <c r="W362" i="7"/>
  <c r="W361" i="7"/>
  <c r="W360" i="7"/>
  <c r="W359" i="7"/>
  <c r="W358" i="7"/>
  <c r="W357" i="7"/>
  <c r="W356" i="7"/>
  <c r="W355" i="7"/>
  <c r="W354" i="7"/>
  <c r="W353" i="7"/>
  <c r="W352" i="7"/>
  <c r="W351" i="7"/>
  <c r="W350" i="7"/>
  <c r="W349" i="7"/>
  <c r="W348" i="7"/>
  <c r="W347" i="7"/>
  <c r="W346" i="7"/>
  <c r="W345" i="7"/>
  <c r="W344" i="7"/>
  <c r="W343" i="7"/>
  <c r="W342" i="7"/>
  <c r="W341" i="7"/>
  <c r="W340" i="7"/>
  <c r="W339" i="7"/>
  <c r="W338" i="7"/>
  <c r="W337" i="7"/>
  <c r="W336" i="7"/>
  <c r="W335" i="7"/>
  <c r="W334" i="7"/>
  <c r="W333" i="7"/>
  <c r="W332" i="7"/>
  <c r="W331" i="7"/>
  <c r="W330" i="7"/>
  <c r="W329" i="7"/>
  <c r="W328" i="7"/>
  <c r="W327" i="7"/>
  <c r="W326" i="7"/>
  <c r="W325" i="7"/>
  <c r="W324" i="7"/>
  <c r="W323" i="7"/>
  <c r="W322" i="7"/>
  <c r="W321" i="7"/>
  <c r="W320" i="7"/>
  <c r="W319" i="7"/>
  <c r="W318" i="7"/>
  <c r="W317" i="7"/>
  <c r="W316" i="7"/>
  <c r="W315" i="7"/>
  <c r="W314" i="7"/>
  <c r="W313" i="7"/>
  <c r="W312" i="7"/>
  <c r="W311" i="7"/>
  <c r="W310" i="7"/>
  <c r="W309" i="7"/>
  <c r="W308" i="7"/>
  <c r="W307" i="7"/>
  <c r="W306" i="7"/>
  <c r="W305" i="7"/>
  <c r="W304" i="7"/>
  <c r="W303" i="7"/>
  <c r="W302" i="7"/>
  <c r="W301" i="7"/>
  <c r="W300" i="7"/>
  <c r="W299" i="7"/>
  <c r="W298" i="7"/>
  <c r="W297" i="7"/>
  <c r="W296" i="7"/>
  <c r="W295" i="7"/>
  <c r="W294" i="7"/>
  <c r="W293" i="7"/>
  <c r="W292" i="7"/>
  <c r="W291" i="7"/>
  <c r="W290" i="7"/>
  <c r="W289" i="7"/>
  <c r="W288" i="7"/>
  <c r="W287" i="7"/>
  <c r="W286" i="7"/>
  <c r="W285" i="7"/>
  <c r="W284" i="7"/>
  <c r="W283" i="7"/>
  <c r="W282" i="7"/>
  <c r="W281" i="7"/>
  <c r="W280" i="7"/>
  <c r="W279" i="7"/>
  <c r="W278" i="7"/>
  <c r="W277" i="7"/>
  <c r="W276" i="7"/>
  <c r="W275" i="7"/>
  <c r="W274" i="7"/>
  <c r="W273" i="7"/>
  <c r="W272" i="7"/>
  <c r="W271" i="7"/>
  <c r="W270" i="7"/>
  <c r="W269" i="7"/>
  <c r="W268" i="7"/>
  <c r="W267" i="7"/>
  <c r="W266" i="7"/>
  <c r="W265" i="7"/>
  <c r="W264" i="7"/>
  <c r="W263" i="7"/>
  <c r="W262" i="7"/>
  <c r="W261" i="7"/>
  <c r="W260" i="7"/>
  <c r="W259" i="7"/>
  <c r="W258" i="7"/>
  <c r="W257" i="7"/>
  <c r="W256" i="7"/>
  <c r="W255" i="7"/>
  <c r="W254" i="7"/>
  <c r="W253" i="7"/>
  <c r="W252" i="7"/>
  <c r="W251" i="7"/>
  <c r="W250" i="7"/>
  <c r="W249" i="7"/>
  <c r="W248" i="7"/>
  <c r="W247" i="7"/>
  <c r="W246" i="7"/>
  <c r="W245" i="7"/>
  <c r="W244" i="7"/>
  <c r="W243" i="7"/>
  <c r="W242" i="7"/>
  <c r="W241" i="7"/>
  <c r="W240" i="7"/>
  <c r="W239" i="7"/>
  <c r="W238" i="7"/>
  <c r="W237" i="7"/>
  <c r="W236" i="7"/>
  <c r="W235" i="7"/>
  <c r="W234" i="7"/>
  <c r="W233" i="7"/>
  <c r="W232" i="7"/>
  <c r="W231" i="7"/>
  <c r="W230" i="7"/>
  <c r="W229" i="7"/>
  <c r="W228" i="7"/>
  <c r="W227" i="7"/>
  <c r="W226" i="7"/>
  <c r="W225" i="7"/>
  <c r="W224" i="7"/>
  <c r="W223" i="7"/>
  <c r="W222" i="7"/>
  <c r="W221" i="7"/>
  <c r="W220" i="7"/>
  <c r="W219" i="7"/>
  <c r="W218" i="7"/>
  <c r="W217" i="7"/>
  <c r="W216" i="7"/>
  <c r="W215" i="7"/>
  <c r="W214" i="7"/>
  <c r="W213" i="7"/>
  <c r="W212" i="7"/>
  <c r="W211" i="7"/>
  <c r="W210" i="7"/>
  <c r="W209" i="7"/>
  <c r="W208" i="7"/>
  <c r="W207" i="7"/>
  <c r="W206" i="7"/>
  <c r="W205" i="7"/>
  <c r="W204" i="7"/>
  <c r="W203" i="7"/>
  <c r="W202" i="7"/>
  <c r="W201" i="7"/>
  <c r="W200" i="7"/>
  <c r="W199" i="7"/>
  <c r="W198" i="7"/>
  <c r="W197" i="7"/>
  <c r="W196" i="7"/>
  <c r="W195" i="7"/>
  <c r="W194" i="7"/>
  <c r="W193" i="7"/>
  <c r="W192" i="7"/>
  <c r="W191" i="7"/>
  <c r="W190" i="7"/>
  <c r="W189" i="7"/>
  <c r="W188" i="7"/>
  <c r="W187" i="7"/>
  <c r="W186" i="7"/>
  <c r="W185" i="7"/>
  <c r="W184" i="7"/>
  <c r="W183" i="7"/>
  <c r="W182" i="7"/>
  <c r="W181" i="7"/>
  <c r="W180" i="7"/>
  <c r="W179" i="7"/>
  <c r="W178" i="7"/>
  <c r="W177" i="7"/>
  <c r="W176" i="7"/>
  <c r="W175" i="7"/>
  <c r="W174" i="7"/>
  <c r="W173" i="7"/>
  <c r="W172" i="7"/>
  <c r="W171" i="7"/>
  <c r="W170" i="7"/>
  <c r="W169" i="7"/>
  <c r="W168" i="7"/>
  <c r="W167" i="7"/>
  <c r="W166" i="7"/>
  <c r="W165" i="7"/>
  <c r="W164" i="7"/>
  <c r="W163" i="7"/>
  <c r="W162" i="7"/>
  <c r="W161" i="7"/>
  <c r="W160" i="7"/>
  <c r="W159" i="7"/>
  <c r="W158" i="7"/>
  <c r="W157" i="7"/>
  <c r="W156" i="7"/>
  <c r="W155" i="7"/>
  <c r="W154" i="7"/>
  <c r="W153" i="7"/>
  <c r="W152" i="7"/>
  <c r="W151" i="7"/>
  <c r="W150" i="7"/>
  <c r="W149" i="7"/>
  <c r="W148" i="7"/>
  <c r="W147" i="7"/>
  <c r="W146" i="7"/>
  <c r="W145" i="7"/>
  <c r="W144" i="7"/>
  <c r="W143" i="7"/>
  <c r="W142" i="7"/>
  <c r="W141" i="7"/>
  <c r="W140" i="7"/>
  <c r="W139" i="7"/>
  <c r="W138" i="7"/>
  <c r="W137" i="7"/>
  <c r="W136" i="7"/>
  <c r="W135" i="7"/>
  <c r="W134" i="7"/>
  <c r="W133" i="7"/>
  <c r="W132" i="7"/>
  <c r="W131" i="7"/>
  <c r="W130" i="7"/>
  <c r="W129" i="7"/>
  <c r="W128" i="7"/>
  <c r="W127" i="7"/>
  <c r="W126" i="7"/>
  <c r="W125" i="7"/>
  <c r="W124" i="7"/>
  <c r="W123" i="7"/>
  <c r="W122" i="7"/>
  <c r="W121" i="7"/>
  <c r="W120" i="7"/>
  <c r="W119" i="7"/>
  <c r="W118" i="7"/>
  <c r="W117" i="7"/>
  <c r="W116" i="7"/>
  <c r="W115" i="7"/>
  <c r="W114" i="7"/>
  <c r="W113" i="7"/>
  <c r="W112" i="7"/>
  <c r="W111" i="7"/>
  <c r="W110" i="7"/>
  <c r="W109" i="7"/>
  <c r="W108" i="7"/>
  <c r="W107" i="7"/>
  <c r="W106" i="7"/>
  <c r="W105" i="7"/>
  <c r="W104" i="7"/>
  <c r="W103" i="7"/>
  <c r="W102" i="7"/>
  <c r="W101" i="7"/>
  <c r="W100" i="7"/>
  <c r="W99" i="7"/>
  <c r="W98" i="7"/>
  <c r="W97" i="7"/>
  <c r="W96" i="7"/>
  <c r="W95" i="7"/>
  <c r="W94" i="7"/>
  <c r="W93" i="7"/>
  <c r="W92" i="7"/>
  <c r="W91" i="7"/>
  <c r="W90" i="7"/>
  <c r="W89" i="7"/>
  <c r="W88" i="7"/>
  <c r="W87" i="7"/>
  <c r="W86" i="7"/>
  <c r="W85" i="7"/>
  <c r="W84" i="7"/>
  <c r="W83" i="7"/>
  <c r="W82" i="7"/>
  <c r="W81" i="7"/>
  <c r="W80" i="7"/>
  <c r="W79" i="7"/>
  <c r="W78" i="7"/>
  <c r="W77" i="7"/>
  <c r="W76" i="7"/>
  <c r="W75" i="7"/>
  <c r="W74" i="7"/>
  <c r="W73" i="7"/>
  <c r="W72" i="7"/>
  <c r="W71" i="7"/>
  <c r="W70" i="7"/>
  <c r="W69" i="7"/>
  <c r="W68" i="7"/>
  <c r="W67" i="7"/>
  <c r="W66" i="7"/>
  <c r="W65" i="7"/>
  <c r="W64" i="7"/>
  <c r="W63" i="7"/>
  <c r="W62" i="7"/>
  <c r="W61" i="7"/>
  <c r="W60" i="7"/>
  <c r="W59" i="7"/>
  <c r="W58" i="7"/>
  <c r="W57" i="7"/>
  <c r="W56" i="7"/>
  <c r="W55" i="7"/>
  <c r="W54" i="7"/>
  <c r="W53" i="7"/>
  <c r="W52" i="7"/>
  <c r="W51" i="7"/>
  <c r="W50" i="7"/>
  <c r="W49" i="7"/>
  <c r="W48" i="7"/>
  <c r="W47" i="7"/>
  <c r="W46" i="7"/>
  <c r="W45" i="7"/>
  <c r="W44" i="7"/>
  <c r="W43" i="7"/>
  <c r="W42" i="7"/>
  <c r="W41" i="7"/>
  <c r="W40" i="7"/>
  <c r="W39" i="7"/>
  <c r="W38" i="7"/>
  <c r="W37" i="7"/>
  <c r="W36" i="7"/>
  <c r="W35" i="7"/>
  <c r="W34" i="7"/>
  <c r="W33" i="7"/>
  <c r="W32" i="7"/>
  <c r="W31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W2" i="7"/>
  <c r="T1000" i="6"/>
  <c r="T999" i="6"/>
  <c r="T998" i="6"/>
  <c r="T997" i="6"/>
  <c r="T996" i="6"/>
  <c r="T995" i="6"/>
  <c r="T994" i="6"/>
  <c r="T993" i="6"/>
  <c r="T992" i="6"/>
  <c r="T991" i="6"/>
  <c r="T990" i="6"/>
  <c r="T989" i="6"/>
  <c r="T988" i="6"/>
  <c r="T987" i="6"/>
  <c r="T986" i="6"/>
  <c r="T985" i="6"/>
  <c r="T984" i="6"/>
  <c r="T983" i="6"/>
  <c r="T982" i="6"/>
  <c r="T981" i="6"/>
  <c r="T980" i="6"/>
  <c r="T979" i="6"/>
  <c r="T978" i="6"/>
  <c r="T977" i="6"/>
  <c r="T976" i="6"/>
  <c r="T975" i="6"/>
  <c r="T974" i="6"/>
  <c r="T973" i="6"/>
  <c r="T972" i="6"/>
  <c r="T971" i="6"/>
  <c r="T970" i="6"/>
  <c r="T969" i="6"/>
  <c r="T968" i="6"/>
  <c r="T967" i="6"/>
  <c r="T966" i="6"/>
  <c r="T965" i="6"/>
  <c r="T964" i="6"/>
  <c r="T963" i="6"/>
  <c r="T962" i="6"/>
  <c r="T961" i="6"/>
  <c r="T960" i="6"/>
  <c r="T959" i="6"/>
  <c r="T958" i="6"/>
  <c r="T957" i="6"/>
  <c r="T956" i="6"/>
  <c r="T955" i="6"/>
  <c r="T954" i="6"/>
  <c r="T953" i="6"/>
  <c r="T952" i="6"/>
  <c r="T951" i="6"/>
  <c r="T950" i="6"/>
  <c r="T949" i="6"/>
  <c r="T948" i="6"/>
  <c r="T947" i="6"/>
  <c r="T946" i="6"/>
  <c r="T945" i="6"/>
  <c r="T944" i="6"/>
  <c r="T943" i="6"/>
  <c r="T942" i="6"/>
  <c r="T941" i="6"/>
  <c r="T940" i="6"/>
  <c r="T939" i="6"/>
  <c r="T938" i="6"/>
  <c r="T937" i="6"/>
  <c r="T936" i="6"/>
  <c r="T935" i="6"/>
  <c r="T934" i="6"/>
  <c r="T933" i="6"/>
  <c r="T932" i="6"/>
  <c r="T931" i="6"/>
  <c r="T930" i="6"/>
  <c r="T929" i="6"/>
  <c r="T928" i="6"/>
  <c r="T927" i="6"/>
  <c r="T926" i="6"/>
  <c r="T925" i="6"/>
  <c r="T924" i="6"/>
  <c r="T923" i="6"/>
  <c r="T922" i="6"/>
  <c r="T921" i="6"/>
  <c r="T920" i="6"/>
  <c r="T919" i="6"/>
  <c r="T918" i="6"/>
  <c r="T917" i="6"/>
  <c r="T916" i="6"/>
  <c r="T915" i="6"/>
  <c r="T914" i="6"/>
  <c r="T913" i="6"/>
  <c r="T912" i="6"/>
  <c r="T911" i="6"/>
  <c r="T910" i="6"/>
  <c r="T909" i="6"/>
  <c r="T908" i="6"/>
  <c r="T907" i="6"/>
  <c r="T906" i="6"/>
  <c r="T905" i="6"/>
  <c r="T904" i="6"/>
  <c r="T903" i="6"/>
  <c r="T902" i="6"/>
  <c r="T901" i="6"/>
  <c r="T900" i="6"/>
  <c r="T899" i="6"/>
  <c r="T898" i="6"/>
  <c r="T897" i="6"/>
  <c r="T896" i="6"/>
  <c r="T895" i="6"/>
  <c r="T894" i="6"/>
  <c r="T893" i="6"/>
  <c r="T892" i="6"/>
  <c r="T891" i="6"/>
  <c r="T890" i="6"/>
  <c r="T889" i="6"/>
  <c r="T888" i="6"/>
  <c r="T887" i="6"/>
  <c r="T886" i="6"/>
  <c r="T885" i="6"/>
  <c r="T884" i="6"/>
  <c r="T883" i="6"/>
  <c r="T882" i="6"/>
  <c r="T881" i="6"/>
  <c r="T880" i="6"/>
  <c r="T879" i="6"/>
  <c r="T878" i="6"/>
  <c r="T877" i="6"/>
  <c r="T876" i="6"/>
  <c r="T875" i="6"/>
  <c r="T874" i="6"/>
  <c r="T873" i="6"/>
  <c r="T872" i="6"/>
  <c r="T871" i="6"/>
  <c r="T870" i="6"/>
  <c r="T869" i="6"/>
  <c r="T868" i="6"/>
  <c r="T867" i="6"/>
  <c r="T866" i="6"/>
  <c r="T865" i="6"/>
  <c r="T864" i="6"/>
  <c r="T863" i="6"/>
  <c r="T862" i="6"/>
  <c r="T861" i="6"/>
  <c r="T860" i="6"/>
  <c r="T859" i="6"/>
  <c r="T858" i="6"/>
  <c r="T857" i="6"/>
  <c r="T856" i="6"/>
  <c r="T855" i="6"/>
  <c r="T854" i="6"/>
  <c r="T853" i="6"/>
  <c r="T852" i="6"/>
  <c r="T851" i="6"/>
  <c r="T850" i="6"/>
  <c r="T849" i="6"/>
  <c r="T848" i="6"/>
  <c r="T847" i="6"/>
  <c r="T846" i="6"/>
  <c r="T845" i="6"/>
  <c r="T844" i="6"/>
  <c r="T843" i="6"/>
  <c r="T842" i="6"/>
  <c r="T841" i="6"/>
  <c r="T840" i="6"/>
  <c r="T839" i="6"/>
  <c r="T838" i="6"/>
  <c r="T837" i="6"/>
  <c r="T836" i="6"/>
  <c r="T835" i="6"/>
  <c r="T834" i="6"/>
  <c r="T833" i="6"/>
  <c r="T832" i="6"/>
  <c r="T831" i="6"/>
  <c r="T830" i="6"/>
  <c r="T829" i="6"/>
  <c r="T828" i="6"/>
  <c r="T827" i="6"/>
  <c r="T826" i="6"/>
  <c r="T825" i="6"/>
  <c r="T824" i="6"/>
  <c r="T823" i="6"/>
  <c r="T822" i="6"/>
  <c r="T821" i="6"/>
  <c r="T820" i="6"/>
  <c r="T819" i="6"/>
  <c r="T818" i="6"/>
  <c r="T817" i="6"/>
  <c r="T816" i="6"/>
  <c r="T815" i="6"/>
  <c r="T814" i="6"/>
  <c r="T813" i="6"/>
  <c r="T812" i="6"/>
  <c r="T811" i="6"/>
  <c r="T810" i="6"/>
  <c r="T809" i="6"/>
  <c r="T808" i="6"/>
  <c r="T807" i="6"/>
  <c r="T806" i="6"/>
  <c r="T805" i="6"/>
  <c r="T804" i="6"/>
  <c r="T803" i="6"/>
  <c r="T802" i="6"/>
  <c r="T801" i="6"/>
  <c r="T800" i="6"/>
  <c r="T799" i="6"/>
  <c r="T798" i="6"/>
  <c r="T797" i="6"/>
  <c r="T796" i="6"/>
  <c r="T795" i="6"/>
  <c r="T794" i="6"/>
  <c r="T793" i="6"/>
  <c r="T792" i="6"/>
  <c r="T791" i="6"/>
  <c r="T790" i="6"/>
  <c r="T789" i="6"/>
  <c r="T788" i="6"/>
  <c r="T787" i="6"/>
  <c r="T786" i="6"/>
  <c r="T785" i="6"/>
  <c r="T784" i="6"/>
  <c r="T783" i="6"/>
  <c r="T782" i="6"/>
  <c r="T781" i="6"/>
  <c r="T780" i="6"/>
  <c r="T779" i="6"/>
  <c r="T778" i="6"/>
  <c r="T777" i="6"/>
  <c r="T776" i="6"/>
  <c r="T775" i="6"/>
  <c r="T774" i="6"/>
  <c r="T773" i="6"/>
  <c r="T772" i="6"/>
  <c r="T771" i="6"/>
  <c r="T770" i="6"/>
  <c r="T769" i="6"/>
  <c r="T768" i="6"/>
  <c r="T767" i="6"/>
  <c r="T766" i="6"/>
  <c r="T765" i="6"/>
  <c r="T764" i="6"/>
  <c r="T763" i="6"/>
  <c r="T762" i="6"/>
  <c r="T761" i="6"/>
  <c r="T760" i="6"/>
  <c r="T759" i="6"/>
  <c r="T758" i="6"/>
  <c r="T757" i="6"/>
  <c r="T756" i="6"/>
  <c r="T755" i="6"/>
  <c r="T754" i="6"/>
  <c r="T753" i="6"/>
  <c r="T752" i="6"/>
  <c r="T751" i="6"/>
  <c r="T750" i="6"/>
  <c r="T749" i="6"/>
  <c r="T748" i="6"/>
  <c r="T747" i="6"/>
  <c r="T746" i="6"/>
  <c r="T745" i="6"/>
  <c r="T744" i="6"/>
  <c r="T743" i="6"/>
  <c r="T742" i="6"/>
  <c r="T741" i="6"/>
  <c r="T740" i="6"/>
  <c r="T739" i="6"/>
  <c r="T738" i="6"/>
  <c r="T737" i="6"/>
  <c r="T736" i="6"/>
  <c r="T735" i="6"/>
  <c r="T734" i="6"/>
  <c r="T733" i="6"/>
  <c r="T732" i="6"/>
  <c r="T731" i="6"/>
  <c r="T730" i="6"/>
  <c r="T729" i="6"/>
  <c r="T728" i="6"/>
  <c r="T727" i="6"/>
  <c r="T726" i="6"/>
  <c r="T725" i="6"/>
  <c r="T724" i="6"/>
  <c r="T723" i="6"/>
  <c r="T722" i="6"/>
  <c r="T721" i="6"/>
  <c r="T720" i="6"/>
  <c r="T719" i="6"/>
  <c r="T718" i="6"/>
  <c r="T717" i="6"/>
  <c r="T716" i="6"/>
  <c r="T715" i="6"/>
  <c r="T714" i="6"/>
  <c r="T713" i="6"/>
  <c r="T712" i="6"/>
  <c r="T711" i="6"/>
  <c r="T710" i="6"/>
  <c r="T709" i="6"/>
  <c r="T708" i="6"/>
  <c r="T707" i="6"/>
  <c r="T706" i="6"/>
  <c r="T705" i="6"/>
  <c r="T704" i="6"/>
  <c r="T703" i="6"/>
  <c r="T702" i="6"/>
  <c r="T701" i="6"/>
  <c r="T700" i="6"/>
  <c r="T699" i="6"/>
  <c r="T698" i="6"/>
  <c r="T697" i="6"/>
  <c r="T696" i="6"/>
  <c r="T695" i="6"/>
  <c r="T694" i="6"/>
  <c r="T693" i="6"/>
  <c r="T692" i="6"/>
  <c r="T691" i="6"/>
  <c r="T690" i="6"/>
  <c r="T689" i="6"/>
  <c r="T688" i="6"/>
  <c r="T687" i="6"/>
  <c r="T686" i="6"/>
  <c r="T685" i="6"/>
  <c r="T684" i="6"/>
  <c r="T683" i="6"/>
  <c r="T682" i="6"/>
  <c r="T681" i="6"/>
  <c r="T680" i="6"/>
  <c r="T679" i="6"/>
  <c r="T678" i="6"/>
  <c r="T677" i="6"/>
  <c r="T676" i="6"/>
  <c r="T675" i="6"/>
  <c r="T674" i="6"/>
  <c r="T673" i="6"/>
  <c r="T672" i="6"/>
  <c r="T671" i="6"/>
  <c r="T670" i="6"/>
  <c r="T669" i="6"/>
  <c r="T668" i="6"/>
  <c r="T667" i="6"/>
  <c r="T666" i="6"/>
  <c r="T665" i="6"/>
  <c r="T664" i="6"/>
  <c r="T663" i="6"/>
  <c r="T662" i="6"/>
  <c r="T661" i="6"/>
  <c r="T660" i="6"/>
  <c r="T659" i="6"/>
  <c r="T658" i="6"/>
  <c r="T657" i="6"/>
  <c r="T656" i="6"/>
  <c r="T655" i="6"/>
  <c r="T654" i="6"/>
  <c r="T653" i="6"/>
  <c r="T652" i="6"/>
  <c r="T651" i="6"/>
  <c r="T650" i="6"/>
  <c r="T649" i="6"/>
  <c r="T648" i="6"/>
  <c r="T647" i="6"/>
  <c r="T646" i="6"/>
  <c r="T645" i="6"/>
  <c r="T644" i="6"/>
  <c r="T643" i="6"/>
  <c r="T642" i="6"/>
  <c r="T641" i="6"/>
  <c r="T640" i="6"/>
  <c r="T639" i="6"/>
  <c r="T638" i="6"/>
  <c r="T637" i="6"/>
  <c r="T636" i="6"/>
  <c r="T635" i="6"/>
  <c r="T634" i="6"/>
  <c r="T633" i="6"/>
  <c r="T632" i="6"/>
  <c r="T631" i="6"/>
  <c r="T630" i="6"/>
  <c r="T629" i="6"/>
  <c r="T628" i="6"/>
  <c r="T627" i="6"/>
  <c r="T626" i="6"/>
  <c r="T625" i="6"/>
  <c r="T624" i="6"/>
  <c r="T623" i="6"/>
  <c r="T622" i="6"/>
  <c r="T621" i="6"/>
  <c r="T620" i="6"/>
  <c r="T619" i="6"/>
  <c r="T618" i="6"/>
  <c r="T617" i="6"/>
  <c r="T616" i="6"/>
  <c r="T615" i="6"/>
  <c r="T614" i="6"/>
  <c r="T613" i="6"/>
  <c r="T612" i="6"/>
  <c r="T611" i="6"/>
  <c r="T610" i="6"/>
  <c r="T609" i="6"/>
  <c r="T608" i="6"/>
  <c r="T607" i="6"/>
  <c r="T606" i="6"/>
  <c r="T605" i="6"/>
  <c r="T604" i="6"/>
  <c r="T603" i="6"/>
  <c r="T602" i="6"/>
  <c r="T601" i="6"/>
  <c r="T600" i="6"/>
  <c r="T599" i="6"/>
  <c r="T598" i="6"/>
  <c r="T597" i="6"/>
  <c r="T596" i="6"/>
  <c r="T595" i="6"/>
  <c r="T594" i="6"/>
  <c r="T593" i="6"/>
  <c r="T592" i="6"/>
  <c r="T591" i="6"/>
  <c r="T590" i="6"/>
  <c r="T589" i="6"/>
  <c r="T588" i="6"/>
  <c r="T587" i="6"/>
  <c r="T586" i="6"/>
  <c r="T585" i="6"/>
  <c r="T584" i="6"/>
  <c r="T583" i="6"/>
  <c r="T582" i="6"/>
  <c r="T581" i="6"/>
  <c r="T580" i="6"/>
  <c r="T579" i="6"/>
  <c r="T578" i="6"/>
  <c r="T577" i="6"/>
  <c r="T576" i="6"/>
  <c r="T575" i="6"/>
  <c r="T574" i="6"/>
  <c r="T573" i="6"/>
  <c r="T572" i="6"/>
  <c r="T571" i="6"/>
  <c r="T570" i="6"/>
  <c r="T569" i="6"/>
  <c r="T568" i="6"/>
  <c r="T567" i="6"/>
  <c r="T566" i="6"/>
  <c r="T565" i="6"/>
  <c r="T564" i="6"/>
  <c r="T563" i="6"/>
  <c r="T562" i="6"/>
  <c r="T561" i="6"/>
  <c r="T560" i="6"/>
  <c r="T559" i="6"/>
  <c r="T558" i="6"/>
  <c r="T557" i="6"/>
  <c r="T556" i="6"/>
  <c r="T555" i="6"/>
  <c r="T554" i="6"/>
  <c r="T553" i="6"/>
  <c r="T552" i="6"/>
  <c r="T551" i="6"/>
  <c r="T550" i="6"/>
  <c r="T549" i="6"/>
  <c r="T548" i="6"/>
  <c r="T547" i="6"/>
  <c r="T546" i="6"/>
  <c r="T545" i="6"/>
  <c r="T544" i="6"/>
  <c r="T543" i="6"/>
  <c r="T542" i="6"/>
  <c r="T541" i="6"/>
  <c r="T540" i="6"/>
  <c r="T539" i="6"/>
  <c r="T538" i="6"/>
  <c r="T537" i="6"/>
  <c r="T536" i="6"/>
  <c r="T535" i="6"/>
  <c r="T534" i="6"/>
  <c r="T533" i="6"/>
  <c r="T532" i="6"/>
  <c r="T531" i="6"/>
  <c r="T530" i="6"/>
  <c r="T529" i="6"/>
  <c r="T528" i="6"/>
  <c r="T527" i="6"/>
  <c r="T526" i="6"/>
  <c r="T525" i="6"/>
  <c r="T524" i="6"/>
  <c r="T523" i="6"/>
  <c r="T522" i="6"/>
  <c r="T521" i="6"/>
  <c r="T520" i="6"/>
  <c r="T519" i="6"/>
  <c r="T518" i="6"/>
  <c r="T517" i="6"/>
  <c r="T516" i="6"/>
  <c r="T515" i="6"/>
  <c r="T514" i="6"/>
  <c r="T513" i="6"/>
  <c r="T512" i="6"/>
  <c r="T511" i="6"/>
  <c r="T510" i="6"/>
  <c r="T509" i="6"/>
  <c r="T508" i="6"/>
  <c r="T507" i="6"/>
  <c r="T506" i="6"/>
  <c r="T505" i="6"/>
  <c r="T504" i="6"/>
  <c r="T503" i="6"/>
  <c r="T502" i="6"/>
  <c r="T501" i="6"/>
  <c r="T500" i="6"/>
  <c r="T499" i="6"/>
  <c r="T498" i="6"/>
  <c r="T497" i="6"/>
  <c r="T496" i="6"/>
  <c r="T495" i="6"/>
  <c r="T494" i="6"/>
  <c r="T493" i="6"/>
  <c r="T492" i="6"/>
  <c r="T491" i="6"/>
  <c r="T490" i="6"/>
  <c r="T489" i="6"/>
  <c r="T488" i="6"/>
  <c r="T487" i="6"/>
  <c r="T486" i="6"/>
  <c r="T485" i="6"/>
  <c r="T484" i="6"/>
  <c r="T483" i="6"/>
  <c r="T482" i="6"/>
  <c r="T481" i="6"/>
  <c r="T480" i="6"/>
  <c r="T479" i="6"/>
  <c r="T478" i="6"/>
  <c r="T477" i="6"/>
  <c r="T476" i="6"/>
  <c r="T475" i="6"/>
  <c r="T474" i="6"/>
  <c r="T473" i="6"/>
  <c r="T472" i="6"/>
  <c r="T471" i="6"/>
  <c r="T470" i="6"/>
  <c r="T469" i="6"/>
  <c r="T468" i="6"/>
  <c r="T467" i="6"/>
  <c r="T466" i="6"/>
  <c r="T465" i="6"/>
  <c r="T464" i="6"/>
  <c r="T463" i="6"/>
  <c r="T462" i="6"/>
  <c r="T461" i="6"/>
  <c r="T460" i="6"/>
  <c r="T459" i="6"/>
  <c r="T458" i="6"/>
  <c r="T457" i="6"/>
  <c r="T456" i="6"/>
  <c r="T455" i="6"/>
  <c r="T454" i="6"/>
  <c r="T453" i="6"/>
  <c r="T452" i="6"/>
  <c r="T451" i="6"/>
  <c r="T450" i="6"/>
  <c r="T449" i="6"/>
  <c r="T448" i="6"/>
  <c r="T447" i="6"/>
  <c r="T446" i="6"/>
  <c r="T445" i="6"/>
  <c r="T444" i="6"/>
  <c r="T443" i="6"/>
  <c r="T442" i="6"/>
  <c r="T441" i="6"/>
  <c r="T440" i="6"/>
  <c r="T439" i="6"/>
  <c r="T438" i="6"/>
  <c r="T437" i="6"/>
  <c r="T436" i="6"/>
  <c r="T435" i="6"/>
  <c r="T434" i="6"/>
  <c r="T433" i="6"/>
  <c r="T432" i="6"/>
  <c r="T431" i="6"/>
  <c r="T430" i="6"/>
  <c r="T429" i="6"/>
  <c r="T428" i="6"/>
  <c r="T427" i="6"/>
  <c r="T426" i="6"/>
  <c r="T425" i="6"/>
  <c r="T424" i="6"/>
  <c r="T423" i="6"/>
  <c r="T422" i="6"/>
  <c r="T421" i="6"/>
  <c r="T420" i="6"/>
  <c r="T419" i="6"/>
  <c r="T418" i="6"/>
  <c r="T417" i="6"/>
  <c r="T416" i="6"/>
  <c r="T415" i="6"/>
  <c r="T414" i="6"/>
  <c r="T413" i="6"/>
  <c r="T412" i="6"/>
  <c r="T411" i="6"/>
  <c r="T410" i="6"/>
  <c r="T409" i="6"/>
  <c r="T408" i="6"/>
  <c r="T407" i="6"/>
  <c r="T406" i="6"/>
  <c r="T405" i="6"/>
  <c r="T404" i="6"/>
  <c r="T403" i="6"/>
  <c r="T402" i="6"/>
  <c r="T401" i="6"/>
  <c r="T400" i="6"/>
  <c r="T399" i="6"/>
  <c r="T398" i="6"/>
  <c r="T397" i="6"/>
  <c r="T396" i="6"/>
  <c r="T395" i="6"/>
  <c r="T394" i="6"/>
  <c r="T393" i="6"/>
  <c r="T392" i="6"/>
  <c r="T391" i="6"/>
  <c r="T390" i="6"/>
  <c r="T389" i="6"/>
  <c r="T388" i="6"/>
  <c r="T387" i="6"/>
  <c r="T386" i="6"/>
  <c r="T385" i="6"/>
  <c r="T384" i="6"/>
  <c r="T383" i="6"/>
  <c r="T382" i="6"/>
  <c r="T381" i="6"/>
  <c r="T380" i="6"/>
  <c r="T379" i="6"/>
  <c r="T378" i="6"/>
  <c r="T377" i="6"/>
  <c r="T376" i="6"/>
  <c r="T375" i="6"/>
  <c r="T374" i="6"/>
  <c r="T373" i="6"/>
  <c r="T372" i="6"/>
  <c r="T371" i="6"/>
  <c r="T370" i="6"/>
  <c r="T369" i="6"/>
  <c r="T368" i="6"/>
  <c r="T367" i="6"/>
  <c r="T366" i="6"/>
  <c r="T365" i="6"/>
  <c r="T364" i="6"/>
  <c r="T363" i="6"/>
  <c r="T362" i="6"/>
  <c r="T361" i="6"/>
  <c r="T360" i="6"/>
  <c r="T359" i="6"/>
  <c r="T358" i="6"/>
  <c r="T357" i="6"/>
  <c r="T356" i="6"/>
  <c r="T355" i="6"/>
  <c r="T354" i="6"/>
  <c r="T353" i="6"/>
  <c r="T352" i="6"/>
  <c r="T351" i="6"/>
  <c r="T350" i="6"/>
  <c r="T349" i="6"/>
  <c r="T348" i="6"/>
  <c r="T347" i="6"/>
  <c r="T346" i="6"/>
  <c r="T345" i="6"/>
  <c r="T344" i="6"/>
  <c r="T343" i="6"/>
  <c r="T342" i="6"/>
  <c r="T341" i="6"/>
  <c r="T340" i="6"/>
  <c r="T339" i="6"/>
  <c r="T338" i="6"/>
  <c r="T337" i="6"/>
  <c r="T336" i="6"/>
  <c r="T335" i="6"/>
  <c r="T334" i="6"/>
  <c r="T333" i="6"/>
  <c r="T332" i="6"/>
  <c r="T331" i="6"/>
  <c r="T330" i="6"/>
  <c r="T329" i="6"/>
  <c r="T328" i="6"/>
  <c r="T327" i="6"/>
  <c r="T326" i="6"/>
  <c r="T325" i="6"/>
  <c r="T324" i="6"/>
  <c r="T323" i="6"/>
  <c r="T322" i="6"/>
  <c r="T321" i="6"/>
  <c r="T320" i="6"/>
  <c r="T319" i="6"/>
  <c r="T318" i="6"/>
  <c r="T317" i="6"/>
  <c r="T316" i="6"/>
  <c r="T315" i="6"/>
  <c r="T314" i="6"/>
  <c r="T313" i="6"/>
  <c r="T312" i="6"/>
  <c r="T311" i="6"/>
  <c r="T310" i="6"/>
  <c r="T309" i="6"/>
  <c r="T308" i="6"/>
  <c r="T307" i="6"/>
  <c r="T306" i="6"/>
  <c r="T305" i="6"/>
  <c r="T304" i="6"/>
  <c r="T303" i="6"/>
  <c r="T302" i="6"/>
  <c r="T301" i="6"/>
  <c r="T300" i="6"/>
  <c r="T299" i="6"/>
  <c r="T298" i="6"/>
  <c r="T297" i="6"/>
  <c r="T296" i="6"/>
  <c r="T295" i="6"/>
  <c r="T294" i="6"/>
  <c r="T293" i="6"/>
  <c r="T292" i="6"/>
  <c r="T291" i="6"/>
  <c r="T290" i="6"/>
  <c r="T289" i="6"/>
  <c r="T288" i="6"/>
  <c r="T287" i="6"/>
  <c r="T286" i="6"/>
  <c r="T285" i="6"/>
  <c r="T284" i="6"/>
  <c r="T283" i="6"/>
  <c r="T282" i="6"/>
  <c r="T281" i="6"/>
  <c r="T280" i="6"/>
  <c r="T279" i="6"/>
  <c r="T278" i="6"/>
  <c r="T277" i="6"/>
  <c r="T276" i="6"/>
  <c r="T275" i="6"/>
  <c r="T274" i="6"/>
  <c r="T273" i="6"/>
  <c r="T272" i="6"/>
  <c r="T271" i="6"/>
  <c r="T270" i="6"/>
  <c r="T269" i="6"/>
  <c r="T268" i="6"/>
  <c r="T267" i="6"/>
  <c r="T266" i="6"/>
  <c r="T265" i="6"/>
  <c r="T264" i="6"/>
  <c r="T263" i="6"/>
  <c r="T262" i="6"/>
  <c r="T261" i="6"/>
  <c r="T260" i="6"/>
  <c r="T259" i="6"/>
  <c r="T258" i="6"/>
  <c r="T257" i="6"/>
  <c r="T256" i="6"/>
  <c r="T255" i="6"/>
  <c r="T254" i="6"/>
  <c r="T253" i="6"/>
  <c r="T252" i="6"/>
  <c r="T251" i="6"/>
  <c r="T250" i="6"/>
  <c r="T249" i="6"/>
  <c r="T248" i="6"/>
  <c r="T247" i="6"/>
  <c r="T246" i="6"/>
  <c r="T245" i="6"/>
  <c r="T244" i="6"/>
  <c r="T243" i="6"/>
  <c r="T242" i="6"/>
  <c r="T241" i="6"/>
  <c r="T240" i="6"/>
  <c r="T239" i="6"/>
  <c r="T238" i="6"/>
  <c r="T237" i="6"/>
  <c r="T236" i="6"/>
  <c r="T235" i="6"/>
  <c r="T234" i="6"/>
  <c r="T233" i="6"/>
  <c r="T232" i="6"/>
  <c r="T231" i="6"/>
  <c r="T230" i="6"/>
  <c r="T229" i="6"/>
  <c r="T228" i="6"/>
  <c r="T227" i="6"/>
  <c r="T226" i="6"/>
  <c r="T225" i="6"/>
  <c r="T224" i="6"/>
  <c r="T223" i="6"/>
  <c r="T222" i="6"/>
  <c r="T221" i="6"/>
  <c r="T220" i="6"/>
  <c r="T219" i="6"/>
  <c r="T218" i="6"/>
  <c r="T217" i="6"/>
  <c r="T216" i="6"/>
  <c r="T215" i="6"/>
  <c r="T214" i="6"/>
  <c r="T213" i="6"/>
  <c r="T212" i="6"/>
  <c r="T211" i="6"/>
  <c r="T210" i="6"/>
  <c r="T209" i="6"/>
  <c r="T208" i="6"/>
  <c r="T207" i="6"/>
  <c r="T206" i="6"/>
  <c r="T205" i="6"/>
  <c r="T204" i="6"/>
  <c r="T203" i="6"/>
  <c r="T202" i="6"/>
  <c r="T201" i="6"/>
  <c r="T200" i="6"/>
  <c r="T199" i="6"/>
  <c r="T198" i="6"/>
  <c r="T197" i="6"/>
  <c r="T196" i="6"/>
  <c r="T195" i="6"/>
  <c r="T194" i="6"/>
  <c r="T193" i="6"/>
  <c r="T192" i="6"/>
  <c r="T191" i="6"/>
  <c r="T190" i="6"/>
  <c r="T189" i="6"/>
  <c r="T188" i="6"/>
  <c r="T187" i="6"/>
  <c r="T186" i="6"/>
  <c r="T185" i="6"/>
  <c r="T184" i="6"/>
  <c r="T183" i="6"/>
  <c r="T182" i="6"/>
  <c r="T181" i="6"/>
  <c r="T180" i="6"/>
  <c r="T179" i="6"/>
  <c r="T178" i="6"/>
  <c r="T177" i="6"/>
  <c r="T176" i="6"/>
  <c r="T175" i="6"/>
  <c r="T174" i="6"/>
  <c r="T173" i="6"/>
  <c r="T172" i="6"/>
  <c r="T171" i="6"/>
  <c r="T170" i="6"/>
  <c r="T169" i="6"/>
  <c r="T168" i="6"/>
  <c r="T167" i="6"/>
  <c r="T166" i="6"/>
  <c r="T165" i="6"/>
  <c r="T164" i="6"/>
  <c r="T163" i="6"/>
  <c r="T162" i="6"/>
  <c r="T161" i="6"/>
  <c r="T160" i="6"/>
  <c r="T159" i="6"/>
  <c r="T158" i="6"/>
  <c r="T157" i="6"/>
  <c r="T156" i="6"/>
  <c r="T155" i="6"/>
  <c r="T154" i="6"/>
  <c r="T153" i="6"/>
  <c r="T152" i="6"/>
  <c r="T151" i="6"/>
  <c r="T150" i="6"/>
  <c r="T149" i="6"/>
  <c r="T148" i="6"/>
  <c r="T14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T1000" i="5"/>
  <c r="T999" i="5"/>
  <c r="T998" i="5"/>
  <c r="T997" i="5"/>
  <c r="T996" i="5"/>
  <c r="T995" i="5"/>
  <c r="T994" i="5"/>
  <c r="T993" i="5"/>
  <c r="T992" i="5"/>
  <c r="T991" i="5"/>
  <c r="T990" i="5"/>
  <c r="T989" i="5"/>
  <c r="T988" i="5"/>
  <c r="T987" i="5"/>
  <c r="T986" i="5"/>
  <c r="T985" i="5"/>
  <c r="T984" i="5"/>
  <c r="T983" i="5"/>
  <c r="T982" i="5"/>
  <c r="T981" i="5"/>
  <c r="T980" i="5"/>
  <c r="T979" i="5"/>
  <c r="T978" i="5"/>
  <c r="T977" i="5"/>
  <c r="T976" i="5"/>
  <c r="T975" i="5"/>
  <c r="T974" i="5"/>
  <c r="T973" i="5"/>
  <c r="T972" i="5"/>
  <c r="T971" i="5"/>
  <c r="T970" i="5"/>
  <c r="T969" i="5"/>
  <c r="T968" i="5"/>
  <c r="T967" i="5"/>
  <c r="T966" i="5"/>
  <c r="T965" i="5"/>
  <c r="T964" i="5"/>
  <c r="T963" i="5"/>
  <c r="T962" i="5"/>
  <c r="T961" i="5"/>
  <c r="T960" i="5"/>
  <c r="T959" i="5"/>
  <c r="T958" i="5"/>
  <c r="T957" i="5"/>
  <c r="T956" i="5"/>
  <c r="T955" i="5"/>
  <c r="T954" i="5"/>
  <c r="T953" i="5"/>
  <c r="T952" i="5"/>
  <c r="T951" i="5"/>
  <c r="T950" i="5"/>
  <c r="T949" i="5"/>
  <c r="T948" i="5"/>
  <c r="T947" i="5"/>
  <c r="T946" i="5"/>
  <c r="T945" i="5"/>
  <c r="T944" i="5"/>
  <c r="T943" i="5"/>
  <c r="T942" i="5"/>
  <c r="T941" i="5"/>
  <c r="T940" i="5"/>
  <c r="T939" i="5"/>
  <c r="T938" i="5"/>
  <c r="T937" i="5"/>
  <c r="T936" i="5"/>
  <c r="T935" i="5"/>
  <c r="T934" i="5"/>
  <c r="T933" i="5"/>
  <c r="T932" i="5"/>
  <c r="T931" i="5"/>
  <c r="T930" i="5"/>
  <c r="T929" i="5"/>
  <c r="T928" i="5"/>
  <c r="T927" i="5"/>
  <c r="T926" i="5"/>
  <c r="T925" i="5"/>
  <c r="T924" i="5"/>
  <c r="T923" i="5"/>
  <c r="T922" i="5"/>
  <c r="T921" i="5"/>
  <c r="T920" i="5"/>
  <c r="T919" i="5"/>
  <c r="T918" i="5"/>
  <c r="T917" i="5"/>
  <c r="T916" i="5"/>
  <c r="T915" i="5"/>
  <c r="T914" i="5"/>
  <c r="T913" i="5"/>
  <c r="T912" i="5"/>
  <c r="T911" i="5"/>
  <c r="T910" i="5"/>
  <c r="T909" i="5"/>
  <c r="T908" i="5"/>
  <c r="T907" i="5"/>
  <c r="T906" i="5"/>
  <c r="T905" i="5"/>
  <c r="T904" i="5"/>
  <c r="T903" i="5"/>
  <c r="T902" i="5"/>
  <c r="T901" i="5"/>
  <c r="T900" i="5"/>
  <c r="T899" i="5"/>
  <c r="T898" i="5"/>
  <c r="T897" i="5"/>
  <c r="T896" i="5"/>
  <c r="T895" i="5"/>
  <c r="T894" i="5"/>
  <c r="T893" i="5"/>
  <c r="T892" i="5"/>
  <c r="T891" i="5"/>
  <c r="T890" i="5"/>
  <c r="T889" i="5"/>
  <c r="T888" i="5"/>
  <c r="T887" i="5"/>
  <c r="T886" i="5"/>
  <c r="T885" i="5"/>
  <c r="T884" i="5"/>
  <c r="T883" i="5"/>
  <c r="T882" i="5"/>
  <c r="T881" i="5"/>
  <c r="T880" i="5"/>
  <c r="T879" i="5"/>
  <c r="T878" i="5"/>
  <c r="T877" i="5"/>
  <c r="T876" i="5"/>
  <c r="T875" i="5"/>
  <c r="T874" i="5"/>
  <c r="T873" i="5"/>
  <c r="T872" i="5"/>
  <c r="T871" i="5"/>
  <c r="T870" i="5"/>
  <c r="T869" i="5"/>
  <c r="T868" i="5"/>
  <c r="T867" i="5"/>
  <c r="T866" i="5"/>
  <c r="T865" i="5"/>
  <c r="T864" i="5"/>
  <c r="T863" i="5"/>
  <c r="T862" i="5"/>
  <c r="T861" i="5"/>
  <c r="T860" i="5"/>
  <c r="T859" i="5"/>
  <c r="T858" i="5"/>
  <c r="T857" i="5"/>
  <c r="T856" i="5"/>
  <c r="T855" i="5"/>
  <c r="T854" i="5"/>
  <c r="T853" i="5"/>
  <c r="T852" i="5"/>
  <c r="T851" i="5"/>
  <c r="T850" i="5"/>
  <c r="T849" i="5"/>
  <c r="T848" i="5"/>
  <c r="T847" i="5"/>
  <c r="T846" i="5"/>
  <c r="T845" i="5"/>
  <c r="T844" i="5"/>
  <c r="T843" i="5"/>
  <c r="T842" i="5"/>
  <c r="T841" i="5"/>
  <c r="T840" i="5"/>
  <c r="T839" i="5"/>
  <c r="T838" i="5"/>
  <c r="T837" i="5"/>
  <c r="T836" i="5"/>
  <c r="T835" i="5"/>
  <c r="T834" i="5"/>
  <c r="T833" i="5"/>
  <c r="T832" i="5"/>
  <c r="T831" i="5"/>
  <c r="T830" i="5"/>
  <c r="T829" i="5"/>
  <c r="T828" i="5"/>
  <c r="T827" i="5"/>
  <c r="T826" i="5"/>
  <c r="T825" i="5"/>
  <c r="T824" i="5"/>
  <c r="T823" i="5"/>
  <c r="T822" i="5"/>
  <c r="T821" i="5"/>
  <c r="T820" i="5"/>
  <c r="T819" i="5"/>
  <c r="T818" i="5"/>
  <c r="T817" i="5"/>
  <c r="T816" i="5"/>
  <c r="T815" i="5"/>
  <c r="T814" i="5"/>
  <c r="T813" i="5"/>
  <c r="T812" i="5"/>
  <c r="T811" i="5"/>
  <c r="T810" i="5"/>
  <c r="T809" i="5"/>
  <c r="T808" i="5"/>
  <c r="T807" i="5"/>
  <c r="T806" i="5"/>
  <c r="T805" i="5"/>
  <c r="T804" i="5"/>
  <c r="T803" i="5"/>
  <c r="T802" i="5"/>
  <c r="T801" i="5"/>
  <c r="T800" i="5"/>
  <c r="T799" i="5"/>
  <c r="T798" i="5"/>
  <c r="T797" i="5"/>
  <c r="T796" i="5"/>
  <c r="T795" i="5"/>
  <c r="T794" i="5"/>
  <c r="T793" i="5"/>
  <c r="T792" i="5"/>
  <c r="T791" i="5"/>
  <c r="T790" i="5"/>
  <c r="T789" i="5"/>
  <c r="T788" i="5"/>
  <c r="T787" i="5"/>
  <c r="T786" i="5"/>
  <c r="T785" i="5"/>
  <c r="T784" i="5"/>
  <c r="T783" i="5"/>
  <c r="T782" i="5"/>
  <c r="T781" i="5"/>
  <c r="T780" i="5"/>
  <c r="T779" i="5"/>
  <c r="T778" i="5"/>
  <c r="T777" i="5"/>
  <c r="T776" i="5"/>
  <c r="T775" i="5"/>
  <c r="T774" i="5"/>
  <c r="T773" i="5"/>
  <c r="T772" i="5"/>
  <c r="T771" i="5"/>
  <c r="T770" i="5"/>
  <c r="T769" i="5"/>
  <c r="T768" i="5"/>
  <c r="T767" i="5"/>
  <c r="T766" i="5"/>
  <c r="T765" i="5"/>
  <c r="T764" i="5"/>
  <c r="T763" i="5"/>
  <c r="T762" i="5"/>
  <c r="T761" i="5"/>
  <c r="T760" i="5"/>
  <c r="T759" i="5"/>
  <c r="T758" i="5"/>
  <c r="T757" i="5"/>
  <c r="T756" i="5"/>
  <c r="T755" i="5"/>
  <c r="T754" i="5"/>
  <c r="T753" i="5"/>
  <c r="T752" i="5"/>
  <c r="T751" i="5"/>
  <c r="T750" i="5"/>
  <c r="T749" i="5"/>
  <c r="T748" i="5"/>
  <c r="T747" i="5"/>
  <c r="T746" i="5"/>
  <c r="T745" i="5"/>
  <c r="T744" i="5"/>
  <c r="T743" i="5"/>
  <c r="T742" i="5"/>
  <c r="T741" i="5"/>
  <c r="T740" i="5"/>
  <c r="T739" i="5"/>
  <c r="T738" i="5"/>
  <c r="T737" i="5"/>
  <c r="T736" i="5"/>
  <c r="T735" i="5"/>
  <c r="T734" i="5"/>
  <c r="T733" i="5"/>
  <c r="T732" i="5"/>
  <c r="T731" i="5"/>
  <c r="T730" i="5"/>
  <c r="T729" i="5"/>
  <c r="T728" i="5"/>
  <c r="T727" i="5"/>
  <c r="T726" i="5"/>
  <c r="T725" i="5"/>
  <c r="T724" i="5"/>
  <c r="T723" i="5"/>
  <c r="T722" i="5"/>
  <c r="T721" i="5"/>
  <c r="T720" i="5"/>
  <c r="T719" i="5"/>
  <c r="T718" i="5"/>
  <c r="T717" i="5"/>
  <c r="T716" i="5"/>
  <c r="T715" i="5"/>
  <c r="T714" i="5"/>
  <c r="T713" i="5"/>
  <c r="T712" i="5"/>
  <c r="T711" i="5"/>
  <c r="T710" i="5"/>
  <c r="T709" i="5"/>
  <c r="T708" i="5"/>
  <c r="T707" i="5"/>
  <c r="T706" i="5"/>
  <c r="T705" i="5"/>
  <c r="T704" i="5"/>
  <c r="T703" i="5"/>
  <c r="T702" i="5"/>
  <c r="T701" i="5"/>
  <c r="T700" i="5"/>
  <c r="T699" i="5"/>
  <c r="T698" i="5"/>
  <c r="T697" i="5"/>
  <c r="T696" i="5"/>
  <c r="T695" i="5"/>
  <c r="T694" i="5"/>
  <c r="T693" i="5"/>
  <c r="T692" i="5"/>
  <c r="T691" i="5"/>
  <c r="T690" i="5"/>
  <c r="T689" i="5"/>
  <c r="T688" i="5"/>
  <c r="T687" i="5"/>
  <c r="T686" i="5"/>
  <c r="T685" i="5"/>
  <c r="T684" i="5"/>
  <c r="T683" i="5"/>
  <c r="T682" i="5"/>
  <c r="T681" i="5"/>
  <c r="T680" i="5"/>
  <c r="T679" i="5"/>
  <c r="T678" i="5"/>
  <c r="T677" i="5"/>
  <c r="T676" i="5"/>
  <c r="T675" i="5"/>
  <c r="T674" i="5"/>
  <c r="T673" i="5"/>
  <c r="T672" i="5"/>
  <c r="T671" i="5"/>
  <c r="T670" i="5"/>
  <c r="T669" i="5"/>
  <c r="T668" i="5"/>
  <c r="T667" i="5"/>
  <c r="T666" i="5"/>
  <c r="T665" i="5"/>
  <c r="T664" i="5"/>
  <c r="T663" i="5"/>
  <c r="T662" i="5"/>
  <c r="T661" i="5"/>
  <c r="T660" i="5"/>
  <c r="T659" i="5"/>
  <c r="T658" i="5"/>
  <c r="T657" i="5"/>
  <c r="T656" i="5"/>
  <c r="T655" i="5"/>
  <c r="T654" i="5"/>
  <c r="T653" i="5"/>
  <c r="T652" i="5"/>
  <c r="T651" i="5"/>
  <c r="T650" i="5"/>
  <c r="T649" i="5"/>
  <c r="T648" i="5"/>
  <c r="T647" i="5"/>
  <c r="T646" i="5"/>
  <c r="T645" i="5"/>
  <c r="T644" i="5"/>
  <c r="T643" i="5"/>
  <c r="T642" i="5"/>
  <c r="T641" i="5"/>
  <c r="T640" i="5"/>
  <c r="T639" i="5"/>
  <c r="T638" i="5"/>
  <c r="T637" i="5"/>
  <c r="T636" i="5"/>
  <c r="T635" i="5"/>
  <c r="T634" i="5"/>
  <c r="T633" i="5"/>
  <c r="T632" i="5"/>
  <c r="T631" i="5"/>
  <c r="T630" i="5"/>
  <c r="T629" i="5"/>
  <c r="T628" i="5"/>
  <c r="T627" i="5"/>
  <c r="T626" i="5"/>
  <c r="T625" i="5"/>
  <c r="T624" i="5"/>
  <c r="T623" i="5"/>
  <c r="T622" i="5"/>
  <c r="T621" i="5"/>
  <c r="T620" i="5"/>
  <c r="T619" i="5"/>
  <c r="T618" i="5"/>
  <c r="T617" i="5"/>
  <c r="T616" i="5"/>
  <c r="T615" i="5"/>
  <c r="T614" i="5"/>
  <c r="T613" i="5"/>
  <c r="T612" i="5"/>
  <c r="T611" i="5"/>
  <c r="T610" i="5"/>
  <c r="T609" i="5"/>
  <c r="T608" i="5"/>
  <c r="T607" i="5"/>
  <c r="T606" i="5"/>
  <c r="T605" i="5"/>
  <c r="T604" i="5"/>
  <c r="T603" i="5"/>
  <c r="T602" i="5"/>
  <c r="T601" i="5"/>
  <c r="T600" i="5"/>
  <c r="T599" i="5"/>
  <c r="T598" i="5"/>
  <c r="T597" i="5"/>
  <c r="T596" i="5"/>
  <c r="T595" i="5"/>
  <c r="T594" i="5"/>
  <c r="T593" i="5"/>
  <c r="T592" i="5"/>
  <c r="T591" i="5"/>
  <c r="T590" i="5"/>
  <c r="T589" i="5"/>
  <c r="T588" i="5"/>
  <c r="T587" i="5"/>
  <c r="T586" i="5"/>
  <c r="T585" i="5"/>
  <c r="T584" i="5"/>
  <c r="T583" i="5"/>
  <c r="T582" i="5"/>
  <c r="T581" i="5"/>
  <c r="T580" i="5"/>
  <c r="T579" i="5"/>
  <c r="T578" i="5"/>
  <c r="T577" i="5"/>
  <c r="T576" i="5"/>
  <c r="T575" i="5"/>
  <c r="T574" i="5"/>
  <c r="T573" i="5"/>
  <c r="T572" i="5"/>
  <c r="T571" i="5"/>
  <c r="T570" i="5"/>
  <c r="T569" i="5"/>
  <c r="T568" i="5"/>
  <c r="T567" i="5"/>
  <c r="T566" i="5"/>
  <c r="T565" i="5"/>
  <c r="T564" i="5"/>
  <c r="T563" i="5"/>
  <c r="T562" i="5"/>
  <c r="T561" i="5"/>
  <c r="T560" i="5"/>
  <c r="T559" i="5"/>
  <c r="T558" i="5"/>
  <c r="T557" i="5"/>
  <c r="T556" i="5"/>
  <c r="T555" i="5"/>
  <c r="T554" i="5"/>
  <c r="T553" i="5"/>
  <c r="T552" i="5"/>
  <c r="T551" i="5"/>
  <c r="T550" i="5"/>
  <c r="T549" i="5"/>
  <c r="T548" i="5"/>
  <c r="T547" i="5"/>
  <c r="T546" i="5"/>
  <c r="T545" i="5"/>
  <c r="T544" i="5"/>
  <c r="T543" i="5"/>
  <c r="T542" i="5"/>
  <c r="T541" i="5"/>
  <c r="T540" i="5"/>
  <c r="T539" i="5"/>
  <c r="T538" i="5"/>
  <c r="T537" i="5"/>
  <c r="T536" i="5"/>
  <c r="T535" i="5"/>
  <c r="T534" i="5"/>
  <c r="T533" i="5"/>
  <c r="T532" i="5"/>
  <c r="T531" i="5"/>
  <c r="T530" i="5"/>
  <c r="T529" i="5"/>
  <c r="T528" i="5"/>
  <c r="T527" i="5"/>
  <c r="T526" i="5"/>
  <c r="T525" i="5"/>
  <c r="T524" i="5"/>
  <c r="T523" i="5"/>
  <c r="T522" i="5"/>
  <c r="T521" i="5"/>
  <c r="T520" i="5"/>
  <c r="T519" i="5"/>
  <c r="T518" i="5"/>
  <c r="T517" i="5"/>
  <c r="T516" i="5"/>
  <c r="T515" i="5"/>
  <c r="T514" i="5"/>
  <c r="T513" i="5"/>
  <c r="T512" i="5"/>
  <c r="T511" i="5"/>
  <c r="T510" i="5"/>
  <c r="T509" i="5"/>
  <c r="T508" i="5"/>
  <c r="T507" i="5"/>
  <c r="T506" i="5"/>
  <c r="T505" i="5"/>
  <c r="T504" i="5"/>
  <c r="T503" i="5"/>
  <c r="T502" i="5"/>
  <c r="T501" i="5"/>
  <c r="T500" i="5"/>
  <c r="T499" i="5"/>
  <c r="T498" i="5"/>
  <c r="T497" i="5"/>
  <c r="T496" i="5"/>
  <c r="T495" i="5"/>
  <c r="T494" i="5"/>
  <c r="T493" i="5"/>
  <c r="T492" i="5"/>
  <c r="T491" i="5"/>
  <c r="T490" i="5"/>
  <c r="T489" i="5"/>
  <c r="T488" i="5"/>
  <c r="T487" i="5"/>
  <c r="T486" i="5"/>
  <c r="T485" i="5"/>
  <c r="T484" i="5"/>
  <c r="T483" i="5"/>
  <c r="T482" i="5"/>
  <c r="T481" i="5"/>
  <c r="T480" i="5"/>
  <c r="T479" i="5"/>
  <c r="T478" i="5"/>
  <c r="T477" i="5"/>
  <c r="T476" i="5"/>
  <c r="T475" i="5"/>
  <c r="T474" i="5"/>
  <c r="T473" i="5"/>
  <c r="T472" i="5"/>
  <c r="T471" i="5"/>
  <c r="T470" i="5"/>
  <c r="T469" i="5"/>
  <c r="T468" i="5"/>
  <c r="T467" i="5"/>
  <c r="T466" i="5"/>
  <c r="T465" i="5"/>
  <c r="T464" i="5"/>
  <c r="T463" i="5"/>
  <c r="T462" i="5"/>
  <c r="T461" i="5"/>
  <c r="T460" i="5"/>
  <c r="T459" i="5"/>
  <c r="T458" i="5"/>
  <c r="T457" i="5"/>
  <c r="T456" i="5"/>
  <c r="T455" i="5"/>
  <c r="T454" i="5"/>
  <c r="T453" i="5"/>
  <c r="T452" i="5"/>
  <c r="T451" i="5"/>
  <c r="T450" i="5"/>
  <c r="T449" i="5"/>
  <c r="T448" i="5"/>
  <c r="T447" i="5"/>
  <c r="T446" i="5"/>
  <c r="T445" i="5"/>
  <c r="T444" i="5"/>
  <c r="T443" i="5"/>
  <c r="T442" i="5"/>
  <c r="T441" i="5"/>
  <c r="T440" i="5"/>
  <c r="T439" i="5"/>
  <c r="T438" i="5"/>
  <c r="T437" i="5"/>
  <c r="T436" i="5"/>
  <c r="T435" i="5"/>
  <c r="T434" i="5"/>
  <c r="T433" i="5"/>
  <c r="T432" i="5"/>
  <c r="T431" i="5"/>
  <c r="T430" i="5"/>
  <c r="T429" i="5"/>
  <c r="T428" i="5"/>
  <c r="T427" i="5"/>
  <c r="T426" i="5"/>
  <c r="T425" i="5"/>
  <c r="T424" i="5"/>
  <c r="T423" i="5"/>
  <c r="T422" i="5"/>
  <c r="T421" i="5"/>
  <c r="T420" i="5"/>
  <c r="T419" i="5"/>
  <c r="T418" i="5"/>
  <c r="T417" i="5"/>
  <c r="T416" i="5"/>
  <c r="T415" i="5"/>
  <c r="T414" i="5"/>
  <c r="T413" i="5"/>
  <c r="T412" i="5"/>
  <c r="T411" i="5"/>
  <c r="T410" i="5"/>
  <c r="T409" i="5"/>
  <c r="T408" i="5"/>
  <c r="T407" i="5"/>
  <c r="T406" i="5"/>
  <c r="T405" i="5"/>
  <c r="T404" i="5"/>
  <c r="T403" i="5"/>
  <c r="T402" i="5"/>
  <c r="T401" i="5"/>
  <c r="T400" i="5"/>
  <c r="T399" i="5"/>
  <c r="T398" i="5"/>
  <c r="T397" i="5"/>
  <c r="T396" i="5"/>
  <c r="T395" i="5"/>
  <c r="T394" i="5"/>
  <c r="T393" i="5"/>
  <c r="T392" i="5"/>
  <c r="T391" i="5"/>
  <c r="T390" i="5"/>
  <c r="T389" i="5"/>
  <c r="T388" i="5"/>
  <c r="T387" i="5"/>
  <c r="T386" i="5"/>
  <c r="T385" i="5"/>
  <c r="T384" i="5"/>
  <c r="T383" i="5"/>
  <c r="T382" i="5"/>
  <c r="T381" i="5"/>
  <c r="T380" i="5"/>
  <c r="T379" i="5"/>
  <c r="T378" i="5"/>
  <c r="T377" i="5"/>
  <c r="T376" i="5"/>
  <c r="T375" i="5"/>
  <c r="T374" i="5"/>
  <c r="T373" i="5"/>
  <c r="T372" i="5"/>
  <c r="T371" i="5"/>
  <c r="T370" i="5"/>
  <c r="T369" i="5"/>
  <c r="T368" i="5"/>
  <c r="T367" i="5"/>
  <c r="T366" i="5"/>
  <c r="T365" i="5"/>
  <c r="T364" i="5"/>
  <c r="T363" i="5"/>
  <c r="T362" i="5"/>
  <c r="T361" i="5"/>
  <c r="T360" i="5"/>
  <c r="T359" i="5"/>
  <c r="T358" i="5"/>
  <c r="T357" i="5"/>
  <c r="T356" i="5"/>
  <c r="T355" i="5"/>
  <c r="T354" i="5"/>
  <c r="T353" i="5"/>
  <c r="T352" i="5"/>
  <c r="T351" i="5"/>
  <c r="T350" i="5"/>
  <c r="T349" i="5"/>
  <c r="T348" i="5"/>
  <c r="T347" i="5"/>
  <c r="T346" i="5"/>
  <c r="T345" i="5"/>
  <c r="T344" i="5"/>
  <c r="T343" i="5"/>
  <c r="T342" i="5"/>
  <c r="T341" i="5"/>
  <c r="T340" i="5"/>
  <c r="T339" i="5"/>
  <c r="T338" i="5"/>
  <c r="T337" i="5"/>
  <c r="T336" i="5"/>
  <c r="T335" i="5"/>
  <c r="T334" i="5"/>
  <c r="T333" i="5"/>
  <c r="T332" i="5"/>
  <c r="T331" i="5"/>
  <c r="T330" i="5"/>
  <c r="T329" i="5"/>
  <c r="T328" i="5"/>
  <c r="T327" i="5"/>
  <c r="T326" i="5"/>
  <c r="T325" i="5"/>
  <c r="T324" i="5"/>
  <c r="T323" i="5"/>
  <c r="T322" i="5"/>
  <c r="T321" i="5"/>
  <c r="T320" i="5"/>
  <c r="T319" i="5"/>
  <c r="T318" i="5"/>
  <c r="T317" i="5"/>
  <c r="T316" i="5"/>
  <c r="T315" i="5"/>
  <c r="T314" i="5"/>
  <c r="T313" i="5"/>
  <c r="T312" i="5"/>
  <c r="T311" i="5"/>
  <c r="T310" i="5"/>
  <c r="T309" i="5"/>
  <c r="T308" i="5"/>
  <c r="T307" i="5"/>
  <c r="T306" i="5"/>
  <c r="T305" i="5"/>
  <c r="T304" i="5"/>
  <c r="T303" i="5"/>
  <c r="T302" i="5"/>
  <c r="T301" i="5"/>
  <c r="T300" i="5"/>
  <c r="T299" i="5"/>
  <c r="T298" i="5"/>
  <c r="T297" i="5"/>
  <c r="T296" i="5"/>
  <c r="T295" i="5"/>
  <c r="T294" i="5"/>
  <c r="T293" i="5"/>
  <c r="T292" i="5"/>
  <c r="T291" i="5"/>
  <c r="T290" i="5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8" i="5"/>
  <c r="T257" i="5"/>
  <c r="T256" i="5"/>
  <c r="T255" i="5"/>
  <c r="T254" i="5"/>
  <c r="T253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14" i="5"/>
  <c r="T213" i="5"/>
  <c r="T212" i="5"/>
  <c r="T211" i="5"/>
  <c r="T210" i="5"/>
  <c r="T209" i="5"/>
  <c r="T208" i="5"/>
  <c r="T207" i="5"/>
  <c r="T206" i="5"/>
  <c r="T205" i="5"/>
  <c r="T204" i="5"/>
  <c r="T20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T3" i="5"/>
  <c r="T2" i="5"/>
  <c r="T1000" i="4"/>
  <c r="T999" i="4"/>
  <c r="T998" i="4"/>
  <c r="T997" i="4"/>
  <c r="T996" i="4"/>
  <c r="T995" i="4"/>
  <c r="T994" i="4"/>
  <c r="T993" i="4"/>
  <c r="T992" i="4"/>
  <c r="T991" i="4"/>
  <c r="T990" i="4"/>
  <c r="T989" i="4"/>
  <c r="T988" i="4"/>
  <c r="T987" i="4"/>
  <c r="T986" i="4"/>
  <c r="T985" i="4"/>
  <c r="T984" i="4"/>
  <c r="T983" i="4"/>
  <c r="T982" i="4"/>
  <c r="T981" i="4"/>
  <c r="T980" i="4"/>
  <c r="T979" i="4"/>
  <c r="T978" i="4"/>
  <c r="T977" i="4"/>
  <c r="T976" i="4"/>
  <c r="T975" i="4"/>
  <c r="T974" i="4"/>
  <c r="T973" i="4"/>
  <c r="T972" i="4"/>
  <c r="T971" i="4"/>
  <c r="T970" i="4"/>
  <c r="T969" i="4"/>
  <c r="T968" i="4"/>
  <c r="T967" i="4"/>
  <c r="T966" i="4"/>
  <c r="T965" i="4"/>
  <c r="T964" i="4"/>
  <c r="T963" i="4"/>
  <c r="T962" i="4"/>
  <c r="T961" i="4"/>
  <c r="T960" i="4"/>
  <c r="T959" i="4"/>
  <c r="T958" i="4"/>
  <c r="T957" i="4"/>
  <c r="T956" i="4"/>
  <c r="T955" i="4"/>
  <c r="T954" i="4"/>
  <c r="T953" i="4"/>
  <c r="T952" i="4"/>
  <c r="T951" i="4"/>
  <c r="T950" i="4"/>
  <c r="T949" i="4"/>
  <c r="T948" i="4"/>
  <c r="T947" i="4"/>
  <c r="T946" i="4"/>
  <c r="T945" i="4"/>
  <c r="T944" i="4"/>
  <c r="T943" i="4"/>
  <c r="T942" i="4"/>
  <c r="T941" i="4"/>
  <c r="T940" i="4"/>
  <c r="T939" i="4"/>
  <c r="T938" i="4"/>
  <c r="T937" i="4"/>
  <c r="T936" i="4"/>
  <c r="T935" i="4"/>
  <c r="T934" i="4"/>
  <c r="T933" i="4"/>
  <c r="T932" i="4"/>
  <c r="T931" i="4"/>
  <c r="T930" i="4"/>
  <c r="T929" i="4"/>
  <c r="T928" i="4"/>
  <c r="T927" i="4"/>
  <c r="T926" i="4"/>
  <c r="T925" i="4"/>
  <c r="T924" i="4"/>
  <c r="T923" i="4"/>
  <c r="T922" i="4"/>
  <c r="T921" i="4"/>
  <c r="T920" i="4"/>
  <c r="T919" i="4"/>
  <c r="T918" i="4"/>
  <c r="T917" i="4"/>
  <c r="T916" i="4"/>
  <c r="T915" i="4"/>
  <c r="T914" i="4"/>
  <c r="T913" i="4"/>
  <c r="T912" i="4"/>
  <c r="T911" i="4"/>
  <c r="T910" i="4"/>
  <c r="T909" i="4"/>
  <c r="T908" i="4"/>
  <c r="T907" i="4"/>
  <c r="T906" i="4"/>
  <c r="T905" i="4"/>
  <c r="T904" i="4"/>
  <c r="T903" i="4"/>
  <c r="T902" i="4"/>
  <c r="T901" i="4"/>
  <c r="T900" i="4"/>
  <c r="T899" i="4"/>
  <c r="T898" i="4"/>
  <c r="T897" i="4"/>
  <c r="T896" i="4"/>
  <c r="T895" i="4"/>
  <c r="T894" i="4"/>
  <c r="T893" i="4"/>
  <c r="T892" i="4"/>
  <c r="T891" i="4"/>
  <c r="T890" i="4"/>
  <c r="T889" i="4"/>
  <c r="T888" i="4"/>
  <c r="T887" i="4"/>
  <c r="T886" i="4"/>
  <c r="T885" i="4"/>
  <c r="T884" i="4"/>
  <c r="T883" i="4"/>
  <c r="T882" i="4"/>
  <c r="T881" i="4"/>
  <c r="T880" i="4"/>
  <c r="T879" i="4"/>
  <c r="T878" i="4"/>
  <c r="T877" i="4"/>
  <c r="T876" i="4"/>
  <c r="T875" i="4"/>
  <c r="T874" i="4"/>
  <c r="T873" i="4"/>
  <c r="T872" i="4"/>
  <c r="T871" i="4"/>
  <c r="T870" i="4"/>
  <c r="T869" i="4"/>
  <c r="T868" i="4"/>
  <c r="T867" i="4"/>
  <c r="T866" i="4"/>
  <c r="T865" i="4"/>
  <c r="T864" i="4"/>
  <c r="T863" i="4"/>
  <c r="T862" i="4"/>
  <c r="T861" i="4"/>
  <c r="T860" i="4"/>
  <c r="T859" i="4"/>
  <c r="T858" i="4"/>
  <c r="T857" i="4"/>
  <c r="T856" i="4"/>
  <c r="T855" i="4"/>
  <c r="T854" i="4"/>
  <c r="T853" i="4"/>
  <c r="T852" i="4"/>
  <c r="T851" i="4"/>
  <c r="T850" i="4"/>
  <c r="T849" i="4"/>
  <c r="T848" i="4"/>
  <c r="T847" i="4"/>
  <c r="T846" i="4"/>
  <c r="T845" i="4"/>
  <c r="T844" i="4"/>
  <c r="T843" i="4"/>
  <c r="T842" i="4"/>
  <c r="T841" i="4"/>
  <c r="T840" i="4"/>
  <c r="T839" i="4"/>
  <c r="T838" i="4"/>
  <c r="T837" i="4"/>
  <c r="T836" i="4"/>
  <c r="T835" i="4"/>
  <c r="T834" i="4"/>
  <c r="T833" i="4"/>
  <c r="T832" i="4"/>
  <c r="T831" i="4"/>
  <c r="T830" i="4"/>
  <c r="T829" i="4"/>
  <c r="T828" i="4"/>
  <c r="T827" i="4"/>
  <c r="T826" i="4"/>
  <c r="T825" i="4"/>
  <c r="T824" i="4"/>
  <c r="T823" i="4"/>
  <c r="T822" i="4"/>
  <c r="T821" i="4"/>
  <c r="T820" i="4"/>
  <c r="T819" i="4"/>
  <c r="T818" i="4"/>
  <c r="T817" i="4"/>
  <c r="T816" i="4"/>
  <c r="T815" i="4"/>
  <c r="T814" i="4"/>
  <c r="T813" i="4"/>
  <c r="T812" i="4"/>
  <c r="T811" i="4"/>
  <c r="T810" i="4"/>
  <c r="T809" i="4"/>
  <c r="T808" i="4"/>
  <c r="T807" i="4"/>
  <c r="T806" i="4"/>
  <c r="T805" i="4"/>
  <c r="T804" i="4"/>
  <c r="T803" i="4"/>
  <c r="T802" i="4"/>
  <c r="T801" i="4"/>
  <c r="T800" i="4"/>
  <c r="T799" i="4"/>
  <c r="T798" i="4"/>
  <c r="T797" i="4"/>
  <c r="T796" i="4"/>
  <c r="T795" i="4"/>
  <c r="T794" i="4"/>
  <c r="T793" i="4"/>
  <c r="T792" i="4"/>
  <c r="T791" i="4"/>
  <c r="T790" i="4"/>
  <c r="T789" i="4"/>
  <c r="T788" i="4"/>
  <c r="T787" i="4"/>
  <c r="T786" i="4"/>
  <c r="T785" i="4"/>
  <c r="T784" i="4"/>
  <c r="T783" i="4"/>
  <c r="T782" i="4"/>
  <c r="T781" i="4"/>
  <c r="T780" i="4"/>
  <c r="T779" i="4"/>
  <c r="T778" i="4"/>
  <c r="T777" i="4"/>
  <c r="T776" i="4"/>
  <c r="T775" i="4"/>
  <c r="T774" i="4"/>
  <c r="T773" i="4"/>
  <c r="T772" i="4"/>
  <c r="T771" i="4"/>
  <c r="T770" i="4"/>
  <c r="T769" i="4"/>
  <c r="T768" i="4"/>
  <c r="T767" i="4"/>
  <c r="T766" i="4"/>
  <c r="T765" i="4"/>
  <c r="T764" i="4"/>
  <c r="T763" i="4"/>
  <c r="T762" i="4"/>
  <c r="T761" i="4"/>
  <c r="T760" i="4"/>
  <c r="T759" i="4"/>
  <c r="T758" i="4"/>
  <c r="T757" i="4"/>
  <c r="T756" i="4"/>
  <c r="T755" i="4"/>
  <c r="T754" i="4"/>
  <c r="T753" i="4"/>
  <c r="T752" i="4"/>
  <c r="T751" i="4"/>
  <c r="T750" i="4"/>
  <c r="T749" i="4"/>
  <c r="T748" i="4"/>
  <c r="T747" i="4"/>
  <c r="T746" i="4"/>
  <c r="T745" i="4"/>
  <c r="T744" i="4"/>
  <c r="T743" i="4"/>
  <c r="T742" i="4"/>
  <c r="T741" i="4"/>
  <c r="T740" i="4"/>
  <c r="T739" i="4"/>
  <c r="T738" i="4"/>
  <c r="T737" i="4"/>
  <c r="T736" i="4"/>
  <c r="T735" i="4"/>
  <c r="T734" i="4"/>
  <c r="T733" i="4"/>
  <c r="T732" i="4"/>
  <c r="T731" i="4"/>
  <c r="T730" i="4"/>
  <c r="T729" i="4"/>
  <c r="T728" i="4"/>
  <c r="T727" i="4"/>
  <c r="T726" i="4"/>
  <c r="T725" i="4"/>
  <c r="T724" i="4"/>
  <c r="T723" i="4"/>
  <c r="T722" i="4"/>
  <c r="T721" i="4"/>
  <c r="T720" i="4"/>
  <c r="T719" i="4"/>
  <c r="T718" i="4"/>
  <c r="T717" i="4"/>
  <c r="T716" i="4"/>
  <c r="T715" i="4"/>
  <c r="T714" i="4"/>
  <c r="T713" i="4"/>
  <c r="T712" i="4"/>
  <c r="T711" i="4"/>
  <c r="T710" i="4"/>
  <c r="T709" i="4"/>
  <c r="T708" i="4"/>
  <c r="T707" i="4"/>
  <c r="T706" i="4"/>
  <c r="T705" i="4"/>
  <c r="T704" i="4"/>
  <c r="T703" i="4"/>
  <c r="T702" i="4"/>
  <c r="T701" i="4"/>
  <c r="T700" i="4"/>
  <c r="T699" i="4"/>
  <c r="T698" i="4"/>
  <c r="T697" i="4"/>
  <c r="T696" i="4"/>
  <c r="T695" i="4"/>
  <c r="T694" i="4"/>
  <c r="T693" i="4"/>
  <c r="T692" i="4"/>
  <c r="T691" i="4"/>
  <c r="T690" i="4"/>
  <c r="T689" i="4"/>
  <c r="T688" i="4"/>
  <c r="T687" i="4"/>
  <c r="T686" i="4"/>
  <c r="T685" i="4"/>
  <c r="T684" i="4"/>
  <c r="T683" i="4"/>
  <c r="T682" i="4"/>
  <c r="T681" i="4"/>
  <c r="T680" i="4"/>
  <c r="T679" i="4"/>
  <c r="T678" i="4"/>
  <c r="T677" i="4"/>
  <c r="T676" i="4"/>
  <c r="T675" i="4"/>
  <c r="T674" i="4"/>
  <c r="T673" i="4"/>
  <c r="T672" i="4"/>
  <c r="T671" i="4"/>
  <c r="T670" i="4"/>
  <c r="T669" i="4"/>
  <c r="T668" i="4"/>
  <c r="T667" i="4"/>
  <c r="T666" i="4"/>
  <c r="T665" i="4"/>
  <c r="T664" i="4"/>
  <c r="T663" i="4"/>
  <c r="T662" i="4"/>
  <c r="T661" i="4"/>
  <c r="T660" i="4"/>
  <c r="T659" i="4"/>
  <c r="T658" i="4"/>
  <c r="T657" i="4"/>
  <c r="T656" i="4"/>
  <c r="T655" i="4"/>
  <c r="T654" i="4"/>
  <c r="T653" i="4"/>
  <c r="T652" i="4"/>
  <c r="T651" i="4"/>
  <c r="T650" i="4"/>
  <c r="T649" i="4"/>
  <c r="T648" i="4"/>
  <c r="T647" i="4"/>
  <c r="T646" i="4"/>
  <c r="T645" i="4"/>
  <c r="T644" i="4"/>
  <c r="T643" i="4"/>
  <c r="T642" i="4"/>
  <c r="T641" i="4"/>
  <c r="T640" i="4"/>
  <c r="T639" i="4"/>
  <c r="T638" i="4"/>
  <c r="T637" i="4"/>
  <c r="T636" i="4"/>
  <c r="T635" i="4"/>
  <c r="T634" i="4"/>
  <c r="T633" i="4"/>
  <c r="T632" i="4"/>
  <c r="T631" i="4"/>
  <c r="T630" i="4"/>
  <c r="T629" i="4"/>
  <c r="T628" i="4"/>
  <c r="T627" i="4"/>
  <c r="T626" i="4"/>
  <c r="T625" i="4"/>
  <c r="T624" i="4"/>
  <c r="T623" i="4"/>
  <c r="T622" i="4"/>
  <c r="T621" i="4"/>
  <c r="T620" i="4"/>
  <c r="T619" i="4"/>
  <c r="T618" i="4"/>
  <c r="T617" i="4"/>
  <c r="T616" i="4"/>
  <c r="T615" i="4"/>
  <c r="T614" i="4"/>
  <c r="T613" i="4"/>
  <c r="T612" i="4"/>
  <c r="T611" i="4"/>
  <c r="T610" i="4"/>
  <c r="T609" i="4"/>
  <c r="T608" i="4"/>
  <c r="T607" i="4"/>
  <c r="T606" i="4"/>
  <c r="T605" i="4"/>
  <c r="T604" i="4"/>
  <c r="T603" i="4"/>
  <c r="T602" i="4"/>
  <c r="T601" i="4"/>
  <c r="T600" i="4"/>
  <c r="T599" i="4"/>
  <c r="T598" i="4"/>
  <c r="T597" i="4"/>
  <c r="T596" i="4"/>
  <c r="T595" i="4"/>
  <c r="T594" i="4"/>
  <c r="T593" i="4"/>
  <c r="T592" i="4"/>
  <c r="T591" i="4"/>
  <c r="T590" i="4"/>
  <c r="T589" i="4"/>
  <c r="T588" i="4"/>
  <c r="T587" i="4"/>
  <c r="T586" i="4"/>
  <c r="T585" i="4"/>
  <c r="T584" i="4"/>
  <c r="T583" i="4"/>
  <c r="T582" i="4"/>
  <c r="T581" i="4"/>
  <c r="T580" i="4"/>
  <c r="T579" i="4"/>
  <c r="T578" i="4"/>
  <c r="T577" i="4"/>
  <c r="T576" i="4"/>
  <c r="T575" i="4"/>
  <c r="T574" i="4"/>
  <c r="T573" i="4"/>
  <c r="T572" i="4"/>
  <c r="T571" i="4"/>
  <c r="T570" i="4"/>
  <c r="T569" i="4"/>
  <c r="T568" i="4"/>
  <c r="T567" i="4"/>
  <c r="T566" i="4"/>
  <c r="T565" i="4"/>
  <c r="T564" i="4"/>
  <c r="T563" i="4"/>
  <c r="T562" i="4"/>
  <c r="T561" i="4"/>
  <c r="T560" i="4"/>
  <c r="T559" i="4"/>
  <c r="T558" i="4"/>
  <c r="T557" i="4"/>
  <c r="T556" i="4"/>
  <c r="T555" i="4"/>
  <c r="T554" i="4"/>
  <c r="T553" i="4"/>
  <c r="T552" i="4"/>
  <c r="T551" i="4"/>
  <c r="T550" i="4"/>
  <c r="T549" i="4"/>
  <c r="T548" i="4"/>
  <c r="T547" i="4"/>
  <c r="T546" i="4"/>
  <c r="T545" i="4"/>
  <c r="T544" i="4"/>
  <c r="T543" i="4"/>
  <c r="T542" i="4"/>
  <c r="T541" i="4"/>
  <c r="T540" i="4"/>
  <c r="T539" i="4"/>
  <c r="T538" i="4"/>
  <c r="T537" i="4"/>
  <c r="T536" i="4"/>
  <c r="T535" i="4"/>
  <c r="T534" i="4"/>
  <c r="T533" i="4"/>
  <c r="T532" i="4"/>
  <c r="T531" i="4"/>
  <c r="T530" i="4"/>
  <c r="T529" i="4"/>
  <c r="T528" i="4"/>
  <c r="T527" i="4"/>
  <c r="T526" i="4"/>
  <c r="T525" i="4"/>
  <c r="T524" i="4"/>
  <c r="T523" i="4"/>
  <c r="T522" i="4"/>
  <c r="T521" i="4"/>
  <c r="T520" i="4"/>
  <c r="T519" i="4"/>
  <c r="T518" i="4"/>
  <c r="T517" i="4"/>
  <c r="T516" i="4"/>
  <c r="T515" i="4"/>
  <c r="T514" i="4"/>
  <c r="T513" i="4"/>
  <c r="T512" i="4"/>
  <c r="T511" i="4"/>
  <c r="T510" i="4"/>
  <c r="T509" i="4"/>
  <c r="T508" i="4"/>
  <c r="T507" i="4"/>
  <c r="T506" i="4"/>
  <c r="T505" i="4"/>
  <c r="T504" i="4"/>
  <c r="T503" i="4"/>
  <c r="T502" i="4"/>
  <c r="T501" i="4"/>
  <c r="T500" i="4"/>
  <c r="T499" i="4"/>
  <c r="T498" i="4"/>
  <c r="T497" i="4"/>
  <c r="T496" i="4"/>
  <c r="T495" i="4"/>
  <c r="T494" i="4"/>
  <c r="T493" i="4"/>
  <c r="T492" i="4"/>
  <c r="T491" i="4"/>
  <c r="T490" i="4"/>
  <c r="T489" i="4"/>
  <c r="T488" i="4"/>
  <c r="T487" i="4"/>
  <c r="T486" i="4"/>
  <c r="T485" i="4"/>
  <c r="T484" i="4"/>
  <c r="T483" i="4"/>
  <c r="T482" i="4"/>
  <c r="T481" i="4"/>
  <c r="T480" i="4"/>
  <c r="T479" i="4"/>
  <c r="T478" i="4"/>
  <c r="T477" i="4"/>
  <c r="T476" i="4"/>
  <c r="T475" i="4"/>
  <c r="T474" i="4"/>
  <c r="T473" i="4"/>
  <c r="T472" i="4"/>
  <c r="T471" i="4"/>
  <c r="T470" i="4"/>
  <c r="T469" i="4"/>
  <c r="T468" i="4"/>
  <c r="T467" i="4"/>
  <c r="T466" i="4"/>
  <c r="T465" i="4"/>
  <c r="T464" i="4"/>
  <c r="T463" i="4"/>
  <c r="T462" i="4"/>
  <c r="T461" i="4"/>
  <c r="T460" i="4"/>
  <c r="T459" i="4"/>
  <c r="T458" i="4"/>
  <c r="T457" i="4"/>
  <c r="T456" i="4"/>
  <c r="T455" i="4"/>
  <c r="T454" i="4"/>
  <c r="T453" i="4"/>
  <c r="T452" i="4"/>
  <c r="T451" i="4"/>
  <c r="T450" i="4"/>
  <c r="T449" i="4"/>
  <c r="T448" i="4"/>
  <c r="T447" i="4"/>
  <c r="T446" i="4"/>
  <c r="T445" i="4"/>
  <c r="T444" i="4"/>
  <c r="T443" i="4"/>
  <c r="T442" i="4"/>
  <c r="T441" i="4"/>
  <c r="T440" i="4"/>
  <c r="T439" i="4"/>
  <c r="T438" i="4"/>
  <c r="T437" i="4"/>
  <c r="T436" i="4"/>
  <c r="T435" i="4"/>
  <c r="T434" i="4"/>
  <c r="T433" i="4"/>
  <c r="T432" i="4"/>
  <c r="T431" i="4"/>
  <c r="T430" i="4"/>
  <c r="T429" i="4"/>
  <c r="T428" i="4"/>
  <c r="T427" i="4"/>
  <c r="T426" i="4"/>
  <c r="T425" i="4"/>
  <c r="T424" i="4"/>
  <c r="T423" i="4"/>
  <c r="T422" i="4"/>
  <c r="T421" i="4"/>
  <c r="T420" i="4"/>
  <c r="T419" i="4"/>
  <c r="T418" i="4"/>
  <c r="T417" i="4"/>
  <c r="T416" i="4"/>
  <c r="T415" i="4"/>
  <c r="T414" i="4"/>
  <c r="T413" i="4"/>
  <c r="T412" i="4"/>
  <c r="T411" i="4"/>
  <c r="T410" i="4"/>
  <c r="T409" i="4"/>
  <c r="T408" i="4"/>
  <c r="T407" i="4"/>
  <c r="T406" i="4"/>
  <c r="T405" i="4"/>
  <c r="T404" i="4"/>
  <c r="T403" i="4"/>
  <c r="T402" i="4"/>
  <c r="T401" i="4"/>
  <c r="T400" i="4"/>
  <c r="T399" i="4"/>
  <c r="T398" i="4"/>
  <c r="T397" i="4"/>
  <c r="T396" i="4"/>
  <c r="T395" i="4"/>
  <c r="T394" i="4"/>
  <c r="T393" i="4"/>
  <c r="T392" i="4"/>
  <c r="T391" i="4"/>
  <c r="T390" i="4"/>
  <c r="T389" i="4"/>
  <c r="T388" i="4"/>
  <c r="T387" i="4"/>
  <c r="T386" i="4"/>
  <c r="T385" i="4"/>
  <c r="T384" i="4"/>
  <c r="T383" i="4"/>
  <c r="T382" i="4"/>
  <c r="T381" i="4"/>
  <c r="T380" i="4"/>
  <c r="T379" i="4"/>
  <c r="T378" i="4"/>
  <c r="T377" i="4"/>
  <c r="T376" i="4"/>
  <c r="T375" i="4"/>
  <c r="T374" i="4"/>
  <c r="T373" i="4"/>
  <c r="T372" i="4"/>
  <c r="T371" i="4"/>
  <c r="T370" i="4"/>
  <c r="T369" i="4"/>
  <c r="T368" i="4"/>
  <c r="T367" i="4"/>
  <c r="T366" i="4"/>
  <c r="T365" i="4"/>
  <c r="T364" i="4"/>
  <c r="T363" i="4"/>
  <c r="T362" i="4"/>
  <c r="T361" i="4"/>
  <c r="T360" i="4"/>
  <c r="T359" i="4"/>
  <c r="T358" i="4"/>
  <c r="T357" i="4"/>
  <c r="T356" i="4"/>
  <c r="T355" i="4"/>
  <c r="T354" i="4"/>
  <c r="T353" i="4"/>
  <c r="T352" i="4"/>
  <c r="T351" i="4"/>
  <c r="T350" i="4"/>
  <c r="T349" i="4"/>
  <c r="T348" i="4"/>
  <c r="T347" i="4"/>
  <c r="T346" i="4"/>
  <c r="T345" i="4"/>
  <c r="T344" i="4"/>
  <c r="T343" i="4"/>
  <c r="T342" i="4"/>
  <c r="T341" i="4"/>
  <c r="T340" i="4"/>
  <c r="T339" i="4"/>
  <c r="T338" i="4"/>
  <c r="T337" i="4"/>
  <c r="T336" i="4"/>
  <c r="T335" i="4"/>
  <c r="T334" i="4"/>
  <c r="T333" i="4"/>
  <c r="T332" i="4"/>
  <c r="T331" i="4"/>
  <c r="T330" i="4"/>
  <c r="T329" i="4"/>
  <c r="T328" i="4"/>
  <c r="T327" i="4"/>
  <c r="T326" i="4"/>
  <c r="T325" i="4"/>
  <c r="T324" i="4"/>
  <c r="T323" i="4"/>
  <c r="T322" i="4"/>
  <c r="T321" i="4"/>
  <c r="T320" i="4"/>
  <c r="T319" i="4"/>
  <c r="T318" i="4"/>
  <c r="T317" i="4"/>
  <c r="T316" i="4"/>
  <c r="T315" i="4"/>
  <c r="T314" i="4"/>
  <c r="T313" i="4"/>
  <c r="T312" i="4"/>
  <c r="T311" i="4"/>
  <c r="T310" i="4"/>
  <c r="T309" i="4"/>
  <c r="T308" i="4"/>
  <c r="T307" i="4"/>
  <c r="T306" i="4"/>
  <c r="T305" i="4"/>
  <c r="T304" i="4"/>
  <c r="T303" i="4"/>
  <c r="T302" i="4"/>
  <c r="T301" i="4"/>
  <c r="T300" i="4"/>
  <c r="T299" i="4"/>
  <c r="T298" i="4"/>
  <c r="T297" i="4"/>
  <c r="T296" i="4"/>
  <c r="T295" i="4"/>
  <c r="T294" i="4"/>
  <c r="T293" i="4"/>
  <c r="T292" i="4"/>
  <c r="T291" i="4"/>
  <c r="T290" i="4"/>
  <c r="T289" i="4"/>
  <c r="T288" i="4"/>
  <c r="T287" i="4"/>
  <c r="T286" i="4"/>
  <c r="T285" i="4"/>
  <c r="T284" i="4"/>
  <c r="T283" i="4"/>
  <c r="T282" i="4"/>
  <c r="T281" i="4"/>
  <c r="T280" i="4"/>
  <c r="T279" i="4"/>
  <c r="T278" i="4"/>
  <c r="T277" i="4"/>
  <c r="T276" i="4"/>
  <c r="T275" i="4"/>
  <c r="T274" i="4"/>
  <c r="T273" i="4"/>
  <c r="T272" i="4"/>
  <c r="T271" i="4"/>
  <c r="T270" i="4"/>
  <c r="T269" i="4"/>
  <c r="T268" i="4"/>
  <c r="T267" i="4"/>
  <c r="T266" i="4"/>
  <c r="T265" i="4"/>
  <c r="T264" i="4"/>
  <c r="T263" i="4"/>
  <c r="T262" i="4"/>
  <c r="T261" i="4"/>
  <c r="T260" i="4"/>
  <c r="T259" i="4"/>
  <c r="T258" i="4"/>
  <c r="T257" i="4"/>
  <c r="T256" i="4"/>
  <c r="T255" i="4"/>
  <c r="T254" i="4"/>
  <c r="T253" i="4"/>
  <c r="T252" i="4"/>
  <c r="T251" i="4"/>
  <c r="T250" i="4"/>
  <c r="T249" i="4"/>
  <c r="T248" i="4"/>
  <c r="T247" i="4"/>
  <c r="T246" i="4"/>
  <c r="T245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24" i="4"/>
  <c r="T223" i="4"/>
  <c r="T222" i="4"/>
  <c r="T221" i="4"/>
  <c r="T220" i="4"/>
  <c r="T219" i="4"/>
  <c r="T218" i="4"/>
  <c r="T217" i="4"/>
  <c r="T216" i="4"/>
  <c r="T215" i="4"/>
  <c r="T214" i="4"/>
  <c r="T213" i="4"/>
  <c r="T212" i="4"/>
  <c r="T211" i="4"/>
  <c r="T210" i="4"/>
  <c r="T209" i="4"/>
  <c r="T208" i="4"/>
  <c r="T207" i="4"/>
  <c r="T206" i="4"/>
  <c r="T205" i="4"/>
  <c r="T204" i="4"/>
  <c r="T203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<sst xmlns="http://schemas.openxmlformats.org/spreadsheetml/2006/main" count="349" uniqueCount="94">
  <si>
    <t>التسلسل</t>
  </si>
  <si>
    <t>القسم</t>
  </si>
  <si>
    <t>ID</t>
  </si>
  <si>
    <t>اسم العقد\التعميد</t>
  </si>
  <si>
    <t>الجهة المستفيدة</t>
  </si>
  <si>
    <t xml:space="preserve">الجهة المشرفة على العقد </t>
  </si>
  <si>
    <t>رقم البند\ البرنامج</t>
  </si>
  <si>
    <t>اسم البند\ البرنامج</t>
  </si>
  <si>
    <t>البنود داخل الهيئة \ المشتركة \ المستقلة</t>
  </si>
  <si>
    <t>اسلوب الطرح</t>
  </si>
  <si>
    <t>رقم العقد</t>
  </si>
  <si>
    <t>حالة التنفيذ</t>
  </si>
  <si>
    <t>مبلغ الارتباط المالي</t>
  </si>
  <si>
    <t>مبلغ العقد</t>
  </si>
  <si>
    <t>تاريخ بداية العقد</t>
  </si>
  <si>
    <t>مدة التنفيذ</t>
  </si>
  <si>
    <t>تاريخ نهاية العقد</t>
  </si>
  <si>
    <t>ملاحظات</t>
  </si>
  <si>
    <t>سنة المطالبة</t>
  </si>
  <si>
    <t>تاريخ الانتقال</t>
  </si>
  <si>
    <t>مصدر الانتقال</t>
  </si>
  <si>
    <t>قسم المنافسات 1</t>
  </si>
  <si>
    <t>بدر</t>
  </si>
  <si>
    <t>سوق الكتروني</t>
  </si>
  <si>
    <t>تحت إجراءات التعاقد</t>
  </si>
  <si>
    <t>ببب</t>
  </si>
  <si>
    <t>عبدالله</t>
  </si>
  <si>
    <t>داخل الهيئة</t>
  </si>
  <si>
    <t>بب</t>
  </si>
  <si>
    <t>تعميد</t>
  </si>
  <si>
    <t>تم التوقيع</t>
  </si>
  <si>
    <t>قسم المنافسات3</t>
  </si>
  <si>
    <t>حالات العقد</t>
  </si>
  <si>
    <t>نوع البند</t>
  </si>
  <si>
    <t>الأقسام</t>
  </si>
  <si>
    <t>الجهات المستفيدة</t>
  </si>
  <si>
    <t>الجهات المشرفة على العقد</t>
  </si>
  <si>
    <t>حالة المنافسة\ (حالة العقد\ التعميد أمر الشراء</t>
  </si>
  <si>
    <t>أسلوب الطرح</t>
  </si>
  <si>
    <t>البنود داخل الهيئة \ مشتركة \مستقلة</t>
  </si>
  <si>
    <t>مستقل</t>
  </si>
  <si>
    <t>عقد</t>
  </si>
  <si>
    <t>المنافسات 1</t>
  </si>
  <si>
    <t>مشترك</t>
  </si>
  <si>
    <t xml:space="preserve">خالد </t>
  </si>
  <si>
    <t>البند داخل الهيئة</t>
  </si>
  <si>
    <t>قسم المنافسات 2</t>
  </si>
  <si>
    <t>المنافسات 2</t>
  </si>
  <si>
    <t>مطالبة مرفوعة للمالية</t>
  </si>
  <si>
    <t>البند مشترك</t>
  </si>
  <si>
    <t>تحت إجراءات التوريد</t>
  </si>
  <si>
    <t>تحت التوريد</t>
  </si>
  <si>
    <t>المنافسات 3</t>
  </si>
  <si>
    <t>عقد قائم</t>
  </si>
  <si>
    <t>سلمان</t>
  </si>
  <si>
    <t>تم الصرف</t>
  </si>
  <si>
    <t>البند مستقل</t>
  </si>
  <si>
    <t>بانتظار سندات الاستلام \ شهادة الإنجاز</t>
  </si>
  <si>
    <t>السوق الالكتروني</t>
  </si>
  <si>
    <t>الشراء المباشر</t>
  </si>
  <si>
    <t xml:space="preserve">بانتظار سندات الاستلام \ شهادة الإنجاز </t>
  </si>
  <si>
    <t xml:space="preserve">التشغيل والصيانة العقود </t>
  </si>
  <si>
    <t>منتهي</t>
  </si>
  <si>
    <t>تم استلام سند الاستلام\ شهاد الإنجاز</t>
  </si>
  <si>
    <t>التشغيل والصيانة السوق الالكترو</t>
  </si>
  <si>
    <t>التشغيل والصيانة</t>
  </si>
  <si>
    <t>الصرف على دفعات</t>
  </si>
  <si>
    <t>تحت التوريد \ تنفيذ المهام</t>
  </si>
  <si>
    <t xml:space="preserve">تم إحالة العقد </t>
  </si>
  <si>
    <t>اسم المنافسة</t>
  </si>
  <si>
    <t>رقم الالتزام</t>
  </si>
  <si>
    <t>تاريخ الارتباط المالي</t>
  </si>
  <si>
    <t>مدة الارتباط</t>
  </si>
  <si>
    <t>رقم أمر الشراء</t>
  </si>
  <si>
    <t>نت</t>
  </si>
  <si>
    <t>رقم العقد \التعميد\أمر الشراء</t>
  </si>
  <si>
    <t>حالة العقد\ التعميد\ أمر الشراء</t>
  </si>
  <si>
    <t>مبلغ العقد\ التعميد \أمر الشراء</t>
  </si>
  <si>
    <t>تاريخ بداية العقد \ التعميد\ أمر الشراء</t>
  </si>
  <si>
    <t>مدة تنفيذ العقد\ التعميد أمر الشراء</t>
  </si>
  <si>
    <t>اسم البند \ البرنامج</t>
  </si>
  <si>
    <t>الاعتماد المالي المخصص</t>
  </si>
  <si>
    <t>مجموع مبالغ الارتباطات المالية</t>
  </si>
  <si>
    <t>عدد الارتباطات المالية القائمة</t>
  </si>
  <si>
    <t>مجموع المبالغ للمنافسات التي تم توقيعها</t>
  </si>
  <si>
    <t>عدد العقود الموقعة</t>
  </si>
  <si>
    <t xml:space="preserve">نسبة الإنجاز </t>
  </si>
  <si>
    <t>مجموع مبالغ العقود التي تم الرفع الصرف بها للمالية</t>
  </si>
  <si>
    <t>عدد العقود التي تم الصرف بها للمالية</t>
  </si>
  <si>
    <t>نسة الصرف</t>
  </si>
  <si>
    <t xml:space="preserve">العقود القائمة تحت إجراءات التوريد </t>
  </si>
  <si>
    <t>عدد العقود تحت إجراءات التوريد</t>
  </si>
  <si>
    <t>عدد العقود بانتظار سندات الاستلام \ شهادة الإنجاز</t>
  </si>
  <si>
    <t>السيولة الحالية (الوفر من البند\ البرنامج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</si>
</sst>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78"/>
      <scheme val="minor"/>
    </font>
    <font>
      <sz val="14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0" fillId="2" borderId="0" xfId="0" applyFill="1"/>
    <xf numFmtId="0" fontId="2" fillId="0" borderId="1" xfId="0" applyFont="1" applyBorder="1"/>
    <xf numFmtId="0" fontId="0" fillId="0" borderId="1" xfId="0" applyBorder="1"/>
    <xf numFmtId="0" fontId="2" fillId="0" borderId="0" xfId="0" applyFont="1"/>
    <xf numFmtId="0" fontId="0" fillId="0" borderId="1" xfId="0" applyBorder="1" applyAlignment="1">
      <alignment vertical="center" wrapText="1"/>
    </xf>
    <xf numFmtId="22" fontId="0" fillId="0" borderId="1" xfId="0" applyNumberFormat="1" applyBorder="1"/>
    <xf numFmtId="0" fontId="0" fillId="3" borderId="0" xfId="0" applyFill="1"/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2" fillId="3" borderId="1" xfId="0" applyFont="1" applyFill="1" applyBorder="1"/>
    <xf numFmtId="0" fontId="2" fillId="3" borderId="0" xfId="0" applyFont="1" applyFill="1"/>
    <xf numFmtId="0" fontId="0" fillId="3" borderId="1" xfId="0" applyFill="1" applyBorder="1"/>
    <xf numFmtId="0" fontId="5" fillId="3" borderId="2" xfId="0" applyFont="1" applyFill="1" applyBorder="1" applyAlignment="1">
      <alignment horizontal="center"/>
    </xf>
    <xf numFmtId="22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U1"/>
  <sheetViews>
    <sheetView workbookViewId="0"/>
  </sheetViews>
  <sheetFormatPr defaultRowHeight="14.4" x14ac:dyDescent="0.3"/>
  <cols>
    <col min="20" max="20" width="18" customWidth="1"/>
    <col min="21" max="21" width="22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000"/>
  <sheetViews>
    <sheetView rightToLeft="1" workbookViewId="0"/>
  </sheetViews>
  <sheetFormatPr defaultRowHeight="14.4" x14ac:dyDescent="0.3"/>
  <cols>
    <col min="1" max="1" width="7.33203125" style="3" bestFit="1" customWidth="1"/>
    <col min="2" max="2" width="14.33203125" style="3" bestFit="1" customWidth="1"/>
    <col min="3" max="3" width="13.21875" style="3" bestFit="1" customWidth="1"/>
    <col min="4" max="4" width="16.33203125" style="3" customWidth="1"/>
    <col min="5" max="5" width="21.6640625" style="3" bestFit="1" customWidth="1"/>
    <col min="6" max="6" width="15.6640625" style="3" bestFit="1" customWidth="1"/>
    <col min="7" max="7" width="12.21875" style="3" bestFit="1" customWidth="1"/>
    <col min="8" max="9" width="26.33203125" style="3" bestFit="1" customWidth="1"/>
    <col min="10" max="11" width="20.44140625" style="3" bestFit="1" customWidth="1"/>
    <col min="12" max="12" width="25" style="3" customWidth="1"/>
    <col min="13" max="13" width="9.77734375" style="3" bestFit="1" customWidth="1"/>
    <col min="14" max="14" width="26.21875" style="3" customWidth="1"/>
    <col min="15" max="15" width="13.5546875" style="3" customWidth="1"/>
    <col min="16" max="16" width="11.21875" style="3" bestFit="1" customWidth="1"/>
    <col min="17" max="17" width="8.77734375" style="3" bestFit="1" customWidth="1"/>
    <col min="18" max="18" width="15.33203125" style="3" bestFit="1" customWidth="1"/>
    <col min="19" max="19" width="8.88671875" style="3" customWidth="1"/>
    <col min="20" max="16384" width="8.88671875" style="3"/>
  </cols>
  <sheetData>
    <row r="1" spans="1:24" s="9" customFormat="1" ht="18" customHeight="1" x14ac:dyDescent="0.3">
      <c r="A1" s="8" t="s">
        <v>0</v>
      </c>
      <c r="B1" s="8" t="s">
        <v>1</v>
      </c>
      <c r="C1" t="s">
        <v>2</v>
      </c>
      <c r="D1" s="9" t="s">
        <v>3</v>
      </c>
      <c r="E1" s="10" t="s">
        <v>4</v>
      </c>
      <c r="F1" s="10" t="s">
        <v>5</v>
      </c>
      <c r="G1" s="9" t="s">
        <v>6</v>
      </c>
      <c r="H1" s="10" t="s">
        <v>7</v>
      </c>
      <c r="I1" s="20" t="s">
        <v>8</v>
      </c>
      <c r="J1" s="9" t="s">
        <v>9</v>
      </c>
      <c r="K1" s="11" t="s">
        <v>10</v>
      </c>
      <c r="L1" s="11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/>
      <c r="S1" s="8"/>
      <c r="T1" s="8" t="s">
        <v>17</v>
      </c>
    </row>
    <row r="2" spans="1:24" x14ac:dyDescent="0.3">
      <c r="A2" s="3">
        <v>1</v>
      </c>
      <c r="B2" s="3" t="s">
        <v>21</v>
      </c>
      <c r="C2" t="str">
        <f t="shared" ref="C2:C65" si="0">IF(A2="","",B2&amp;"-"&amp;TEXT(A2,"000000"))</f>
        <v>قسم المنافسات 1-000001</v>
      </c>
      <c r="D2" s="3" t="s">
        <v>3</v>
      </c>
      <c r="E2" s="3" t="s">
        <v>22</v>
      </c>
      <c r="F2" s="3" t="s">
        <v>22</v>
      </c>
      <c r="G2" s="3" t="s">
        <v>6</v>
      </c>
      <c r="H2" s="3" t="s">
        <v>7</v>
      </c>
      <c r="I2" s="3" t="s">
        <v>8</v>
      </c>
      <c r="J2" s="3" t="s">
        <v>23</v>
      </c>
      <c r="K2" s="3">
        <v>400</v>
      </c>
      <c r="L2" s="3" t="s">
        <v>24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S2" s="6"/>
      <c r="W2" s="5"/>
      <c r="X2" s="5"/>
    </row>
    <row r="3" spans="1:24" x14ac:dyDescent="0.3">
      <c r="A3" s="3">
        <v>2</v>
      </c>
      <c r="B3" s="3" t="s">
        <v>21</v>
      </c>
      <c r="C3" t="str">
        <f t="shared" si="0"/>
        <v>قسم المنافسات 1-000002</v>
      </c>
      <c r="D3" s="3" t="s">
        <v>25</v>
      </c>
      <c r="E3" s="3" t="s">
        <v>26</v>
      </c>
      <c r="F3" s="3" t="s">
        <v>22</v>
      </c>
      <c r="G3" s="3">
        <v>332</v>
      </c>
      <c r="H3" s="3" t="s">
        <v>27</v>
      </c>
      <c r="I3" s="3" t="s">
        <v>28</v>
      </c>
      <c r="J3" s="3" t="s">
        <v>29</v>
      </c>
      <c r="K3" s="3">
        <v>100</v>
      </c>
      <c r="L3" s="3" t="s">
        <v>30</v>
      </c>
      <c r="M3" s="3">
        <v>337</v>
      </c>
      <c r="R3" s="3">
        <v>1899</v>
      </c>
      <c r="S3" s="6">
        <v>46007.163194444453</v>
      </c>
      <c r="W3" s="5"/>
      <c r="X3" s="5"/>
    </row>
    <row r="4" spans="1:24" x14ac:dyDescent="0.3">
      <c r="A4" s="3">
        <v>3</v>
      </c>
      <c r="B4" s="3" t="s">
        <v>31</v>
      </c>
      <c r="C4" t="str">
        <f t="shared" si="0"/>
        <v>قسم المنافسات3-000003</v>
      </c>
      <c r="D4" s="3" t="s">
        <v>25</v>
      </c>
      <c r="E4" s="3" t="s">
        <v>26</v>
      </c>
      <c r="F4" s="3" t="s">
        <v>22</v>
      </c>
      <c r="G4" s="3">
        <v>332</v>
      </c>
      <c r="H4" s="3" t="s">
        <v>27</v>
      </c>
      <c r="I4" s="3" t="s">
        <v>28</v>
      </c>
      <c r="J4" s="3" t="s">
        <v>29</v>
      </c>
      <c r="K4" s="3">
        <v>443</v>
      </c>
      <c r="M4" s="3">
        <v>0</v>
      </c>
      <c r="R4" s="3">
        <v>1899</v>
      </c>
      <c r="S4" s="6">
        <v>46007.167615740742</v>
      </c>
      <c r="W4" s="5"/>
      <c r="X4" s="5"/>
    </row>
    <row r="5" spans="1:24" x14ac:dyDescent="0.3">
      <c r="A5" s="3">
        <v>4</v>
      </c>
      <c r="B5" s="3" t="s">
        <v>21</v>
      </c>
      <c r="C5" t="str">
        <f t="shared" si="0"/>
        <v>قسم المنافسات 1-000004</v>
      </c>
      <c r="D5" s="3" t="s">
        <v>25</v>
      </c>
      <c r="E5" s="3" t="s">
        <v>26</v>
      </c>
      <c r="F5" s="3" t="s">
        <v>22</v>
      </c>
      <c r="G5" s="3">
        <v>332</v>
      </c>
      <c r="H5" s="3" t="s">
        <v>27</v>
      </c>
      <c r="I5" s="3" t="s">
        <v>28</v>
      </c>
      <c r="J5" s="3" t="s">
        <v>29</v>
      </c>
      <c r="K5" s="3">
        <v>200</v>
      </c>
      <c r="L5" s="3" t="s">
        <v>30</v>
      </c>
      <c r="M5" s="3">
        <v>0</v>
      </c>
      <c r="R5" s="3">
        <v>1899</v>
      </c>
      <c r="S5" s="6">
        <v>46007.179432870369</v>
      </c>
      <c r="W5" s="5"/>
      <c r="X5" s="5"/>
    </row>
    <row r="6" spans="1:24" ht="13.2" customHeight="1" x14ac:dyDescent="0.3">
      <c r="C6" t="str">
        <f t="shared" si="0"/>
        <v/>
      </c>
      <c r="S6" s="6"/>
      <c r="W6" s="5"/>
      <c r="X6" s="5"/>
    </row>
    <row r="7" spans="1:24" x14ac:dyDescent="0.3">
      <c r="C7" t="str">
        <f t="shared" si="0"/>
        <v/>
      </c>
      <c r="W7" s="5"/>
      <c r="X7" s="5"/>
    </row>
    <row r="8" spans="1:24" x14ac:dyDescent="0.3">
      <c r="C8" t="str">
        <f t="shared" si="0"/>
        <v/>
      </c>
      <c r="S8" s="6"/>
      <c r="W8" s="5"/>
      <c r="X8" s="5"/>
    </row>
    <row r="9" spans="1:24" x14ac:dyDescent="0.3">
      <c r="C9" t="str">
        <f t="shared" si="0"/>
        <v/>
      </c>
      <c r="W9" s="5"/>
      <c r="X9" s="5"/>
    </row>
    <row r="10" spans="1:24" x14ac:dyDescent="0.3">
      <c r="C10" t="str">
        <f t="shared" si="0"/>
        <v/>
      </c>
      <c r="W10" s="5"/>
      <c r="X10" s="5"/>
    </row>
    <row r="11" spans="1:24" x14ac:dyDescent="0.3">
      <c r="C11" t="str">
        <f t="shared" si="0"/>
        <v/>
      </c>
      <c r="W11" s="5"/>
      <c r="X11" s="5"/>
    </row>
    <row r="12" spans="1:24" x14ac:dyDescent="0.3">
      <c r="C12" t="str">
        <f t="shared" si="0"/>
        <v/>
      </c>
      <c r="W12" s="5"/>
      <c r="X12" s="5"/>
    </row>
    <row r="13" spans="1:24" x14ac:dyDescent="0.3">
      <c r="C13" t="str">
        <f t="shared" si="0"/>
        <v/>
      </c>
      <c r="W13" s="5"/>
      <c r="X13" s="5"/>
    </row>
    <row r="14" spans="1:24" x14ac:dyDescent="0.3">
      <c r="C14" t="str">
        <f t="shared" si="0"/>
        <v/>
      </c>
      <c r="W14" s="5"/>
      <c r="X14" s="5"/>
    </row>
    <row r="15" spans="1:24" x14ac:dyDescent="0.3">
      <c r="C15" t="str">
        <f t="shared" si="0"/>
        <v/>
      </c>
      <c r="W15" s="5"/>
      <c r="X15" s="5"/>
    </row>
    <row r="16" spans="1:24" x14ac:dyDescent="0.3">
      <c r="C16" t="str">
        <f t="shared" si="0"/>
        <v/>
      </c>
      <c r="W16" s="5"/>
      <c r="X16" s="5"/>
    </row>
    <row r="17" spans="3:24" x14ac:dyDescent="0.3">
      <c r="C17" t="str">
        <f t="shared" si="0"/>
        <v/>
      </c>
      <c r="W17" s="5"/>
      <c r="X17" s="5"/>
    </row>
    <row r="18" spans="3:24" x14ac:dyDescent="0.3">
      <c r="C18" t="str">
        <f t="shared" si="0"/>
        <v/>
      </c>
    </row>
    <row r="19" spans="3:24" x14ac:dyDescent="0.3">
      <c r="C19" t="str">
        <f t="shared" si="0"/>
        <v/>
      </c>
    </row>
    <row r="20" spans="3:24" x14ac:dyDescent="0.3">
      <c r="C20" t="str">
        <f t="shared" si="0"/>
        <v/>
      </c>
    </row>
    <row r="21" spans="3:24" x14ac:dyDescent="0.3">
      <c r="C21" t="str">
        <f t="shared" si="0"/>
        <v/>
      </c>
    </row>
    <row r="22" spans="3:24" x14ac:dyDescent="0.3">
      <c r="C22" t="str">
        <f t="shared" si="0"/>
        <v/>
      </c>
    </row>
    <row r="23" spans="3:24" x14ac:dyDescent="0.3">
      <c r="C23" t="str">
        <f t="shared" si="0"/>
        <v/>
      </c>
    </row>
    <row r="24" spans="3:24" x14ac:dyDescent="0.3">
      <c r="C24" t="str">
        <f t="shared" si="0"/>
        <v/>
      </c>
    </row>
    <row r="25" spans="3:24" x14ac:dyDescent="0.3">
      <c r="C25" t="str">
        <f t="shared" si="0"/>
        <v/>
      </c>
    </row>
    <row r="26" spans="3:24" x14ac:dyDescent="0.3">
      <c r="C26" t="str">
        <f t="shared" si="0"/>
        <v/>
      </c>
    </row>
    <row r="27" spans="3:24" x14ac:dyDescent="0.3">
      <c r="C27" t="str">
        <f t="shared" si="0"/>
        <v/>
      </c>
    </row>
    <row r="28" spans="3:24" x14ac:dyDescent="0.3">
      <c r="C28" t="str">
        <f t="shared" si="0"/>
        <v/>
      </c>
    </row>
    <row r="29" spans="3:24" x14ac:dyDescent="0.3">
      <c r="C29" t="str">
        <f t="shared" si="0"/>
        <v/>
      </c>
    </row>
    <row r="30" spans="3:24" x14ac:dyDescent="0.3">
      <c r="C30" t="str">
        <f t="shared" si="0"/>
        <v/>
      </c>
    </row>
    <row r="31" spans="3:24" x14ac:dyDescent="0.3">
      <c r="C31" t="str">
        <f t="shared" si="0"/>
        <v/>
      </c>
    </row>
    <row r="32" spans="3:24" x14ac:dyDescent="0.3">
      <c r="C32" t="str">
        <f t="shared" si="0"/>
        <v/>
      </c>
    </row>
    <row r="33" spans="3:3" x14ac:dyDescent="0.3">
      <c r="C33" t="str">
        <f t="shared" si="0"/>
        <v/>
      </c>
    </row>
    <row r="34" spans="3:3" x14ac:dyDescent="0.3">
      <c r="C34" t="str">
        <f t="shared" si="0"/>
        <v/>
      </c>
    </row>
    <row r="35" spans="3:3" x14ac:dyDescent="0.3">
      <c r="C35" t="str">
        <f t="shared" si="0"/>
        <v/>
      </c>
    </row>
    <row r="36" spans="3:3" x14ac:dyDescent="0.3">
      <c r="C36" t="str">
        <f t="shared" si="0"/>
        <v/>
      </c>
    </row>
    <row r="37" spans="3:3" x14ac:dyDescent="0.3">
      <c r="C37" t="str">
        <f t="shared" si="0"/>
        <v/>
      </c>
    </row>
    <row r="38" spans="3:3" x14ac:dyDescent="0.3">
      <c r="C38" t="str">
        <f t="shared" si="0"/>
        <v/>
      </c>
    </row>
    <row r="39" spans="3:3" x14ac:dyDescent="0.3">
      <c r="C39" t="str">
        <f t="shared" si="0"/>
        <v/>
      </c>
    </row>
    <row r="40" spans="3:3" x14ac:dyDescent="0.3">
      <c r="C40" t="str">
        <f t="shared" si="0"/>
        <v/>
      </c>
    </row>
    <row r="41" spans="3:3" x14ac:dyDescent="0.3">
      <c r="C41" t="str">
        <f t="shared" si="0"/>
        <v/>
      </c>
    </row>
    <row r="42" spans="3:3" x14ac:dyDescent="0.3">
      <c r="C42" t="str">
        <f t="shared" si="0"/>
        <v/>
      </c>
    </row>
    <row r="43" spans="3:3" x14ac:dyDescent="0.3">
      <c r="C43" t="str">
        <f t="shared" si="0"/>
        <v/>
      </c>
    </row>
    <row r="44" spans="3:3" x14ac:dyDescent="0.3">
      <c r="C44" t="str">
        <f t="shared" si="0"/>
        <v/>
      </c>
    </row>
    <row r="45" spans="3:3" x14ac:dyDescent="0.3">
      <c r="C45" t="str">
        <f t="shared" si="0"/>
        <v/>
      </c>
    </row>
    <row r="46" spans="3:3" x14ac:dyDescent="0.3">
      <c r="C46" t="str">
        <f t="shared" si="0"/>
        <v/>
      </c>
    </row>
    <row r="47" spans="3:3" x14ac:dyDescent="0.3">
      <c r="C47" t="str">
        <f t="shared" si="0"/>
        <v/>
      </c>
    </row>
    <row r="48" spans="3:3" x14ac:dyDescent="0.3">
      <c r="C48" t="str">
        <f t="shared" si="0"/>
        <v/>
      </c>
    </row>
    <row r="49" spans="3:3" x14ac:dyDescent="0.3">
      <c r="C49" t="str">
        <f t="shared" si="0"/>
        <v/>
      </c>
    </row>
    <row r="50" spans="3:3" x14ac:dyDescent="0.3">
      <c r="C50" t="str">
        <f t="shared" si="0"/>
        <v/>
      </c>
    </row>
    <row r="51" spans="3:3" x14ac:dyDescent="0.3">
      <c r="C51" t="str">
        <f t="shared" si="0"/>
        <v/>
      </c>
    </row>
    <row r="52" spans="3:3" x14ac:dyDescent="0.3">
      <c r="C52" t="str">
        <f t="shared" si="0"/>
        <v/>
      </c>
    </row>
    <row r="53" spans="3:3" x14ac:dyDescent="0.3">
      <c r="C53" t="str">
        <f t="shared" si="0"/>
        <v/>
      </c>
    </row>
    <row r="54" spans="3:3" x14ac:dyDescent="0.3">
      <c r="C54" t="str">
        <f t="shared" si="0"/>
        <v/>
      </c>
    </row>
    <row r="55" spans="3:3" x14ac:dyDescent="0.3">
      <c r="C55" t="str">
        <f t="shared" si="0"/>
        <v/>
      </c>
    </row>
    <row r="56" spans="3:3" x14ac:dyDescent="0.3">
      <c r="C56" t="str">
        <f t="shared" si="0"/>
        <v/>
      </c>
    </row>
    <row r="57" spans="3:3" x14ac:dyDescent="0.3">
      <c r="C57" t="str">
        <f t="shared" si="0"/>
        <v/>
      </c>
    </row>
    <row r="58" spans="3:3" x14ac:dyDescent="0.3">
      <c r="C58" t="str">
        <f t="shared" si="0"/>
        <v/>
      </c>
    </row>
    <row r="59" spans="3:3" x14ac:dyDescent="0.3">
      <c r="C59" t="str">
        <f t="shared" si="0"/>
        <v/>
      </c>
    </row>
    <row r="60" spans="3:3" x14ac:dyDescent="0.3">
      <c r="C60" t="str">
        <f t="shared" si="0"/>
        <v/>
      </c>
    </row>
    <row r="61" spans="3:3" x14ac:dyDescent="0.3">
      <c r="C61" t="str">
        <f t="shared" si="0"/>
        <v/>
      </c>
    </row>
    <row r="62" spans="3:3" x14ac:dyDescent="0.3">
      <c r="C62" t="str">
        <f t="shared" si="0"/>
        <v/>
      </c>
    </row>
    <row r="63" spans="3:3" x14ac:dyDescent="0.3">
      <c r="C63" t="str">
        <f t="shared" si="0"/>
        <v/>
      </c>
    </row>
    <row r="64" spans="3:3" x14ac:dyDescent="0.3">
      <c r="C64" t="str">
        <f t="shared" si="0"/>
        <v/>
      </c>
    </row>
    <row r="65" spans="3:3" x14ac:dyDescent="0.3">
      <c r="C65" t="str">
        <f t="shared" si="0"/>
        <v/>
      </c>
    </row>
    <row r="66" spans="3:3" x14ac:dyDescent="0.3">
      <c r="C66" t="str">
        <f t="shared" ref="C66:C129" si="1">IF(A66="","",B66&amp;"-"&amp;TEXT(A66,"000000"))</f>
        <v/>
      </c>
    </row>
    <row r="67" spans="3:3" x14ac:dyDescent="0.3">
      <c r="C67" t="str">
        <f t="shared" si="1"/>
        <v/>
      </c>
    </row>
    <row r="68" spans="3:3" x14ac:dyDescent="0.3">
      <c r="C68" t="str">
        <f t="shared" si="1"/>
        <v/>
      </c>
    </row>
    <row r="69" spans="3:3" x14ac:dyDescent="0.3">
      <c r="C69" t="str">
        <f t="shared" si="1"/>
        <v/>
      </c>
    </row>
    <row r="70" spans="3:3" x14ac:dyDescent="0.3">
      <c r="C70" t="str">
        <f t="shared" si="1"/>
        <v/>
      </c>
    </row>
    <row r="71" spans="3:3" x14ac:dyDescent="0.3">
      <c r="C71" t="str">
        <f t="shared" si="1"/>
        <v/>
      </c>
    </row>
    <row r="72" spans="3:3" x14ac:dyDescent="0.3">
      <c r="C72" t="str">
        <f t="shared" si="1"/>
        <v/>
      </c>
    </row>
    <row r="73" spans="3:3" x14ac:dyDescent="0.3">
      <c r="C73" t="str">
        <f t="shared" si="1"/>
        <v/>
      </c>
    </row>
    <row r="74" spans="3:3" x14ac:dyDescent="0.3">
      <c r="C74" t="str">
        <f t="shared" si="1"/>
        <v/>
      </c>
    </row>
    <row r="75" spans="3:3" x14ac:dyDescent="0.3">
      <c r="C75" t="str">
        <f t="shared" si="1"/>
        <v/>
      </c>
    </row>
    <row r="76" spans="3:3" x14ac:dyDescent="0.3">
      <c r="C76" t="str">
        <f t="shared" si="1"/>
        <v/>
      </c>
    </row>
    <row r="77" spans="3:3" x14ac:dyDescent="0.3">
      <c r="C77" t="str">
        <f t="shared" si="1"/>
        <v/>
      </c>
    </row>
    <row r="78" spans="3:3" x14ac:dyDescent="0.3">
      <c r="C78" t="str">
        <f t="shared" si="1"/>
        <v/>
      </c>
    </row>
    <row r="79" spans="3:3" x14ac:dyDescent="0.3">
      <c r="C79" t="str">
        <f t="shared" si="1"/>
        <v/>
      </c>
    </row>
    <row r="80" spans="3:3" x14ac:dyDescent="0.3">
      <c r="C80" t="str">
        <f t="shared" si="1"/>
        <v/>
      </c>
    </row>
    <row r="81" spans="3:3" x14ac:dyDescent="0.3">
      <c r="C81" t="str">
        <f t="shared" si="1"/>
        <v/>
      </c>
    </row>
    <row r="82" spans="3:3" x14ac:dyDescent="0.3">
      <c r="C82" t="str">
        <f t="shared" si="1"/>
        <v/>
      </c>
    </row>
    <row r="83" spans="3:3" x14ac:dyDescent="0.3">
      <c r="C83" t="str">
        <f t="shared" si="1"/>
        <v/>
      </c>
    </row>
    <row r="84" spans="3:3" x14ac:dyDescent="0.3">
      <c r="C84" t="str">
        <f t="shared" si="1"/>
        <v/>
      </c>
    </row>
    <row r="85" spans="3:3" x14ac:dyDescent="0.3">
      <c r="C85" t="str">
        <f t="shared" si="1"/>
        <v/>
      </c>
    </row>
    <row r="86" spans="3:3" x14ac:dyDescent="0.3">
      <c r="C86" t="str">
        <f t="shared" si="1"/>
        <v/>
      </c>
    </row>
    <row r="87" spans="3:3" x14ac:dyDescent="0.3">
      <c r="C87" t="str">
        <f t="shared" si="1"/>
        <v/>
      </c>
    </row>
    <row r="88" spans="3:3" x14ac:dyDescent="0.3">
      <c r="C88" t="str">
        <f t="shared" si="1"/>
        <v/>
      </c>
    </row>
    <row r="89" spans="3:3" x14ac:dyDescent="0.3">
      <c r="C89" t="str">
        <f t="shared" si="1"/>
        <v/>
      </c>
    </row>
    <row r="90" spans="3:3" x14ac:dyDescent="0.3">
      <c r="C90" t="str">
        <f t="shared" si="1"/>
        <v/>
      </c>
    </row>
    <row r="91" spans="3:3" x14ac:dyDescent="0.3">
      <c r="C91" t="str">
        <f t="shared" si="1"/>
        <v/>
      </c>
    </row>
    <row r="92" spans="3:3" x14ac:dyDescent="0.3">
      <c r="C92" t="str">
        <f t="shared" si="1"/>
        <v/>
      </c>
    </row>
    <row r="93" spans="3:3" x14ac:dyDescent="0.3">
      <c r="C93" t="str">
        <f t="shared" si="1"/>
        <v/>
      </c>
    </row>
    <row r="94" spans="3:3" x14ac:dyDescent="0.3">
      <c r="C94" t="str">
        <f t="shared" si="1"/>
        <v/>
      </c>
    </row>
    <row r="95" spans="3:3" x14ac:dyDescent="0.3">
      <c r="C95" t="str">
        <f t="shared" si="1"/>
        <v/>
      </c>
    </row>
    <row r="96" spans="3:3" x14ac:dyDescent="0.3">
      <c r="C96" t="str">
        <f t="shared" si="1"/>
        <v/>
      </c>
    </row>
    <row r="97" spans="3:3" x14ac:dyDescent="0.3">
      <c r="C97" t="str">
        <f t="shared" si="1"/>
        <v/>
      </c>
    </row>
    <row r="98" spans="3:3" x14ac:dyDescent="0.3">
      <c r="C98" t="str">
        <f t="shared" si="1"/>
        <v/>
      </c>
    </row>
    <row r="99" spans="3:3" x14ac:dyDescent="0.3">
      <c r="C99" t="str">
        <f t="shared" si="1"/>
        <v/>
      </c>
    </row>
    <row r="100" spans="3:3" x14ac:dyDescent="0.3">
      <c r="C100" t="str">
        <f t="shared" si="1"/>
        <v/>
      </c>
    </row>
    <row r="101" spans="3:3" x14ac:dyDescent="0.3">
      <c r="C101" t="str">
        <f t="shared" si="1"/>
        <v/>
      </c>
    </row>
    <row r="102" spans="3:3" x14ac:dyDescent="0.3">
      <c r="C102" t="str">
        <f t="shared" si="1"/>
        <v/>
      </c>
    </row>
    <row r="103" spans="3:3" x14ac:dyDescent="0.3">
      <c r="C103" t="str">
        <f t="shared" si="1"/>
        <v/>
      </c>
    </row>
    <row r="104" spans="3:3" x14ac:dyDescent="0.3">
      <c r="C104" t="str">
        <f t="shared" si="1"/>
        <v/>
      </c>
    </row>
    <row r="105" spans="3:3" x14ac:dyDescent="0.3">
      <c r="C105" t="str">
        <f t="shared" si="1"/>
        <v/>
      </c>
    </row>
    <row r="106" spans="3:3" x14ac:dyDescent="0.3">
      <c r="C106" t="str">
        <f t="shared" si="1"/>
        <v/>
      </c>
    </row>
    <row r="107" spans="3:3" x14ac:dyDescent="0.3">
      <c r="C107" t="str">
        <f t="shared" si="1"/>
        <v/>
      </c>
    </row>
    <row r="108" spans="3:3" x14ac:dyDescent="0.3">
      <c r="C108" t="str">
        <f t="shared" si="1"/>
        <v/>
      </c>
    </row>
    <row r="109" spans="3:3" x14ac:dyDescent="0.3">
      <c r="C109" t="str">
        <f t="shared" si="1"/>
        <v/>
      </c>
    </row>
    <row r="110" spans="3:3" x14ac:dyDescent="0.3">
      <c r="C110" t="str">
        <f t="shared" si="1"/>
        <v/>
      </c>
    </row>
    <row r="111" spans="3:3" x14ac:dyDescent="0.3">
      <c r="C111" t="str">
        <f t="shared" si="1"/>
        <v/>
      </c>
    </row>
    <row r="112" spans="3:3" x14ac:dyDescent="0.3">
      <c r="C112" t="str">
        <f t="shared" si="1"/>
        <v/>
      </c>
    </row>
    <row r="113" spans="3:3" x14ac:dyDescent="0.3">
      <c r="C113" t="str">
        <f t="shared" si="1"/>
        <v/>
      </c>
    </row>
    <row r="114" spans="3:3" x14ac:dyDescent="0.3">
      <c r="C114" t="str">
        <f t="shared" si="1"/>
        <v/>
      </c>
    </row>
    <row r="115" spans="3:3" x14ac:dyDescent="0.3">
      <c r="C115" t="str">
        <f t="shared" si="1"/>
        <v/>
      </c>
    </row>
    <row r="116" spans="3:3" x14ac:dyDescent="0.3">
      <c r="C116" t="str">
        <f t="shared" si="1"/>
        <v/>
      </c>
    </row>
    <row r="117" spans="3:3" x14ac:dyDescent="0.3">
      <c r="C117" t="str">
        <f t="shared" si="1"/>
        <v/>
      </c>
    </row>
    <row r="118" spans="3:3" x14ac:dyDescent="0.3">
      <c r="C118" t="str">
        <f t="shared" si="1"/>
        <v/>
      </c>
    </row>
    <row r="119" spans="3:3" x14ac:dyDescent="0.3">
      <c r="C119" t="str">
        <f t="shared" si="1"/>
        <v/>
      </c>
    </row>
    <row r="120" spans="3:3" x14ac:dyDescent="0.3">
      <c r="C120" t="str">
        <f t="shared" si="1"/>
        <v/>
      </c>
    </row>
    <row r="121" spans="3:3" x14ac:dyDescent="0.3">
      <c r="C121" t="str">
        <f t="shared" si="1"/>
        <v/>
      </c>
    </row>
    <row r="122" spans="3:3" x14ac:dyDescent="0.3">
      <c r="C122" t="str">
        <f t="shared" si="1"/>
        <v/>
      </c>
    </row>
    <row r="123" spans="3:3" x14ac:dyDescent="0.3">
      <c r="C123" t="str">
        <f t="shared" si="1"/>
        <v/>
      </c>
    </row>
    <row r="124" spans="3:3" x14ac:dyDescent="0.3">
      <c r="C124" t="str">
        <f t="shared" si="1"/>
        <v/>
      </c>
    </row>
    <row r="125" spans="3:3" x14ac:dyDescent="0.3">
      <c r="C125" t="str">
        <f t="shared" si="1"/>
        <v/>
      </c>
    </row>
    <row r="126" spans="3:3" x14ac:dyDescent="0.3">
      <c r="C126" t="str">
        <f t="shared" si="1"/>
        <v/>
      </c>
    </row>
    <row r="127" spans="3:3" x14ac:dyDescent="0.3">
      <c r="C127" t="str">
        <f t="shared" si="1"/>
        <v/>
      </c>
    </row>
    <row r="128" spans="3:3" x14ac:dyDescent="0.3">
      <c r="C128" t="str">
        <f t="shared" si="1"/>
        <v/>
      </c>
    </row>
    <row r="129" spans="3:3" x14ac:dyDescent="0.3">
      <c r="C129" t="str">
        <f t="shared" si="1"/>
        <v/>
      </c>
    </row>
    <row r="130" spans="3:3" x14ac:dyDescent="0.3">
      <c r="C130" t="str">
        <f t="shared" ref="C130:C193" si="2">IF(A130="","",B130&amp;"-"&amp;TEXT(A130,"000000"))</f>
        <v/>
      </c>
    </row>
    <row r="131" spans="3:3" x14ac:dyDescent="0.3">
      <c r="C131" t="str">
        <f t="shared" si="2"/>
        <v/>
      </c>
    </row>
    <row r="132" spans="3:3" x14ac:dyDescent="0.3">
      <c r="C132" t="str">
        <f t="shared" si="2"/>
        <v/>
      </c>
    </row>
    <row r="133" spans="3:3" x14ac:dyDescent="0.3">
      <c r="C133" t="str">
        <f t="shared" si="2"/>
        <v/>
      </c>
    </row>
    <row r="134" spans="3:3" x14ac:dyDescent="0.3">
      <c r="C134" t="str">
        <f t="shared" si="2"/>
        <v/>
      </c>
    </row>
    <row r="135" spans="3:3" x14ac:dyDescent="0.3">
      <c r="C135" t="str">
        <f t="shared" si="2"/>
        <v/>
      </c>
    </row>
    <row r="136" spans="3:3" x14ac:dyDescent="0.3">
      <c r="C136" t="str">
        <f t="shared" si="2"/>
        <v/>
      </c>
    </row>
    <row r="137" spans="3:3" x14ac:dyDescent="0.3">
      <c r="C137" t="str">
        <f t="shared" si="2"/>
        <v/>
      </c>
    </row>
    <row r="138" spans="3:3" x14ac:dyDescent="0.3">
      <c r="C138" t="str">
        <f t="shared" si="2"/>
        <v/>
      </c>
    </row>
    <row r="139" spans="3:3" x14ac:dyDescent="0.3">
      <c r="C139" t="str">
        <f t="shared" si="2"/>
        <v/>
      </c>
    </row>
    <row r="140" spans="3:3" x14ac:dyDescent="0.3">
      <c r="C140" t="str">
        <f t="shared" si="2"/>
        <v/>
      </c>
    </row>
    <row r="141" spans="3:3" x14ac:dyDescent="0.3">
      <c r="C141" t="str">
        <f t="shared" si="2"/>
        <v/>
      </c>
    </row>
    <row r="142" spans="3:3" x14ac:dyDescent="0.3">
      <c r="C142" t="str">
        <f t="shared" si="2"/>
        <v/>
      </c>
    </row>
    <row r="143" spans="3:3" x14ac:dyDescent="0.3">
      <c r="C143" t="str">
        <f t="shared" si="2"/>
        <v/>
      </c>
    </row>
    <row r="144" spans="3:3" x14ac:dyDescent="0.3">
      <c r="C144" t="str">
        <f t="shared" si="2"/>
        <v/>
      </c>
    </row>
    <row r="145" spans="3:3" x14ac:dyDescent="0.3">
      <c r="C145" t="str">
        <f t="shared" si="2"/>
        <v/>
      </c>
    </row>
    <row r="146" spans="3:3" x14ac:dyDescent="0.3">
      <c r="C146" t="str">
        <f t="shared" si="2"/>
        <v/>
      </c>
    </row>
    <row r="147" spans="3:3" x14ac:dyDescent="0.3">
      <c r="C147" t="str">
        <f t="shared" si="2"/>
        <v/>
      </c>
    </row>
    <row r="148" spans="3:3" x14ac:dyDescent="0.3">
      <c r="C148" t="str">
        <f t="shared" si="2"/>
        <v/>
      </c>
    </row>
    <row r="149" spans="3:3" x14ac:dyDescent="0.3">
      <c r="C149" t="str">
        <f t="shared" si="2"/>
        <v/>
      </c>
    </row>
    <row r="150" spans="3:3" x14ac:dyDescent="0.3">
      <c r="C150" t="str">
        <f t="shared" si="2"/>
        <v/>
      </c>
    </row>
    <row r="151" spans="3:3" x14ac:dyDescent="0.3">
      <c r="C151" t="str">
        <f t="shared" si="2"/>
        <v/>
      </c>
    </row>
    <row r="152" spans="3:3" x14ac:dyDescent="0.3">
      <c r="C152" t="str">
        <f t="shared" si="2"/>
        <v/>
      </c>
    </row>
    <row r="153" spans="3:3" x14ac:dyDescent="0.3">
      <c r="C153" t="str">
        <f t="shared" si="2"/>
        <v/>
      </c>
    </row>
    <row r="154" spans="3:3" x14ac:dyDescent="0.3">
      <c r="C154" t="str">
        <f t="shared" si="2"/>
        <v/>
      </c>
    </row>
    <row r="155" spans="3:3" x14ac:dyDescent="0.3">
      <c r="C155" t="str">
        <f t="shared" si="2"/>
        <v/>
      </c>
    </row>
    <row r="156" spans="3:3" x14ac:dyDescent="0.3">
      <c r="C156" t="str">
        <f t="shared" si="2"/>
        <v/>
      </c>
    </row>
    <row r="157" spans="3:3" x14ac:dyDescent="0.3">
      <c r="C157" t="str">
        <f t="shared" si="2"/>
        <v/>
      </c>
    </row>
    <row r="158" spans="3:3" x14ac:dyDescent="0.3">
      <c r="C158" t="str">
        <f t="shared" si="2"/>
        <v/>
      </c>
    </row>
    <row r="159" spans="3:3" x14ac:dyDescent="0.3">
      <c r="C159" t="str">
        <f t="shared" si="2"/>
        <v/>
      </c>
    </row>
    <row r="160" spans="3:3" x14ac:dyDescent="0.3">
      <c r="C160" t="str">
        <f t="shared" si="2"/>
        <v/>
      </c>
    </row>
    <row r="161" spans="3:3" x14ac:dyDescent="0.3">
      <c r="C161" t="str">
        <f t="shared" si="2"/>
        <v/>
      </c>
    </row>
    <row r="162" spans="3:3" x14ac:dyDescent="0.3">
      <c r="C162" t="str">
        <f t="shared" si="2"/>
        <v/>
      </c>
    </row>
    <row r="163" spans="3:3" x14ac:dyDescent="0.3">
      <c r="C163" t="str">
        <f t="shared" si="2"/>
        <v/>
      </c>
    </row>
    <row r="164" spans="3:3" x14ac:dyDescent="0.3">
      <c r="C164" t="str">
        <f t="shared" si="2"/>
        <v/>
      </c>
    </row>
    <row r="165" spans="3:3" x14ac:dyDescent="0.3">
      <c r="C165" t="str">
        <f t="shared" si="2"/>
        <v/>
      </c>
    </row>
    <row r="166" spans="3:3" x14ac:dyDescent="0.3">
      <c r="C166" t="str">
        <f t="shared" si="2"/>
        <v/>
      </c>
    </row>
    <row r="167" spans="3:3" x14ac:dyDescent="0.3">
      <c r="C167" t="str">
        <f t="shared" si="2"/>
        <v/>
      </c>
    </row>
    <row r="168" spans="3:3" x14ac:dyDescent="0.3">
      <c r="C168" t="str">
        <f t="shared" si="2"/>
        <v/>
      </c>
    </row>
    <row r="169" spans="3:3" x14ac:dyDescent="0.3">
      <c r="C169" t="str">
        <f t="shared" si="2"/>
        <v/>
      </c>
    </row>
    <row r="170" spans="3:3" x14ac:dyDescent="0.3">
      <c r="C170" t="str">
        <f t="shared" si="2"/>
        <v/>
      </c>
    </row>
    <row r="171" spans="3:3" x14ac:dyDescent="0.3">
      <c r="C171" t="str">
        <f t="shared" si="2"/>
        <v/>
      </c>
    </row>
    <row r="172" spans="3:3" x14ac:dyDescent="0.3">
      <c r="C172" t="str">
        <f t="shared" si="2"/>
        <v/>
      </c>
    </row>
    <row r="173" spans="3:3" x14ac:dyDescent="0.3">
      <c r="C173" t="str">
        <f t="shared" si="2"/>
        <v/>
      </c>
    </row>
    <row r="174" spans="3:3" x14ac:dyDescent="0.3">
      <c r="C174" t="str">
        <f t="shared" si="2"/>
        <v/>
      </c>
    </row>
    <row r="175" spans="3:3" x14ac:dyDescent="0.3">
      <c r="C175" t="str">
        <f t="shared" si="2"/>
        <v/>
      </c>
    </row>
    <row r="176" spans="3:3" x14ac:dyDescent="0.3">
      <c r="C176" t="str">
        <f t="shared" si="2"/>
        <v/>
      </c>
    </row>
    <row r="177" spans="3:3" x14ac:dyDescent="0.3">
      <c r="C177" t="str">
        <f t="shared" si="2"/>
        <v/>
      </c>
    </row>
    <row r="178" spans="3:3" x14ac:dyDescent="0.3">
      <c r="C178" t="str">
        <f t="shared" si="2"/>
        <v/>
      </c>
    </row>
    <row r="179" spans="3:3" x14ac:dyDescent="0.3">
      <c r="C179" t="str">
        <f t="shared" si="2"/>
        <v/>
      </c>
    </row>
    <row r="180" spans="3:3" x14ac:dyDescent="0.3">
      <c r="C180" t="str">
        <f t="shared" si="2"/>
        <v/>
      </c>
    </row>
    <row r="181" spans="3:3" x14ac:dyDescent="0.3">
      <c r="C181" t="str">
        <f t="shared" si="2"/>
        <v/>
      </c>
    </row>
    <row r="182" spans="3:3" x14ac:dyDescent="0.3">
      <c r="C182" t="str">
        <f t="shared" si="2"/>
        <v/>
      </c>
    </row>
    <row r="183" spans="3:3" x14ac:dyDescent="0.3">
      <c r="C183" t="str">
        <f t="shared" si="2"/>
        <v/>
      </c>
    </row>
    <row r="184" spans="3:3" x14ac:dyDescent="0.3">
      <c r="C184" t="str">
        <f t="shared" si="2"/>
        <v/>
      </c>
    </row>
    <row r="185" spans="3:3" x14ac:dyDescent="0.3">
      <c r="C185" t="str">
        <f t="shared" si="2"/>
        <v/>
      </c>
    </row>
    <row r="186" spans="3:3" x14ac:dyDescent="0.3">
      <c r="C186" t="str">
        <f t="shared" si="2"/>
        <v/>
      </c>
    </row>
    <row r="187" spans="3:3" x14ac:dyDescent="0.3">
      <c r="C187" t="str">
        <f t="shared" si="2"/>
        <v/>
      </c>
    </row>
    <row r="188" spans="3:3" x14ac:dyDescent="0.3">
      <c r="C188" t="str">
        <f t="shared" si="2"/>
        <v/>
      </c>
    </row>
    <row r="189" spans="3:3" x14ac:dyDescent="0.3">
      <c r="C189" t="str">
        <f t="shared" si="2"/>
        <v/>
      </c>
    </row>
    <row r="190" spans="3:3" x14ac:dyDescent="0.3">
      <c r="C190" t="str">
        <f t="shared" si="2"/>
        <v/>
      </c>
    </row>
    <row r="191" spans="3:3" x14ac:dyDescent="0.3">
      <c r="C191" t="str">
        <f t="shared" si="2"/>
        <v/>
      </c>
    </row>
    <row r="192" spans="3:3" x14ac:dyDescent="0.3">
      <c r="C192" t="str">
        <f t="shared" si="2"/>
        <v/>
      </c>
    </row>
    <row r="193" spans="3:3" x14ac:dyDescent="0.3">
      <c r="C193" t="str">
        <f t="shared" si="2"/>
        <v/>
      </c>
    </row>
    <row r="194" spans="3:3" x14ac:dyDescent="0.3">
      <c r="C194" t="str">
        <f t="shared" ref="C194:C257" si="3">IF(A194="","",B194&amp;"-"&amp;TEXT(A194,"000000"))</f>
        <v/>
      </c>
    </row>
    <row r="195" spans="3:3" x14ac:dyDescent="0.3">
      <c r="C195" t="str">
        <f t="shared" si="3"/>
        <v/>
      </c>
    </row>
    <row r="196" spans="3:3" x14ac:dyDescent="0.3">
      <c r="C196" t="str">
        <f t="shared" si="3"/>
        <v/>
      </c>
    </row>
    <row r="197" spans="3:3" x14ac:dyDescent="0.3">
      <c r="C197" t="str">
        <f t="shared" si="3"/>
        <v/>
      </c>
    </row>
    <row r="198" spans="3:3" x14ac:dyDescent="0.3">
      <c r="C198" t="str">
        <f t="shared" si="3"/>
        <v/>
      </c>
    </row>
    <row r="199" spans="3:3" x14ac:dyDescent="0.3">
      <c r="C199" t="str">
        <f t="shared" si="3"/>
        <v/>
      </c>
    </row>
    <row r="200" spans="3:3" x14ac:dyDescent="0.3">
      <c r="C200" t="str">
        <f t="shared" si="3"/>
        <v/>
      </c>
    </row>
    <row r="201" spans="3:3" x14ac:dyDescent="0.3">
      <c r="C201" t="str">
        <f t="shared" si="3"/>
        <v/>
      </c>
    </row>
    <row r="202" spans="3:3" x14ac:dyDescent="0.3">
      <c r="C202" t="str">
        <f t="shared" si="3"/>
        <v/>
      </c>
    </row>
    <row r="203" spans="3:3" x14ac:dyDescent="0.3">
      <c r="C203" t="str">
        <f t="shared" si="3"/>
        <v/>
      </c>
    </row>
    <row r="204" spans="3:3" x14ac:dyDescent="0.3">
      <c r="C204" t="str">
        <f t="shared" si="3"/>
        <v/>
      </c>
    </row>
    <row r="205" spans="3:3" x14ac:dyDescent="0.3">
      <c r="C205" t="str">
        <f t="shared" si="3"/>
        <v/>
      </c>
    </row>
    <row r="206" spans="3:3" x14ac:dyDescent="0.3">
      <c r="C206" t="str">
        <f t="shared" si="3"/>
        <v/>
      </c>
    </row>
    <row r="207" spans="3:3" x14ac:dyDescent="0.3">
      <c r="C207" t="str">
        <f t="shared" si="3"/>
        <v/>
      </c>
    </row>
    <row r="208" spans="3:3" x14ac:dyDescent="0.3">
      <c r="C208" t="str">
        <f t="shared" si="3"/>
        <v/>
      </c>
    </row>
    <row r="209" spans="3:3" x14ac:dyDescent="0.3">
      <c r="C209" t="str">
        <f t="shared" si="3"/>
        <v/>
      </c>
    </row>
    <row r="210" spans="3:3" x14ac:dyDescent="0.3">
      <c r="C210" t="str">
        <f t="shared" si="3"/>
        <v/>
      </c>
    </row>
    <row r="211" spans="3:3" x14ac:dyDescent="0.3">
      <c r="C211" t="str">
        <f t="shared" si="3"/>
        <v/>
      </c>
    </row>
    <row r="212" spans="3:3" x14ac:dyDescent="0.3">
      <c r="C212" t="str">
        <f t="shared" si="3"/>
        <v/>
      </c>
    </row>
    <row r="213" spans="3:3" x14ac:dyDescent="0.3">
      <c r="C213" t="str">
        <f t="shared" si="3"/>
        <v/>
      </c>
    </row>
    <row r="214" spans="3:3" x14ac:dyDescent="0.3">
      <c r="C214" t="str">
        <f t="shared" si="3"/>
        <v/>
      </c>
    </row>
    <row r="215" spans="3:3" x14ac:dyDescent="0.3">
      <c r="C215" t="str">
        <f t="shared" si="3"/>
        <v/>
      </c>
    </row>
    <row r="216" spans="3:3" x14ac:dyDescent="0.3">
      <c r="C216" t="str">
        <f t="shared" si="3"/>
        <v/>
      </c>
    </row>
    <row r="217" spans="3:3" x14ac:dyDescent="0.3">
      <c r="C217" t="str">
        <f t="shared" si="3"/>
        <v/>
      </c>
    </row>
    <row r="218" spans="3:3" x14ac:dyDescent="0.3">
      <c r="C218" t="str">
        <f t="shared" si="3"/>
        <v/>
      </c>
    </row>
    <row r="219" spans="3:3" x14ac:dyDescent="0.3">
      <c r="C219" t="str">
        <f t="shared" si="3"/>
        <v/>
      </c>
    </row>
    <row r="220" spans="3:3" x14ac:dyDescent="0.3">
      <c r="C220" t="str">
        <f t="shared" si="3"/>
        <v/>
      </c>
    </row>
    <row r="221" spans="3:3" x14ac:dyDescent="0.3">
      <c r="C221" t="str">
        <f t="shared" si="3"/>
        <v/>
      </c>
    </row>
    <row r="222" spans="3:3" x14ac:dyDescent="0.3">
      <c r="C222" t="str">
        <f t="shared" si="3"/>
        <v/>
      </c>
    </row>
    <row r="223" spans="3:3" x14ac:dyDescent="0.3">
      <c r="C223" t="str">
        <f t="shared" si="3"/>
        <v/>
      </c>
    </row>
    <row r="224" spans="3:3" x14ac:dyDescent="0.3">
      <c r="C224" t="str">
        <f t="shared" si="3"/>
        <v/>
      </c>
    </row>
    <row r="225" spans="3:3" x14ac:dyDescent="0.3">
      <c r="C225" t="str">
        <f t="shared" si="3"/>
        <v/>
      </c>
    </row>
    <row r="226" spans="3:3" x14ac:dyDescent="0.3">
      <c r="C226" t="str">
        <f t="shared" si="3"/>
        <v/>
      </c>
    </row>
    <row r="227" spans="3:3" x14ac:dyDescent="0.3">
      <c r="C227" t="str">
        <f t="shared" si="3"/>
        <v/>
      </c>
    </row>
    <row r="228" spans="3:3" x14ac:dyDescent="0.3">
      <c r="C228" t="str">
        <f t="shared" si="3"/>
        <v/>
      </c>
    </row>
    <row r="229" spans="3:3" x14ac:dyDescent="0.3">
      <c r="C229" t="str">
        <f t="shared" si="3"/>
        <v/>
      </c>
    </row>
    <row r="230" spans="3:3" x14ac:dyDescent="0.3">
      <c r="C230" t="str">
        <f t="shared" si="3"/>
        <v/>
      </c>
    </row>
    <row r="231" spans="3:3" x14ac:dyDescent="0.3">
      <c r="C231" t="str">
        <f t="shared" si="3"/>
        <v/>
      </c>
    </row>
    <row r="232" spans="3:3" x14ac:dyDescent="0.3">
      <c r="C232" t="str">
        <f t="shared" si="3"/>
        <v/>
      </c>
    </row>
    <row r="233" spans="3:3" x14ac:dyDescent="0.3">
      <c r="C233" t="str">
        <f t="shared" si="3"/>
        <v/>
      </c>
    </row>
    <row r="234" spans="3:3" x14ac:dyDescent="0.3">
      <c r="C234" t="str">
        <f t="shared" si="3"/>
        <v/>
      </c>
    </row>
    <row r="235" spans="3:3" x14ac:dyDescent="0.3">
      <c r="C235" t="str">
        <f t="shared" si="3"/>
        <v/>
      </c>
    </row>
    <row r="236" spans="3:3" x14ac:dyDescent="0.3">
      <c r="C236" t="str">
        <f t="shared" si="3"/>
        <v/>
      </c>
    </row>
    <row r="237" spans="3:3" x14ac:dyDescent="0.3">
      <c r="C237" t="str">
        <f t="shared" si="3"/>
        <v/>
      </c>
    </row>
    <row r="238" spans="3:3" x14ac:dyDescent="0.3">
      <c r="C238" t="str">
        <f t="shared" si="3"/>
        <v/>
      </c>
    </row>
    <row r="239" spans="3:3" x14ac:dyDescent="0.3">
      <c r="C239" t="str">
        <f t="shared" si="3"/>
        <v/>
      </c>
    </row>
    <row r="240" spans="3:3" x14ac:dyDescent="0.3">
      <c r="C240" t="str">
        <f t="shared" si="3"/>
        <v/>
      </c>
    </row>
    <row r="241" spans="3:3" x14ac:dyDescent="0.3">
      <c r="C241" t="str">
        <f t="shared" si="3"/>
        <v/>
      </c>
    </row>
    <row r="242" spans="3:3" x14ac:dyDescent="0.3">
      <c r="C242" t="str">
        <f t="shared" si="3"/>
        <v/>
      </c>
    </row>
    <row r="243" spans="3:3" x14ac:dyDescent="0.3">
      <c r="C243" t="str">
        <f t="shared" si="3"/>
        <v/>
      </c>
    </row>
    <row r="244" spans="3:3" x14ac:dyDescent="0.3">
      <c r="C244" t="str">
        <f t="shared" si="3"/>
        <v/>
      </c>
    </row>
    <row r="245" spans="3:3" x14ac:dyDescent="0.3">
      <c r="C245" t="str">
        <f t="shared" si="3"/>
        <v/>
      </c>
    </row>
    <row r="246" spans="3:3" x14ac:dyDescent="0.3">
      <c r="C246" t="str">
        <f t="shared" si="3"/>
        <v/>
      </c>
    </row>
    <row r="247" spans="3:3" x14ac:dyDescent="0.3">
      <c r="C247" t="str">
        <f t="shared" si="3"/>
        <v/>
      </c>
    </row>
    <row r="248" spans="3:3" x14ac:dyDescent="0.3">
      <c r="C248" t="str">
        <f t="shared" si="3"/>
        <v/>
      </c>
    </row>
    <row r="249" spans="3:3" x14ac:dyDescent="0.3">
      <c r="C249" t="str">
        <f t="shared" si="3"/>
        <v/>
      </c>
    </row>
    <row r="250" spans="3:3" x14ac:dyDescent="0.3">
      <c r="C250" t="str">
        <f t="shared" si="3"/>
        <v/>
      </c>
    </row>
    <row r="251" spans="3:3" x14ac:dyDescent="0.3">
      <c r="C251" t="str">
        <f t="shared" si="3"/>
        <v/>
      </c>
    </row>
    <row r="252" spans="3:3" x14ac:dyDescent="0.3">
      <c r="C252" t="str">
        <f t="shared" si="3"/>
        <v/>
      </c>
    </row>
    <row r="253" spans="3:3" x14ac:dyDescent="0.3">
      <c r="C253" t="str">
        <f t="shared" si="3"/>
        <v/>
      </c>
    </row>
    <row r="254" spans="3:3" x14ac:dyDescent="0.3">
      <c r="C254" t="str">
        <f t="shared" si="3"/>
        <v/>
      </c>
    </row>
    <row r="255" spans="3:3" x14ac:dyDescent="0.3">
      <c r="C255" t="str">
        <f t="shared" si="3"/>
        <v/>
      </c>
    </row>
    <row r="256" spans="3:3" x14ac:dyDescent="0.3">
      <c r="C256" t="str">
        <f t="shared" si="3"/>
        <v/>
      </c>
    </row>
    <row r="257" spans="3:3" x14ac:dyDescent="0.3">
      <c r="C257" t="str">
        <f t="shared" si="3"/>
        <v/>
      </c>
    </row>
    <row r="258" spans="3:3" x14ac:dyDescent="0.3">
      <c r="C258" t="str">
        <f t="shared" ref="C258:C321" si="4">IF(A258="","",B258&amp;"-"&amp;TEXT(A258,"000000"))</f>
        <v/>
      </c>
    </row>
    <row r="259" spans="3:3" x14ac:dyDescent="0.3">
      <c r="C259" t="str">
        <f t="shared" si="4"/>
        <v/>
      </c>
    </row>
    <row r="260" spans="3:3" x14ac:dyDescent="0.3">
      <c r="C260" t="str">
        <f t="shared" si="4"/>
        <v/>
      </c>
    </row>
    <row r="261" spans="3:3" x14ac:dyDescent="0.3">
      <c r="C261" t="str">
        <f t="shared" si="4"/>
        <v/>
      </c>
    </row>
    <row r="262" spans="3:3" x14ac:dyDescent="0.3">
      <c r="C262" t="str">
        <f t="shared" si="4"/>
        <v/>
      </c>
    </row>
    <row r="263" spans="3:3" x14ac:dyDescent="0.3">
      <c r="C263" t="str">
        <f t="shared" si="4"/>
        <v/>
      </c>
    </row>
    <row r="264" spans="3:3" x14ac:dyDescent="0.3">
      <c r="C264" t="str">
        <f t="shared" si="4"/>
        <v/>
      </c>
    </row>
    <row r="265" spans="3:3" x14ac:dyDescent="0.3">
      <c r="C265" t="str">
        <f t="shared" si="4"/>
        <v/>
      </c>
    </row>
    <row r="266" spans="3:3" x14ac:dyDescent="0.3">
      <c r="C266" t="str">
        <f t="shared" si="4"/>
        <v/>
      </c>
    </row>
    <row r="267" spans="3:3" x14ac:dyDescent="0.3">
      <c r="C267" t="str">
        <f t="shared" si="4"/>
        <v/>
      </c>
    </row>
    <row r="268" spans="3:3" x14ac:dyDescent="0.3">
      <c r="C268" t="str">
        <f t="shared" si="4"/>
        <v/>
      </c>
    </row>
    <row r="269" spans="3:3" x14ac:dyDescent="0.3">
      <c r="C269" t="str">
        <f t="shared" si="4"/>
        <v/>
      </c>
    </row>
    <row r="270" spans="3:3" x14ac:dyDescent="0.3">
      <c r="C270" t="str">
        <f t="shared" si="4"/>
        <v/>
      </c>
    </row>
    <row r="271" spans="3:3" x14ac:dyDescent="0.3">
      <c r="C271" t="str">
        <f t="shared" si="4"/>
        <v/>
      </c>
    </row>
    <row r="272" spans="3:3" x14ac:dyDescent="0.3">
      <c r="C272" t="str">
        <f t="shared" si="4"/>
        <v/>
      </c>
    </row>
    <row r="273" spans="3:3" x14ac:dyDescent="0.3">
      <c r="C273" t="str">
        <f t="shared" si="4"/>
        <v/>
      </c>
    </row>
    <row r="274" spans="3:3" x14ac:dyDescent="0.3">
      <c r="C274" t="str">
        <f t="shared" si="4"/>
        <v/>
      </c>
    </row>
    <row r="275" spans="3:3" x14ac:dyDescent="0.3">
      <c r="C275" t="str">
        <f t="shared" si="4"/>
        <v/>
      </c>
    </row>
    <row r="276" spans="3:3" x14ac:dyDescent="0.3">
      <c r="C276" t="str">
        <f t="shared" si="4"/>
        <v/>
      </c>
    </row>
    <row r="277" spans="3:3" x14ac:dyDescent="0.3">
      <c r="C277" t="str">
        <f t="shared" si="4"/>
        <v/>
      </c>
    </row>
    <row r="278" spans="3:3" x14ac:dyDescent="0.3">
      <c r="C278" t="str">
        <f t="shared" si="4"/>
        <v/>
      </c>
    </row>
    <row r="279" spans="3:3" x14ac:dyDescent="0.3">
      <c r="C279" t="str">
        <f t="shared" si="4"/>
        <v/>
      </c>
    </row>
    <row r="280" spans="3:3" x14ac:dyDescent="0.3">
      <c r="C280" t="str">
        <f t="shared" si="4"/>
        <v/>
      </c>
    </row>
    <row r="281" spans="3:3" x14ac:dyDescent="0.3">
      <c r="C281" t="str">
        <f t="shared" si="4"/>
        <v/>
      </c>
    </row>
    <row r="282" spans="3:3" x14ac:dyDescent="0.3">
      <c r="C282" t="str">
        <f t="shared" si="4"/>
        <v/>
      </c>
    </row>
    <row r="283" spans="3:3" x14ac:dyDescent="0.3">
      <c r="C283" t="str">
        <f t="shared" si="4"/>
        <v/>
      </c>
    </row>
    <row r="284" spans="3:3" x14ac:dyDescent="0.3">
      <c r="C284" t="str">
        <f t="shared" si="4"/>
        <v/>
      </c>
    </row>
    <row r="285" spans="3:3" x14ac:dyDescent="0.3">
      <c r="C285" t="str">
        <f t="shared" si="4"/>
        <v/>
      </c>
    </row>
    <row r="286" spans="3:3" x14ac:dyDescent="0.3">
      <c r="C286" t="str">
        <f t="shared" si="4"/>
        <v/>
      </c>
    </row>
    <row r="287" spans="3:3" x14ac:dyDescent="0.3">
      <c r="C287" t="str">
        <f t="shared" si="4"/>
        <v/>
      </c>
    </row>
    <row r="288" spans="3:3" x14ac:dyDescent="0.3">
      <c r="C288" t="str">
        <f t="shared" si="4"/>
        <v/>
      </c>
    </row>
    <row r="289" spans="3:3" x14ac:dyDescent="0.3">
      <c r="C289" t="str">
        <f t="shared" si="4"/>
        <v/>
      </c>
    </row>
    <row r="290" spans="3:3" x14ac:dyDescent="0.3">
      <c r="C290" t="str">
        <f t="shared" si="4"/>
        <v/>
      </c>
    </row>
    <row r="291" spans="3:3" x14ac:dyDescent="0.3">
      <c r="C291" t="str">
        <f t="shared" si="4"/>
        <v/>
      </c>
    </row>
    <row r="292" spans="3:3" x14ac:dyDescent="0.3">
      <c r="C292" t="str">
        <f t="shared" si="4"/>
        <v/>
      </c>
    </row>
    <row r="293" spans="3:3" x14ac:dyDescent="0.3">
      <c r="C293" t="str">
        <f t="shared" si="4"/>
        <v/>
      </c>
    </row>
    <row r="294" spans="3:3" x14ac:dyDescent="0.3">
      <c r="C294" t="str">
        <f t="shared" si="4"/>
        <v/>
      </c>
    </row>
    <row r="295" spans="3:3" x14ac:dyDescent="0.3">
      <c r="C295" t="str">
        <f t="shared" si="4"/>
        <v/>
      </c>
    </row>
    <row r="296" spans="3:3" x14ac:dyDescent="0.3">
      <c r="C296" t="str">
        <f t="shared" si="4"/>
        <v/>
      </c>
    </row>
    <row r="297" spans="3:3" x14ac:dyDescent="0.3">
      <c r="C297" t="str">
        <f t="shared" si="4"/>
        <v/>
      </c>
    </row>
    <row r="298" spans="3:3" x14ac:dyDescent="0.3">
      <c r="C298" t="str">
        <f t="shared" si="4"/>
        <v/>
      </c>
    </row>
    <row r="299" spans="3:3" x14ac:dyDescent="0.3">
      <c r="C299" t="str">
        <f t="shared" si="4"/>
        <v/>
      </c>
    </row>
    <row r="300" spans="3:3" x14ac:dyDescent="0.3">
      <c r="C300" t="str">
        <f t="shared" si="4"/>
        <v/>
      </c>
    </row>
    <row r="301" spans="3:3" x14ac:dyDescent="0.3">
      <c r="C301" t="str">
        <f t="shared" si="4"/>
        <v/>
      </c>
    </row>
    <row r="302" spans="3:3" x14ac:dyDescent="0.3">
      <c r="C302" t="str">
        <f t="shared" si="4"/>
        <v/>
      </c>
    </row>
    <row r="303" spans="3:3" x14ac:dyDescent="0.3">
      <c r="C303" t="str">
        <f t="shared" si="4"/>
        <v/>
      </c>
    </row>
    <row r="304" spans="3:3" x14ac:dyDescent="0.3">
      <c r="C304" t="str">
        <f t="shared" si="4"/>
        <v/>
      </c>
    </row>
    <row r="305" spans="3:3" x14ac:dyDescent="0.3">
      <c r="C305" t="str">
        <f t="shared" si="4"/>
        <v/>
      </c>
    </row>
    <row r="306" spans="3:3" x14ac:dyDescent="0.3">
      <c r="C306" t="str">
        <f t="shared" si="4"/>
        <v/>
      </c>
    </row>
    <row r="307" spans="3:3" x14ac:dyDescent="0.3">
      <c r="C307" t="str">
        <f t="shared" si="4"/>
        <v/>
      </c>
    </row>
    <row r="308" spans="3:3" x14ac:dyDescent="0.3">
      <c r="C308" t="str">
        <f t="shared" si="4"/>
        <v/>
      </c>
    </row>
    <row r="309" spans="3:3" x14ac:dyDescent="0.3">
      <c r="C309" t="str">
        <f t="shared" si="4"/>
        <v/>
      </c>
    </row>
    <row r="310" spans="3:3" x14ac:dyDescent="0.3">
      <c r="C310" t="str">
        <f t="shared" si="4"/>
        <v/>
      </c>
    </row>
    <row r="311" spans="3:3" x14ac:dyDescent="0.3">
      <c r="C311" t="str">
        <f t="shared" si="4"/>
        <v/>
      </c>
    </row>
    <row r="312" spans="3:3" x14ac:dyDescent="0.3">
      <c r="C312" t="str">
        <f t="shared" si="4"/>
        <v/>
      </c>
    </row>
    <row r="313" spans="3:3" x14ac:dyDescent="0.3">
      <c r="C313" t="str">
        <f t="shared" si="4"/>
        <v/>
      </c>
    </row>
    <row r="314" spans="3:3" x14ac:dyDescent="0.3">
      <c r="C314" t="str">
        <f t="shared" si="4"/>
        <v/>
      </c>
    </row>
    <row r="315" spans="3:3" x14ac:dyDescent="0.3">
      <c r="C315" t="str">
        <f t="shared" si="4"/>
        <v/>
      </c>
    </row>
    <row r="316" spans="3:3" x14ac:dyDescent="0.3">
      <c r="C316" t="str">
        <f t="shared" si="4"/>
        <v/>
      </c>
    </row>
    <row r="317" spans="3:3" x14ac:dyDescent="0.3">
      <c r="C317" t="str">
        <f t="shared" si="4"/>
        <v/>
      </c>
    </row>
    <row r="318" spans="3:3" x14ac:dyDescent="0.3">
      <c r="C318" t="str">
        <f t="shared" si="4"/>
        <v/>
      </c>
    </row>
    <row r="319" spans="3:3" x14ac:dyDescent="0.3">
      <c r="C319" t="str">
        <f t="shared" si="4"/>
        <v/>
      </c>
    </row>
    <row r="320" spans="3:3" x14ac:dyDescent="0.3">
      <c r="C320" t="str">
        <f t="shared" si="4"/>
        <v/>
      </c>
    </row>
    <row r="321" spans="3:3" x14ac:dyDescent="0.3">
      <c r="C321" t="str">
        <f t="shared" si="4"/>
        <v/>
      </c>
    </row>
    <row r="322" spans="3:3" x14ac:dyDescent="0.3">
      <c r="C322" t="str">
        <f t="shared" ref="C322:C385" si="5">IF(A322="","",B322&amp;"-"&amp;TEXT(A322,"000000"))</f>
        <v/>
      </c>
    </row>
    <row r="323" spans="3:3" x14ac:dyDescent="0.3">
      <c r="C323" t="str">
        <f t="shared" si="5"/>
        <v/>
      </c>
    </row>
    <row r="324" spans="3:3" x14ac:dyDescent="0.3">
      <c r="C324" t="str">
        <f t="shared" si="5"/>
        <v/>
      </c>
    </row>
    <row r="325" spans="3:3" x14ac:dyDescent="0.3">
      <c r="C325" t="str">
        <f t="shared" si="5"/>
        <v/>
      </c>
    </row>
    <row r="326" spans="3:3" x14ac:dyDescent="0.3">
      <c r="C326" t="str">
        <f t="shared" si="5"/>
        <v/>
      </c>
    </row>
    <row r="327" spans="3:3" x14ac:dyDescent="0.3">
      <c r="C327" t="str">
        <f t="shared" si="5"/>
        <v/>
      </c>
    </row>
    <row r="328" spans="3:3" x14ac:dyDescent="0.3">
      <c r="C328" t="str">
        <f t="shared" si="5"/>
        <v/>
      </c>
    </row>
    <row r="329" spans="3:3" x14ac:dyDescent="0.3">
      <c r="C329" t="str">
        <f t="shared" si="5"/>
        <v/>
      </c>
    </row>
    <row r="330" spans="3:3" x14ac:dyDescent="0.3">
      <c r="C330" t="str">
        <f t="shared" si="5"/>
        <v/>
      </c>
    </row>
    <row r="331" spans="3:3" x14ac:dyDescent="0.3">
      <c r="C331" t="str">
        <f t="shared" si="5"/>
        <v/>
      </c>
    </row>
    <row r="332" spans="3:3" x14ac:dyDescent="0.3">
      <c r="C332" t="str">
        <f t="shared" si="5"/>
        <v/>
      </c>
    </row>
    <row r="333" spans="3:3" x14ac:dyDescent="0.3">
      <c r="C333" t="str">
        <f t="shared" si="5"/>
        <v/>
      </c>
    </row>
    <row r="334" spans="3:3" x14ac:dyDescent="0.3">
      <c r="C334" t="str">
        <f t="shared" si="5"/>
        <v/>
      </c>
    </row>
    <row r="335" spans="3:3" x14ac:dyDescent="0.3">
      <c r="C335" t="str">
        <f t="shared" si="5"/>
        <v/>
      </c>
    </row>
    <row r="336" spans="3:3" x14ac:dyDescent="0.3">
      <c r="C336" t="str">
        <f t="shared" si="5"/>
        <v/>
      </c>
    </row>
    <row r="337" spans="3:3" x14ac:dyDescent="0.3">
      <c r="C337" t="str">
        <f t="shared" si="5"/>
        <v/>
      </c>
    </row>
    <row r="338" spans="3:3" x14ac:dyDescent="0.3">
      <c r="C338" t="str">
        <f t="shared" si="5"/>
        <v/>
      </c>
    </row>
    <row r="339" spans="3:3" x14ac:dyDescent="0.3">
      <c r="C339" t="str">
        <f t="shared" si="5"/>
        <v/>
      </c>
    </row>
    <row r="340" spans="3:3" x14ac:dyDescent="0.3">
      <c r="C340" t="str">
        <f t="shared" si="5"/>
        <v/>
      </c>
    </row>
    <row r="341" spans="3:3" x14ac:dyDescent="0.3">
      <c r="C341" t="str">
        <f t="shared" si="5"/>
        <v/>
      </c>
    </row>
    <row r="342" spans="3:3" x14ac:dyDescent="0.3">
      <c r="C342" t="str">
        <f t="shared" si="5"/>
        <v/>
      </c>
    </row>
    <row r="343" spans="3:3" x14ac:dyDescent="0.3">
      <c r="C343" t="str">
        <f t="shared" si="5"/>
        <v/>
      </c>
    </row>
    <row r="344" spans="3:3" x14ac:dyDescent="0.3">
      <c r="C344" t="str">
        <f t="shared" si="5"/>
        <v/>
      </c>
    </row>
    <row r="345" spans="3:3" x14ac:dyDescent="0.3">
      <c r="C345" t="str">
        <f t="shared" si="5"/>
        <v/>
      </c>
    </row>
    <row r="346" spans="3:3" x14ac:dyDescent="0.3">
      <c r="C346" t="str">
        <f t="shared" si="5"/>
        <v/>
      </c>
    </row>
    <row r="347" spans="3:3" x14ac:dyDescent="0.3">
      <c r="C347" t="str">
        <f t="shared" si="5"/>
        <v/>
      </c>
    </row>
    <row r="348" spans="3:3" x14ac:dyDescent="0.3">
      <c r="C348" t="str">
        <f t="shared" si="5"/>
        <v/>
      </c>
    </row>
    <row r="349" spans="3:3" x14ac:dyDescent="0.3">
      <c r="C349" t="str">
        <f t="shared" si="5"/>
        <v/>
      </c>
    </row>
    <row r="350" spans="3:3" x14ac:dyDescent="0.3">
      <c r="C350" t="str">
        <f t="shared" si="5"/>
        <v/>
      </c>
    </row>
    <row r="351" spans="3:3" x14ac:dyDescent="0.3">
      <c r="C351" t="str">
        <f t="shared" si="5"/>
        <v/>
      </c>
    </row>
    <row r="352" spans="3:3" x14ac:dyDescent="0.3">
      <c r="C352" t="str">
        <f t="shared" si="5"/>
        <v/>
      </c>
    </row>
    <row r="353" spans="3:3" x14ac:dyDescent="0.3">
      <c r="C353" t="str">
        <f t="shared" si="5"/>
        <v/>
      </c>
    </row>
    <row r="354" spans="3:3" x14ac:dyDescent="0.3">
      <c r="C354" t="str">
        <f t="shared" si="5"/>
        <v/>
      </c>
    </row>
    <row r="355" spans="3:3" x14ac:dyDescent="0.3">
      <c r="C355" t="str">
        <f t="shared" si="5"/>
        <v/>
      </c>
    </row>
    <row r="356" spans="3:3" x14ac:dyDescent="0.3">
      <c r="C356" t="str">
        <f t="shared" si="5"/>
        <v/>
      </c>
    </row>
    <row r="357" spans="3:3" x14ac:dyDescent="0.3">
      <c r="C357" t="str">
        <f t="shared" si="5"/>
        <v/>
      </c>
    </row>
    <row r="358" spans="3:3" x14ac:dyDescent="0.3">
      <c r="C358" t="str">
        <f t="shared" si="5"/>
        <v/>
      </c>
    </row>
    <row r="359" spans="3:3" x14ac:dyDescent="0.3">
      <c r="C359" t="str">
        <f t="shared" si="5"/>
        <v/>
      </c>
    </row>
    <row r="360" spans="3:3" x14ac:dyDescent="0.3">
      <c r="C360" t="str">
        <f t="shared" si="5"/>
        <v/>
      </c>
    </row>
    <row r="361" spans="3:3" x14ac:dyDescent="0.3">
      <c r="C361" t="str">
        <f t="shared" si="5"/>
        <v/>
      </c>
    </row>
    <row r="362" spans="3:3" x14ac:dyDescent="0.3">
      <c r="C362" t="str">
        <f t="shared" si="5"/>
        <v/>
      </c>
    </row>
    <row r="363" spans="3:3" x14ac:dyDescent="0.3">
      <c r="C363" t="str">
        <f t="shared" si="5"/>
        <v/>
      </c>
    </row>
    <row r="364" spans="3:3" x14ac:dyDescent="0.3">
      <c r="C364" t="str">
        <f t="shared" si="5"/>
        <v/>
      </c>
    </row>
    <row r="365" spans="3:3" x14ac:dyDescent="0.3">
      <c r="C365" t="str">
        <f t="shared" si="5"/>
        <v/>
      </c>
    </row>
    <row r="366" spans="3:3" x14ac:dyDescent="0.3">
      <c r="C366" t="str">
        <f t="shared" si="5"/>
        <v/>
      </c>
    </row>
    <row r="367" spans="3:3" x14ac:dyDescent="0.3">
      <c r="C367" t="str">
        <f t="shared" si="5"/>
        <v/>
      </c>
    </row>
    <row r="368" spans="3:3" x14ac:dyDescent="0.3">
      <c r="C368" t="str">
        <f t="shared" si="5"/>
        <v/>
      </c>
    </row>
    <row r="369" spans="3:3" x14ac:dyDescent="0.3">
      <c r="C369" t="str">
        <f t="shared" si="5"/>
        <v/>
      </c>
    </row>
    <row r="370" spans="3:3" x14ac:dyDescent="0.3">
      <c r="C370" t="str">
        <f t="shared" si="5"/>
        <v/>
      </c>
    </row>
    <row r="371" spans="3:3" x14ac:dyDescent="0.3">
      <c r="C371" t="str">
        <f t="shared" si="5"/>
        <v/>
      </c>
    </row>
    <row r="372" spans="3:3" x14ac:dyDescent="0.3">
      <c r="C372" t="str">
        <f t="shared" si="5"/>
        <v/>
      </c>
    </row>
    <row r="373" spans="3:3" x14ac:dyDescent="0.3">
      <c r="C373" t="str">
        <f t="shared" si="5"/>
        <v/>
      </c>
    </row>
    <row r="374" spans="3:3" x14ac:dyDescent="0.3">
      <c r="C374" t="str">
        <f t="shared" si="5"/>
        <v/>
      </c>
    </row>
    <row r="375" spans="3:3" x14ac:dyDescent="0.3">
      <c r="C375" t="str">
        <f t="shared" si="5"/>
        <v/>
      </c>
    </row>
    <row r="376" spans="3:3" x14ac:dyDescent="0.3">
      <c r="C376" t="str">
        <f t="shared" si="5"/>
        <v/>
      </c>
    </row>
    <row r="377" spans="3:3" x14ac:dyDescent="0.3">
      <c r="C377" t="str">
        <f t="shared" si="5"/>
        <v/>
      </c>
    </row>
    <row r="378" spans="3:3" x14ac:dyDescent="0.3">
      <c r="C378" t="str">
        <f t="shared" si="5"/>
        <v/>
      </c>
    </row>
    <row r="379" spans="3:3" x14ac:dyDescent="0.3">
      <c r="C379" t="str">
        <f t="shared" si="5"/>
        <v/>
      </c>
    </row>
    <row r="380" spans="3:3" x14ac:dyDescent="0.3">
      <c r="C380" t="str">
        <f t="shared" si="5"/>
        <v/>
      </c>
    </row>
    <row r="381" spans="3:3" x14ac:dyDescent="0.3">
      <c r="C381" t="str">
        <f t="shared" si="5"/>
        <v/>
      </c>
    </row>
    <row r="382" spans="3:3" x14ac:dyDescent="0.3">
      <c r="C382" t="str">
        <f t="shared" si="5"/>
        <v/>
      </c>
    </row>
    <row r="383" spans="3:3" x14ac:dyDescent="0.3">
      <c r="C383" t="str">
        <f t="shared" si="5"/>
        <v/>
      </c>
    </row>
    <row r="384" spans="3:3" x14ac:dyDescent="0.3">
      <c r="C384" t="str">
        <f t="shared" si="5"/>
        <v/>
      </c>
    </row>
    <row r="385" spans="3:3" x14ac:dyDescent="0.3">
      <c r="C385" t="str">
        <f t="shared" si="5"/>
        <v/>
      </c>
    </row>
    <row r="386" spans="3:3" x14ac:dyDescent="0.3">
      <c r="C386" t="str">
        <f t="shared" ref="C386:C449" si="6">IF(A386="","",B386&amp;"-"&amp;TEXT(A386,"000000"))</f>
        <v/>
      </c>
    </row>
    <row r="387" spans="3:3" x14ac:dyDescent="0.3">
      <c r="C387" t="str">
        <f t="shared" si="6"/>
        <v/>
      </c>
    </row>
    <row r="388" spans="3:3" x14ac:dyDescent="0.3">
      <c r="C388" t="str">
        <f t="shared" si="6"/>
        <v/>
      </c>
    </row>
    <row r="389" spans="3:3" x14ac:dyDescent="0.3">
      <c r="C389" t="str">
        <f t="shared" si="6"/>
        <v/>
      </c>
    </row>
    <row r="390" spans="3:3" x14ac:dyDescent="0.3">
      <c r="C390" t="str">
        <f t="shared" si="6"/>
        <v/>
      </c>
    </row>
    <row r="391" spans="3:3" x14ac:dyDescent="0.3">
      <c r="C391" t="str">
        <f t="shared" si="6"/>
        <v/>
      </c>
    </row>
    <row r="392" spans="3:3" x14ac:dyDescent="0.3">
      <c r="C392" t="str">
        <f t="shared" si="6"/>
        <v/>
      </c>
    </row>
    <row r="393" spans="3:3" x14ac:dyDescent="0.3">
      <c r="C393" t="str">
        <f t="shared" si="6"/>
        <v/>
      </c>
    </row>
    <row r="394" spans="3:3" x14ac:dyDescent="0.3">
      <c r="C394" t="str">
        <f t="shared" si="6"/>
        <v/>
      </c>
    </row>
    <row r="395" spans="3:3" x14ac:dyDescent="0.3">
      <c r="C395" t="str">
        <f t="shared" si="6"/>
        <v/>
      </c>
    </row>
    <row r="396" spans="3:3" x14ac:dyDescent="0.3">
      <c r="C396" t="str">
        <f t="shared" si="6"/>
        <v/>
      </c>
    </row>
    <row r="397" spans="3:3" x14ac:dyDescent="0.3">
      <c r="C397" t="str">
        <f t="shared" si="6"/>
        <v/>
      </c>
    </row>
    <row r="398" spans="3:3" x14ac:dyDescent="0.3">
      <c r="C398" t="str">
        <f t="shared" si="6"/>
        <v/>
      </c>
    </row>
    <row r="399" spans="3:3" x14ac:dyDescent="0.3">
      <c r="C399" t="str">
        <f t="shared" si="6"/>
        <v/>
      </c>
    </row>
    <row r="400" spans="3:3" x14ac:dyDescent="0.3">
      <c r="C400" t="str">
        <f t="shared" si="6"/>
        <v/>
      </c>
    </row>
    <row r="401" spans="3:3" x14ac:dyDescent="0.3">
      <c r="C401" t="str">
        <f t="shared" si="6"/>
        <v/>
      </c>
    </row>
    <row r="402" spans="3:3" x14ac:dyDescent="0.3">
      <c r="C402" t="str">
        <f t="shared" si="6"/>
        <v/>
      </c>
    </row>
    <row r="403" spans="3:3" x14ac:dyDescent="0.3">
      <c r="C403" t="str">
        <f t="shared" si="6"/>
        <v/>
      </c>
    </row>
    <row r="404" spans="3:3" x14ac:dyDescent="0.3">
      <c r="C404" t="str">
        <f t="shared" si="6"/>
        <v/>
      </c>
    </row>
    <row r="405" spans="3:3" x14ac:dyDescent="0.3">
      <c r="C405" t="str">
        <f t="shared" si="6"/>
        <v/>
      </c>
    </row>
    <row r="406" spans="3:3" x14ac:dyDescent="0.3">
      <c r="C406" t="str">
        <f t="shared" si="6"/>
        <v/>
      </c>
    </row>
    <row r="407" spans="3:3" x14ac:dyDescent="0.3">
      <c r="C407" t="str">
        <f t="shared" si="6"/>
        <v/>
      </c>
    </row>
    <row r="408" spans="3:3" x14ac:dyDescent="0.3">
      <c r="C408" t="str">
        <f t="shared" si="6"/>
        <v/>
      </c>
    </row>
    <row r="409" spans="3:3" x14ac:dyDescent="0.3">
      <c r="C409" t="str">
        <f t="shared" si="6"/>
        <v/>
      </c>
    </row>
    <row r="410" spans="3:3" x14ac:dyDescent="0.3">
      <c r="C410" t="str">
        <f t="shared" si="6"/>
        <v/>
      </c>
    </row>
    <row r="411" spans="3:3" x14ac:dyDescent="0.3">
      <c r="C411" t="str">
        <f t="shared" si="6"/>
        <v/>
      </c>
    </row>
    <row r="412" spans="3:3" x14ac:dyDescent="0.3">
      <c r="C412" t="str">
        <f t="shared" si="6"/>
        <v/>
      </c>
    </row>
    <row r="413" spans="3:3" x14ac:dyDescent="0.3">
      <c r="C413" t="str">
        <f t="shared" si="6"/>
        <v/>
      </c>
    </row>
    <row r="414" spans="3:3" x14ac:dyDescent="0.3">
      <c r="C414" t="str">
        <f t="shared" si="6"/>
        <v/>
      </c>
    </row>
    <row r="415" spans="3:3" x14ac:dyDescent="0.3">
      <c r="C415" t="str">
        <f t="shared" si="6"/>
        <v/>
      </c>
    </row>
    <row r="416" spans="3:3" x14ac:dyDescent="0.3">
      <c r="C416" t="str">
        <f t="shared" si="6"/>
        <v/>
      </c>
    </row>
    <row r="417" spans="3:3" x14ac:dyDescent="0.3">
      <c r="C417" t="str">
        <f t="shared" si="6"/>
        <v/>
      </c>
    </row>
    <row r="418" spans="3:3" x14ac:dyDescent="0.3">
      <c r="C418" t="str">
        <f t="shared" si="6"/>
        <v/>
      </c>
    </row>
    <row r="419" spans="3:3" x14ac:dyDescent="0.3">
      <c r="C419" t="str">
        <f t="shared" si="6"/>
        <v/>
      </c>
    </row>
    <row r="420" spans="3:3" x14ac:dyDescent="0.3">
      <c r="C420" t="str">
        <f t="shared" si="6"/>
        <v/>
      </c>
    </row>
    <row r="421" spans="3:3" x14ac:dyDescent="0.3">
      <c r="C421" t="str">
        <f t="shared" si="6"/>
        <v/>
      </c>
    </row>
    <row r="422" spans="3:3" x14ac:dyDescent="0.3">
      <c r="C422" t="str">
        <f t="shared" si="6"/>
        <v/>
      </c>
    </row>
    <row r="423" spans="3:3" x14ac:dyDescent="0.3">
      <c r="C423" t="str">
        <f t="shared" si="6"/>
        <v/>
      </c>
    </row>
    <row r="424" spans="3:3" x14ac:dyDescent="0.3">
      <c r="C424" t="str">
        <f t="shared" si="6"/>
        <v/>
      </c>
    </row>
    <row r="425" spans="3:3" x14ac:dyDescent="0.3">
      <c r="C425" t="str">
        <f t="shared" si="6"/>
        <v/>
      </c>
    </row>
    <row r="426" spans="3:3" x14ac:dyDescent="0.3">
      <c r="C426" t="str">
        <f t="shared" si="6"/>
        <v/>
      </c>
    </row>
    <row r="427" spans="3:3" x14ac:dyDescent="0.3">
      <c r="C427" t="str">
        <f t="shared" si="6"/>
        <v/>
      </c>
    </row>
    <row r="428" spans="3:3" x14ac:dyDescent="0.3">
      <c r="C428" t="str">
        <f t="shared" si="6"/>
        <v/>
      </c>
    </row>
    <row r="429" spans="3:3" x14ac:dyDescent="0.3">
      <c r="C429" t="str">
        <f t="shared" si="6"/>
        <v/>
      </c>
    </row>
    <row r="430" spans="3:3" x14ac:dyDescent="0.3">
      <c r="C430" t="str">
        <f t="shared" si="6"/>
        <v/>
      </c>
    </row>
    <row r="431" spans="3:3" x14ac:dyDescent="0.3">
      <c r="C431" t="str">
        <f t="shared" si="6"/>
        <v/>
      </c>
    </row>
    <row r="432" spans="3:3" x14ac:dyDescent="0.3">
      <c r="C432" t="str">
        <f t="shared" si="6"/>
        <v/>
      </c>
    </row>
    <row r="433" spans="3:3" x14ac:dyDescent="0.3">
      <c r="C433" t="str">
        <f t="shared" si="6"/>
        <v/>
      </c>
    </row>
    <row r="434" spans="3:3" x14ac:dyDescent="0.3">
      <c r="C434" t="str">
        <f t="shared" si="6"/>
        <v/>
      </c>
    </row>
    <row r="435" spans="3:3" x14ac:dyDescent="0.3">
      <c r="C435" t="str">
        <f t="shared" si="6"/>
        <v/>
      </c>
    </row>
    <row r="436" spans="3:3" x14ac:dyDescent="0.3">
      <c r="C436" t="str">
        <f t="shared" si="6"/>
        <v/>
      </c>
    </row>
    <row r="437" spans="3:3" x14ac:dyDescent="0.3">
      <c r="C437" t="str">
        <f t="shared" si="6"/>
        <v/>
      </c>
    </row>
    <row r="438" spans="3:3" x14ac:dyDescent="0.3">
      <c r="C438" t="str">
        <f t="shared" si="6"/>
        <v/>
      </c>
    </row>
    <row r="439" spans="3:3" x14ac:dyDescent="0.3">
      <c r="C439" t="str">
        <f t="shared" si="6"/>
        <v/>
      </c>
    </row>
    <row r="440" spans="3:3" x14ac:dyDescent="0.3">
      <c r="C440" t="str">
        <f t="shared" si="6"/>
        <v/>
      </c>
    </row>
    <row r="441" spans="3:3" x14ac:dyDescent="0.3">
      <c r="C441" t="str">
        <f t="shared" si="6"/>
        <v/>
      </c>
    </row>
    <row r="442" spans="3:3" x14ac:dyDescent="0.3">
      <c r="C442" t="str">
        <f t="shared" si="6"/>
        <v/>
      </c>
    </row>
    <row r="443" spans="3:3" x14ac:dyDescent="0.3">
      <c r="C443" t="str">
        <f t="shared" si="6"/>
        <v/>
      </c>
    </row>
    <row r="444" spans="3:3" x14ac:dyDescent="0.3">
      <c r="C444" t="str">
        <f t="shared" si="6"/>
        <v/>
      </c>
    </row>
    <row r="445" spans="3:3" x14ac:dyDescent="0.3">
      <c r="C445" t="str">
        <f t="shared" si="6"/>
        <v/>
      </c>
    </row>
    <row r="446" spans="3:3" x14ac:dyDescent="0.3">
      <c r="C446" t="str">
        <f t="shared" si="6"/>
        <v/>
      </c>
    </row>
    <row r="447" spans="3:3" x14ac:dyDescent="0.3">
      <c r="C447" t="str">
        <f t="shared" si="6"/>
        <v/>
      </c>
    </row>
    <row r="448" spans="3:3" x14ac:dyDescent="0.3">
      <c r="C448" t="str">
        <f t="shared" si="6"/>
        <v/>
      </c>
    </row>
    <row r="449" spans="3:3" x14ac:dyDescent="0.3">
      <c r="C449" t="str">
        <f t="shared" si="6"/>
        <v/>
      </c>
    </row>
    <row r="450" spans="3:3" x14ac:dyDescent="0.3">
      <c r="C450" t="str">
        <f t="shared" ref="C450:C513" si="7">IF(A450="","",B450&amp;"-"&amp;TEXT(A450,"000000"))</f>
        <v/>
      </c>
    </row>
    <row r="451" spans="3:3" x14ac:dyDescent="0.3">
      <c r="C451" t="str">
        <f t="shared" si="7"/>
        <v/>
      </c>
    </row>
    <row r="452" spans="3:3" x14ac:dyDescent="0.3">
      <c r="C452" t="str">
        <f t="shared" si="7"/>
        <v/>
      </c>
    </row>
    <row r="453" spans="3:3" x14ac:dyDescent="0.3">
      <c r="C453" t="str">
        <f t="shared" si="7"/>
        <v/>
      </c>
    </row>
    <row r="454" spans="3:3" x14ac:dyDescent="0.3">
      <c r="C454" t="str">
        <f t="shared" si="7"/>
        <v/>
      </c>
    </row>
    <row r="455" spans="3:3" x14ac:dyDescent="0.3">
      <c r="C455" t="str">
        <f t="shared" si="7"/>
        <v/>
      </c>
    </row>
    <row r="456" spans="3:3" x14ac:dyDescent="0.3">
      <c r="C456" t="str">
        <f t="shared" si="7"/>
        <v/>
      </c>
    </row>
    <row r="457" spans="3:3" x14ac:dyDescent="0.3">
      <c r="C457" t="str">
        <f t="shared" si="7"/>
        <v/>
      </c>
    </row>
    <row r="458" spans="3:3" x14ac:dyDescent="0.3">
      <c r="C458" t="str">
        <f t="shared" si="7"/>
        <v/>
      </c>
    </row>
    <row r="459" spans="3:3" x14ac:dyDescent="0.3">
      <c r="C459" t="str">
        <f t="shared" si="7"/>
        <v/>
      </c>
    </row>
    <row r="460" spans="3:3" x14ac:dyDescent="0.3">
      <c r="C460" t="str">
        <f t="shared" si="7"/>
        <v/>
      </c>
    </row>
    <row r="461" spans="3:3" x14ac:dyDescent="0.3">
      <c r="C461" t="str">
        <f t="shared" si="7"/>
        <v/>
      </c>
    </row>
    <row r="462" spans="3:3" x14ac:dyDescent="0.3">
      <c r="C462" t="str">
        <f t="shared" si="7"/>
        <v/>
      </c>
    </row>
    <row r="463" spans="3:3" x14ac:dyDescent="0.3">
      <c r="C463" t="str">
        <f t="shared" si="7"/>
        <v/>
      </c>
    </row>
    <row r="464" spans="3:3" x14ac:dyDescent="0.3">
      <c r="C464" t="str">
        <f t="shared" si="7"/>
        <v/>
      </c>
    </row>
    <row r="465" spans="3:3" x14ac:dyDescent="0.3">
      <c r="C465" t="str">
        <f t="shared" si="7"/>
        <v/>
      </c>
    </row>
    <row r="466" spans="3:3" x14ac:dyDescent="0.3">
      <c r="C466" t="str">
        <f t="shared" si="7"/>
        <v/>
      </c>
    </row>
    <row r="467" spans="3:3" x14ac:dyDescent="0.3">
      <c r="C467" t="str">
        <f t="shared" si="7"/>
        <v/>
      </c>
    </row>
    <row r="468" spans="3:3" x14ac:dyDescent="0.3">
      <c r="C468" t="str">
        <f t="shared" si="7"/>
        <v/>
      </c>
    </row>
    <row r="469" spans="3:3" x14ac:dyDescent="0.3">
      <c r="C469" t="str">
        <f t="shared" si="7"/>
        <v/>
      </c>
    </row>
    <row r="470" spans="3:3" x14ac:dyDescent="0.3">
      <c r="C470" t="str">
        <f t="shared" si="7"/>
        <v/>
      </c>
    </row>
    <row r="471" spans="3:3" x14ac:dyDescent="0.3">
      <c r="C471" t="str">
        <f t="shared" si="7"/>
        <v/>
      </c>
    </row>
    <row r="472" spans="3:3" x14ac:dyDescent="0.3">
      <c r="C472" t="str">
        <f t="shared" si="7"/>
        <v/>
      </c>
    </row>
    <row r="473" spans="3:3" x14ac:dyDescent="0.3">
      <c r="C473" t="str">
        <f t="shared" si="7"/>
        <v/>
      </c>
    </row>
    <row r="474" spans="3:3" x14ac:dyDescent="0.3">
      <c r="C474" t="str">
        <f t="shared" si="7"/>
        <v/>
      </c>
    </row>
    <row r="475" spans="3:3" x14ac:dyDescent="0.3">
      <c r="C475" t="str">
        <f t="shared" si="7"/>
        <v/>
      </c>
    </row>
    <row r="476" spans="3:3" x14ac:dyDescent="0.3">
      <c r="C476" t="str">
        <f t="shared" si="7"/>
        <v/>
      </c>
    </row>
    <row r="477" spans="3:3" x14ac:dyDescent="0.3">
      <c r="C477" t="str">
        <f t="shared" si="7"/>
        <v/>
      </c>
    </row>
    <row r="478" spans="3:3" x14ac:dyDescent="0.3">
      <c r="C478" t="str">
        <f t="shared" si="7"/>
        <v/>
      </c>
    </row>
    <row r="479" spans="3:3" x14ac:dyDescent="0.3">
      <c r="C479" t="str">
        <f t="shared" si="7"/>
        <v/>
      </c>
    </row>
    <row r="480" spans="3:3" x14ac:dyDescent="0.3">
      <c r="C480" t="str">
        <f t="shared" si="7"/>
        <v/>
      </c>
    </row>
    <row r="481" spans="3:3" x14ac:dyDescent="0.3">
      <c r="C481" t="str">
        <f t="shared" si="7"/>
        <v/>
      </c>
    </row>
    <row r="482" spans="3:3" x14ac:dyDescent="0.3">
      <c r="C482" t="str">
        <f t="shared" si="7"/>
        <v/>
      </c>
    </row>
    <row r="483" spans="3:3" x14ac:dyDescent="0.3">
      <c r="C483" t="str">
        <f t="shared" si="7"/>
        <v/>
      </c>
    </row>
    <row r="484" spans="3:3" x14ac:dyDescent="0.3">
      <c r="C484" t="str">
        <f t="shared" si="7"/>
        <v/>
      </c>
    </row>
    <row r="485" spans="3:3" x14ac:dyDescent="0.3">
      <c r="C485" t="str">
        <f t="shared" si="7"/>
        <v/>
      </c>
    </row>
    <row r="486" spans="3:3" x14ac:dyDescent="0.3">
      <c r="C486" t="str">
        <f t="shared" si="7"/>
        <v/>
      </c>
    </row>
    <row r="487" spans="3:3" x14ac:dyDescent="0.3">
      <c r="C487" t="str">
        <f t="shared" si="7"/>
        <v/>
      </c>
    </row>
    <row r="488" spans="3:3" x14ac:dyDescent="0.3">
      <c r="C488" t="str">
        <f t="shared" si="7"/>
        <v/>
      </c>
    </row>
    <row r="489" spans="3:3" x14ac:dyDescent="0.3">
      <c r="C489" t="str">
        <f t="shared" si="7"/>
        <v/>
      </c>
    </row>
    <row r="490" spans="3:3" x14ac:dyDescent="0.3">
      <c r="C490" t="str">
        <f t="shared" si="7"/>
        <v/>
      </c>
    </row>
    <row r="491" spans="3:3" x14ac:dyDescent="0.3">
      <c r="C491" t="str">
        <f t="shared" si="7"/>
        <v/>
      </c>
    </row>
    <row r="492" spans="3:3" x14ac:dyDescent="0.3">
      <c r="C492" t="str">
        <f t="shared" si="7"/>
        <v/>
      </c>
    </row>
    <row r="493" spans="3:3" x14ac:dyDescent="0.3">
      <c r="C493" t="str">
        <f t="shared" si="7"/>
        <v/>
      </c>
    </row>
    <row r="494" spans="3:3" x14ac:dyDescent="0.3">
      <c r="C494" t="str">
        <f t="shared" si="7"/>
        <v/>
      </c>
    </row>
    <row r="495" spans="3:3" x14ac:dyDescent="0.3">
      <c r="C495" t="str">
        <f t="shared" si="7"/>
        <v/>
      </c>
    </row>
    <row r="496" spans="3:3" x14ac:dyDescent="0.3">
      <c r="C496" t="str">
        <f t="shared" si="7"/>
        <v/>
      </c>
    </row>
    <row r="497" spans="3:3" x14ac:dyDescent="0.3">
      <c r="C497" t="str">
        <f t="shared" si="7"/>
        <v/>
      </c>
    </row>
    <row r="498" spans="3:3" x14ac:dyDescent="0.3">
      <c r="C498" t="str">
        <f t="shared" si="7"/>
        <v/>
      </c>
    </row>
    <row r="499" spans="3:3" x14ac:dyDescent="0.3">
      <c r="C499" t="str">
        <f t="shared" si="7"/>
        <v/>
      </c>
    </row>
    <row r="500" spans="3:3" x14ac:dyDescent="0.3">
      <c r="C500" t="str">
        <f t="shared" si="7"/>
        <v/>
      </c>
    </row>
    <row r="501" spans="3:3" x14ac:dyDescent="0.3">
      <c r="C501" t="str">
        <f t="shared" si="7"/>
        <v/>
      </c>
    </row>
    <row r="502" spans="3:3" x14ac:dyDescent="0.3">
      <c r="C502" t="str">
        <f t="shared" si="7"/>
        <v/>
      </c>
    </row>
    <row r="503" spans="3:3" x14ac:dyDescent="0.3">
      <c r="C503" t="str">
        <f t="shared" si="7"/>
        <v/>
      </c>
    </row>
    <row r="504" spans="3:3" x14ac:dyDescent="0.3">
      <c r="C504" t="str">
        <f t="shared" si="7"/>
        <v/>
      </c>
    </row>
    <row r="505" spans="3:3" x14ac:dyDescent="0.3">
      <c r="C505" t="str">
        <f t="shared" si="7"/>
        <v/>
      </c>
    </row>
    <row r="506" spans="3:3" x14ac:dyDescent="0.3">
      <c r="C506" t="str">
        <f t="shared" si="7"/>
        <v/>
      </c>
    </row>
    <row r="507" spans="3:3" x14ac:dyDescent="0.3">
      <c r="C507" t="str">
        <f t="shared" si="7"/>
        <v/>
      </c>
    </row>
    <row r="508" spans="3:3" x14ac:dyDescent="0.3">
      <c r="C508" t="str">
        <f t="shared" si="7"/>
        <v/>
      </c>
    </row>
    <row r="509" spans="3:3" x14ac:dyDescent="0.3">
      <c r="C509" t="str">
        <f t="shared" si="7"/>
        <v/>
      </c>
    </row>
    <row r="510" spans="3:3" x14ac:dyDescent="0.3">
      <c r="C510" t="str">
        <f t="shared" si="7"/>
        <v/>
      </c>
    </row>
    <row r="511" spans="3:3" x14ac:dyDescent="0.3">
      <c r="C511" t="str">
        <f t="shared" si="7"/>
        <v/>
      </c>
    </row>
    <row r="512" spans="3:3" x14ac:dyDescent="0.3">
      <c r="C512" t="str">
        <f t="shared" si="7"/>
        <v/>
      </c>
    </row>
    <row r="513" spans="3:3" x14ac:dyDescent="0.3">
      <c r="C513" t="str">
        <f t="shared" si="7"/>
        <v/>
      </c>
    </row>
    <row r="514" spans="3:3" x14ac:dyDescent="0.3">
      <c r="C514" t="str">
        <f t="shared" ref="C514:C577" si="8">IF(A514="","",B514&amp;"-"&amp;TEXT(A514,"000000"))</f>
        <v/>
      </c>
    </row>
    <row r="515" spans="3:3" x14ac:dyDescent="0.3">
      <c r="C515" t="str">
        <f t="shared" si="8"/>
        <v/>
      </c>
    </row>
    <row r="516" spans="3:3" x14ac:dyDescent="0.3">
      <c r="C516" t="str">
        <f t="shared" si="8"/>
        <v/>
      </c>
    </row>
    <row r="517" spans="3:3" x14ac:dyDescent="0.3">
      <c r="C517" t="str">
        <f t="shared" si="8"/>
        <v/>
      </c>
    </row>
    <row r="518" spans="3:3" x14ac:dyDescent="0.3">
      <c r="C518" t="str">
        <f t="shared" si="8"/>
        <v/>
      </c>
    </row>
    <row r="519" spans="3:3" x14ac:dyDescent="0.3">
      <c r="C519" t="str">
        <f t="shared" si="8"/>
        <v/>
      </c>
    </row>
    <row r="520" spans="3:3" x14ac:dyDescent="0.3">
      <c r="C520" t="str">
        <f t="shared" si="8"/>
        <v/>
      </c>
    </row>
    <row r="521" spans="3:3" x14ac:dyDescent="0.3">
      <c r="C521" t="str">
        <f t="shared" si="8"/>
        <v/>
      </c>
    </row>
    <row r="522" spans="3:3" x14ac:dyDescent="0.3">
      <c r="C522" t="str">
        <f t="shared" si="8"/>
        <v/>
      </c>
    </row>
    <row r="523" spans="3:3" x14ac:dyDescent="0.3">
      <c r="C523" t="str">
        <f t="shared" si="8"/>
        <v/>
      </c>
    </row>
    <row r="524" spans="3:3" x14ac:dyDescent="0.3">
      <c r="C524" t="str">
        <f t="shared" si="8"/>
        <v/>
      </c>
    </row>
    <row r="525" spans="3:3" x14ac:dyDescent="0.3">
      <c r="C525" t="str">
        <f t="shared" si="8"/>
        <v/>
      </c>
    </row>
    <row r="526" spans="3:3" x14ac:dyDescent="0.3">
      <c r="C526" t="str">
        <f t="shared" si="8"/>
        <v/>
      </c>
    </row>
    <row r="527" spans="3:3" x14ac:dyDescent="0.3">
      <c r="C527" t="str">
        <f t="shared" si="8"/>
        <v/>
      </c>
    </row>
    <row r="528" spans="3:3" x14ac:dyDescent="0.3">
      <c r="C528" t="str">
        <f t="shared" si="8"/>
        <v/>
      </c>
    </row>
    <row r="529" spans="3:3" x14ac:dyDescent="0.3">
      <c r="C529" t="str">
        <f t="shared" si="8"/>
        <v/>
      </c>
    </row>
    <row r="530" spans="3:3" x14ac:dyDescent="0.3">
      <c r="C530" t="str">
        <f t="shared" si="8"/>
        <v/>
      </c>
    </row>
    <row r="531" spans="3:3" x14ac:dyDescent="0.3">
      <c r="C531" t="str">
        <f t="shared" si="8"/>
        <v/>
      </c>
    </row>
    <row r="532" spans="3:3" x14ac:dyDescent="0.3">
      <c r="C532" t="str">
        <f t="shared" si="8"/>
        <v/>
      </c>
    </row>
    <row r="533" spans="3:3" x14ac:dyDescent="0.3">
      <c r="C533" t="str">
        <f t="shared" si="8"/>
        <v/>
      </c>
    </row>
    <row r="534" spans="3:3" x14ac:dyDescent="0.3">
      <c r="C534" t="str">
        <f t="shared" si="8"/>
        <v/>
      </c>
    </row>
    <row r="535" spans="3:3" x14ac:dyDescent="0.3">
      <c r="C535" t="str">
        <f t="shared" si="8"/>
        <v/>
      </c>
    </row>
    <row r="536" spans="3:3" x14ac:dyDescent="0.3">
      <c r="C536" t="str">
        <f t="shared" si="8"/>
        <v/>
      </c>
    </row>
    <row r="537" spans="3:3" x14ac:dyDescent="0.3">
      <c r="C537" t="str">
        <f t="shared" si="8"/>
        <v/>
      </c>
    </row>
    <row r="538" spans="3:3" x14ac:dyDescent="0.3">
      <c r="C538" t="str">
        <f t="shared" si="8"/>
        <v/>
      </c>
    </row>
    <row r="539" spans="3:3" x14ac:dyDescent="0.3">
      <c r="C539" t="str">
        <f t="shared" si="8"/>
        <v/>
      </c>
    </row>
    <row r="540" spans="3:3" x14ac:dyDescent="0.3">
      <c r="C540" t="str">
        <f t="shared" si="8"/>
        <v/>
      </c>
    </row>
    <row r="541" spans="3:3" x14ac:dyDescent="0.3">
      <c r="C541" t="str">
        <f t="shared" si="8"/>
        <v/>
      </c>
    </row>
    <row r="542" spans="3:3" x14ac:dyDescent="0.3">
      <c r="C542" t="str">
        <f t="shared" si="8"/>
        <v/>
      </c>
    </row>
    <row r="543" spans="3:3" x14ac:dyDescent="0.3">
      <c r="C543" t="str">
        <f t="shared" si="8"/>
        <v/>
      </c>
    </row>
    <row r="544" spans="3:3" x14ac:dyDescent="0.3">
      <c r="C544" t="str">
        <f t="shared" si="8"/>
        <v/>
      </c>
    </row>
    <row r="545" spans="3:3" x14ac:dyDescent="0.3">
      <c r="C545" t="str">
        <f t="shared" si="8"/>
        <v/>
      </c>
    </row>
    <row r="546" spans="3:3" x14ac:dyDescent="0.3">
      <c r="C546" t="str">
        <f t="shared" si="8"/>
        <v/>
      </c>
    </row>
    <row r="547" spans="3:3" x14ac:dyDescent="0.3">
      <c r="C547" t="str">
        <f t="shared" si="8"/>
        <v/>
      </c>
    </row>
    <row r="548" spans="3:3" x14ac:dyDescent="0.3">
      <c r="C548" t="str">
        <f t="shared" si="8"/>
        <v/>
      </c>
    </row>
    <row r="549" spans="3:3" x14ac:dyDescent="0.3">
      <c r="C549" t="str">
        <f t="shared" si="8"/>
        <v/>
      </c>
    </row>
    <row r="550" spans="3:3" x14ac:dyDescent="0.3">
      <c r="C550" t="str">
        <f t="shared" si="8"/>
        <v/>
      </c>
    </row>
    <row r="551" spans="3:3" x14ac:dyDescent="0.3">
      <c r="C551" t="str">
        <f t="shared" si="8"/>
        <v/>
      </c>
    </row>
    <row r="552" spans="3:3" x14ac:dyDescent="0.3">
      <c r="C552" t="str">
        <f t="shared" si="8"/>
        <v/>
      </c>
    </row>
    <row r="553" spans="3:3" x14ac:dyDescent="0.3">
      <c r="C553" t="str">
        <f t="shared" si="8"/>
        <v/>
      </c>
    </row>
    <row r="554" spans="3:3" x14ac:dyDescent="0.3">
      <c r="C554" t="str">
        <f t="shared" si="8"/>
        <v/>
      </c>
    </row>
    <row r="555" spans="3:3" x14ac:dyDescent="0.3">
      <c r="C555" t="str">
        <f t="shared" si="8"/>
        <v/>
      </c>
    </row>
    <row r="556" spans="3:3" x14ac:dyDescent="0.3">
      <c r="C556" t="str">
        <f t="shared" si="8"/>
        <v/>
      </c>
    </row>
    <row r="557" spans="3:3" x14ac:dyDescent="0.3">
      <c r="C557" t="str">
        <f t="shared" si="8"/>
        <v/>
      </c>
    </row>
    <row r="558" spans="3:3" x14ac:dyDescent="0.3">
      <c r="C558" t="str">
        <f t="shared" si="8"/>
        <v/>
      </c>
    </row>
    <row r="559" spans="3:3" x14ac:dyDescent="0.3">
      <c r="C559" t="str">
        <f t="shared" si="8"/>
        <v/>
      </c>
    </row>
    <row r="560" spans="3:3" x14ac:dyDescent="0.3">
      <c r="C560" t="str">
        <f t="shared" si="8"/>
        <v/>
      </c>
    </row>
    <row r="561" spans="3:3" x14ac:dyDescent="0.3">
      <c r="C561" t="str">
        <f t="shared" si="8"/>
        <v/>
      </c>
    </row>
    <row r="562" spans="3:3" x14ac:dyDescent="0.3">
      <c r="C562" t="str">
        <f t="shared" si="8"/>
        <v/>
      </c>
    </row>
    <row r="563" spans="3:3" x14ac:dyDescent="0.3">
      <c r="C563" t="str">
        <f t="shared" si="8"/>
        <v/>
      </c>
    </row>
    <row r="564" spans="3:3" x14ac:dyDescent="0.3">
      <c r="C564" t="str">
        <f t="shared" si="8"/>
        <v/>
      </c>
    </row>
    <row r="565" spans="3:3" x14ac:dyDescent="0.3">
      <c r="C565" t="str">
        <f t="shared" si="8"/>
        <v/>
      </c>
    </row>
    <row r="566" spans="3:3" x14ac:dyDescent="0.3">
      <c r="C566" t="str">
        <f t="shared" si="8"/>
        <v/>
      </c>
    </row>
    <row r="567" spans="3:3" x14ac:dyDescent="0.3">
      <c r="C567" t="str">
        <f t="shared" si="8"/>
        <v/>
      </c>
    </row>
    <row r="568" spans="3:3" x14ac:dyDescent="0.3">
      <c r="C568" t="str">
        <f t="shared" si="8"/>
        <v/>
      </c>
    </row>
    <row r="569" spans="3:3" x14ac:dyDescent="0.3">
      <c r="C569" t="str">
        <f t="shared" si="8"/>
        <v/>
      </c>
    </row>
    <row r="570" spans="3:3" x14ac:dyDescent="0.3">
      <c r="C570" t="str">
        <f t="shared" si="8"/>
        <v/>
      </c>
    </row>
    <row r="571" spans="3:3" x14ac:dyDescent="0.3">
      <c r="C571" t="str">
        <f t="shared" si="8"/>
        <v/>
      </c>
    </row>
    <row r="572" spans="3:3" x14ac:dyDescent="0.3">
      <c r="C572" t="str">
        <f t="shared" si="8"/>
        <v/>
      </c>
    </row>
    <row r="573" spans="3:3" x14ac:dyDescent="0.3">
      <c r="C573" t="str">
        <f t="shared" si="8"/>
        <v/>
      </c>
    </row>
    <row r="574" spans="3:3" x14ac:dyDescent="0.3">
      <c r="C574" t="str">
        <f t="shared" si="8"/>
        <v/>
      </c>
    </row>
    <row r="575" spans="3:3" x14ac:dyDescent="0.3">
      <c r="C575" t="str">
        <f t="shared" si="8"/>
        <v/>
      </c>
    </row>
    <row r="576" spans="3:3" x14ac:dyDescent="0.3">
      <c r="C576" t="str">
        <f t="shared" si="8"/>
        <v/>
      </c>
    </row>
    <row r="577" spans="3:3" x14ac:dyDescent="0.3">
      <c r="C577" t="str">
        <f t="shared" si="8"/>
        <v/>
      </c>
    </row>
    <row r="578" spans="3:3" x14ac:dyDescent="0.3">
      <c r="C578" t="str">
        <f t="shared" ref="C578:C641" si="9">IF(A578="","",B578&amp;"-"&amp;TEXT(A578,"000000"))</f>
        <v/>
      </c>
    </row>
    <row r="579" spans="3:3" x14ac:dyDescent="0.3">
      <c r="C579" t="str">
        <f t="shared" si="9"/>
        <v/>
      </c>
    </row>
    <row r="580" spans="3:3" x14ac:dyDescent="0.3">
      <c r="C580" t="str">
        <f t="shared" si="9"/>
        <v/>
      </c>
    </row>
    <row r="581" spans="3:3" x14ac:dyDescent="0.3">
      <c r="C581" t="str">
        <f t="shared" si="9"/>
        <v/>
      </c>
    </row>
    <row r="582" spans="3:3" x14ac:dyDescent="0.3">
      <c r="C582" t="str">
        <f t="shared" si="9"/>
        <v/>
      </c>
    </row>
    <row r="583" spans="3:3" x14ac:dyDescent="0.3">
      <c r="C583" t="str">
        <f t="shared" si="9"/>
        <v/>
      </c>
    </row>
    <row r="584" spans="3:3" x14ac:dyDescent="0.3">
      <c r="C584" t="str">
        <f t="shared" si="9"/>
        <v/>
      </c>
    </row>
    <row r="585" spans="3:3" x14ac:dyDescent="0.3">
      <c r="C585" t="str">
        <f t="shared" si="9"/>
        <v/>
      </c>
    </row>
    <row r="586" spans="3:3" x14ac:dyDescent="0.3">
      <c r="C586" t="str">
        <f t="shared" si="9"/>
        <v/>
      </c>
    </row>
    <row r="587" spans="3:3" x14ac:dyDescent="0.3">
      <c r="C587" t="str">
        <f t="shared" si="9"/>
        <v/>
      </c>
    </row>
    <row r="588" spans="3:3" x14ac:dyDescent="0.3">
      <c r="C588" t="str">
        <f t="shared" si="9"/>
        <v/>
      </c>
    </row>
    <row r="589" spans="3:3" x14ac:dyDescent="0.3">
      <c r="C589" t="str">
        <f t="shared" si="9"/>
        <v/>
      </c>
    </row>
    <row r="590" spans="3:3" x14ac:dyDescent="0.3">
      <c r="C590" t="str">
        <f t="shared" si="9"/>
        <v/>
      </c>
    </row>
    <row r="591" spans="3:3" x14ac:dyDescent="0.3">
      <c r="C591" t="str">
        <f t="shared" si="9"/>
        <v/>
      </c>
    </row>
    <row r="592" spans="3:3" x14ac:dyDescent="0.3">
      <c r="C592" t="str">
        <f t="shared" si="9"/>
        <v/>
      </c>
    </row>
    <row r="593" spans="3:3" x14ac:dyDescent="0.3">
      <c r="C593" t="str">
        <f t="shared" si="9"/>
        <v/>
      </c>
    </row>
    <row r="594" spans="3:3" x14ac:dyDescent="0.3">
      <c r="C594" t="str">
        <f t="shared" si="9"/>
        <v/>
      </c>
    </row>
    <row r="595" spans="3:3" x14ac:dyDescent="0.3">
      <c r="C595" t="str">
        <f t="shared" si="9"/>
        <v/>
      </c>
    </row>
    <row r="596" spans="3:3" x14ac:dyDescent="0.3">
      <c r="C596" t="str">
        <f t="shared" si="9"/>
        <v/>
      </c>
    </row>
    <row r="597" spans="3:3" x14ac:dyDescent="0.3">
      <c r="C597" t="str">
        <f t="shared" si="9"/>
        <v/>
      </c>
    </row>
    <row r="598" spans="3:3" x14ac:dyDescent="0.3">
      <c r="C598" t="str">
        <f t="shared" si="9"/>
        <v/>
      </c>
    </row>
    <row r="599" spans="3:3" x14ac:dyDescent="0.3">
      <c r="C599" t="str">
        <f t="shared" si="9"/>
        <v/>
      </c>
    </row>
    <row r="600" spans="3:3" x14ac:dyDescent="0.3">
      <c r="C600" t="str">
        <f t="shared" si="9"/>
        <v/>
      </c>
    </row>
    <row r="601" spans="3:3" x14ac:dyDescent="0.3">
      <c r="C601" t="str">
        <f t="shared" si="9"/>
        <v/>
      </c>
    </row>
    <row r="602" spans="3:3" x14ac:dyDescent="0.3">
      <c r="C602" t="str">
        <f t="shared" si="9"/>
        <v/>
      </c>
    </row>
    <row r="603" spans="3:3" x14ac:dyDescent="0.3">
      <c r="C603" t="str">
        <f t="shared" si="9"/>
        <v/>
      </c>
    </row>
    <row r="604" spans="3:3" x14ac:dyDescent="0.3">
      <c r="C604" t="str">
        <f t="shared" si="9"/>
        <v/>
      </c>
    </row>
    <row r="605" spans="3:3" x14ac:dyDescent="0.3">
      <c r="C605" t="str">
        <f t="shared" si="9"/>
        <v/>
      </c>
    </row>
    <row r="606" spans="3:3" x14ac:dyDescent="0.3">
      <c r="C606" t="str">
        <f t="shared" si="9"/>
        <v/>
      </c>
    </row>
    <row r="607" spans="3:3" x14ac:dyDescent="0.3">
      <c r="C607" t="str">
        <f t="shared" si="9"/>
        <v/>
      </c>
    </row>
    <row r="608" spans="3:3" x14ac:dyDescent="0.3">
      <c r="C608" t="str">
        <f t="shared" si="9"/>
        <v/>
      </c>
    </row>
    <row r="609" spans="3:3" x14ac:dyDescent="0.3">
      <c r="C609" t="str">
        <f t="shared" si="9"/>
        <v/>
      </c>
    </row>
    <row r="610" spans="3:3" x14ac:dyDescent="0.3">
      <c r="C610" t="str">
        <f t="shared" si="9"/>
        <v/>
      </c>
    </row>
    <row r="611" spans="3:3" x14ac:dyDescent="0.3">
      <c r="C611" t="str">
        <f t="shared" si="9"/>
        <v/>
      </c>
    </row>
    <row r="612" spans="3:3" x14ac:dyDescent="0.3">
      <c r="C612" t="str">
        <f t="shared" si="9"/>
        <v/>
      </c>
    </row>
    <row r="613" spans="3:3" x14ac:dyDescent="0.3">
      <c r="C613" t="str">
        <f t="shared" si="9"/>
        <v/>
      </c>
    </row>
    <row r="614" spans="3:3" x14ac:dyDescent="0.3">
      <c r="C614" t="str">
        <f t="shared" si="9"/>
        <v/>
      </c>
    </row>
    <row r="615" spans="3:3" x14ac:dyDescent="0.3">
      <c r="C615" t="str">
        <f t="shared" si="9"/>
        <v/>
      </c>
    </row>
    <row r="616" spans="3:3" x14ac:dyDescent="0.3">
      <c r="C616" t="str">
        <f t="shared" si="9"/>
        <v/>
      </c>
    </row>
    <row r="617" spans="3:3" x14ac:dyDescent="0.3">
      <c r="C617" t="str">
        <f t="shared" si="9"/>
        <v/>
      </c>
    </row>
    <row r="618" spans="3:3" x14ac:dyDescent="0.3">
      <c r="C618" t="str">
        <f t="shared" si="9"/>
        <v/>
      </c>
    </row>
    <row r="619" spans="3:3" x14ac:dyDescent="0.3">
      <c r="C619" t="str">
        <f t="shared" si="9"/>
        <v/>
      </c>
    </row>
    <row r="620" spans="3:3" x14ac:dyDescent="0.3">
      <c r="C620" t="str">
        <f t="shared" si="9"/>
        <v/>
      </c>
    </row>
    <row r="621" spans="3:3" x14ac:dyDescent="0.3">
      <c r="C621" t="str">
        <f t="shared" si="9"/>
        <v/>
      </c>
    </row>
    <row r="622" spans="3:3" x14ac:dyDescent="0.3">
      <c r="C622" t="str">
        <f t="shared" si="9"/>
        <v/>
      </c>
    </row>
    <row r="623" spans="3:3" x14ac:dyDescent="0.3">
      <c r="C623" t="str">
        <f t="shared" si="9"/>
        <v/>
      </c>
    </row>
    <row r="624" spans="3:3" x14ac:dyDescent="0.3">
      <c r="C624" t="str">
        <f t="shared" si="9"/>
        <v/>
      </c>
    </row>
    <row r="625" spans="3:3" x14ac:dyDescent="0.3">
      <c r="C625" t="str">
        <f t="shared" si="9"/>
        <v/>
      </c>
    </row>
    <row r="626" spans="3:3" x14ac:dyDescent="0.3">
      <c r="C626" t="str">
        <f t="shared" si="9"/>
        <v/>
      </c>
    </row>
    <row r="627" spans="3:3" x14ac:dyDescent="0.3">
      <c r="C627" t="str">
        <f t="shared" si="9"/>
        <v/>
      </c>
    </row>
    <row r="628" spans="3:3" x14ac:dyDescent="0.3">
      <c r="C628" t="str">
        <f t="shared" si="9"/>
        <v/>
      </c>
    </row>
    <row r="629" spans="3:3" x14ac:dyDescent="0.3">
      <c r="C629" t="str">
        <f t="shared" si="9"/>
        <v/>
      </c>
    </row>
    <row r="630" spans="3:3" x14ac:dyDescent="0.3">
      <c r="C630" t="str">
        <f t="shared" si="9"/>
        <v/>
      </c>
    </row>
    <row r="631" spans="3:3" x14ac:dyDescent="0.3">
      <c r="C631" t="str">
        <f t="shared" si="9"/>
        <v/>
      </c>
    </row>
    <row r="632" spans="3:3" x14ac:dyDescent="0.3">
      <c r="C632" t="str">
        <f t="shared" si="9"/>
        <v/>
      </c>
    </row>
    <row r="633" spans="3:3" x14ac:dyDescent="0.3">
      <c r="C633" t="str">
        <f t="shared" si="9"/>
        <v/>
      </c>
    </row>
    <row r="634" spans="3:3" x14ac:dyDescent="0.3">
      <c r="C634" t="str">
        <f t="shared" si="9"/>
        <v/>
      </c>
    </row>
    <row r="635" spans="3:3" x14ac:dyDescent="0.3">
      <c r="C635" t="str">
        <f t="shared" si="9"/>
        <v/>
      </c>
    </row>
    <row r="636" spans="3:3" x14ac:dyDescent="0.3">
      <c r="C636" t="str">
        <f t="shared" si="9"/>
        <v/>
      </c>
    </row>
    <row r="637" spans="3:3" x14ac:dyDescent="0.3">
      <c r="C637" t="str">
        <f t="shared" si="9"/>
        <v/>
      </c>
    </row>
    <row r="638" spans="3:3" x14ac:dyDescent="0.3">
      <c r="C638" t="str">
        <f t="shared" si="9"/>
        <v/>
      </c>
    </row>
    <row r="639" spans="3:3" x14ac:dyDescent="0.3">
      <c r="C639" t="str">
        <f t="shared" si="9"/>
        <v/>
      </c>
    </row>
    <row r="640" spans="3:3" x14ac:dyDescent="0.3">
      <c r="C640" t="str">
        <f t="shared" si="9"/>
        <v/>
      </c>
    </row>
    <row r="641" spans="3:3" x14ac:dyDescent="0.3">
      <c r="C641" t="str">
        <f t="shared" si="9"/>
        <v/>
      </c>
    </row>
    <row r="642" spans="3:3" x14ac:dyDescent="0.3">
      <c r="C642" t="str">
        <f t="shared" ref="C642:C705" si="10">IF(A642="","",B642&amp;"-"&amp;TEXT(A642,"000000"))</f>
        <v/>
      </c>
    </row>
    <row r="643" spans="3:3" x14ac:dyDescent="0.3">
      <c r="C643" t="str">
        <f t="shared" si="10"/>
        <v/>
      </c>
    </row>
    <row r="644" spans="3:3" x14ac:dyDescent="0.3">
      <c r="C644" t="str">
        <f t="shared" si="10"/>
        <v/>
      </c>
    </row>
    <row r="645" spans="3:3" x14ac:dyDescent="0.3">
      <c r="C645" t="str">
        <f t="shared" si="10"/>
        <v/>
      </c>
    </row>
    <row r="646" spans="3:3" x14ac:dyDescent="0.3">
      <c r="C646" t="str">
        <f t="shared" si="10"/>
        <v/>
      </c>
    </row>
    <row r="647" spans="3:3" x14ac:dyDescent="0.3">
      <c r="C647" t="str">
        <f t="shared" si="10"/>
        <v/>
      </c>
    </row>
    <row r="648" spans="3:3" x14ac:dyDescent="0.3">
      <c r="C648" t="str">
        <f t="shared" si="10"/>
        <v/>
      </c>
    </row>
    <row r="649" spans="3:3" x14ac:dyDescent="0.3">
      <c r="C649" t="str">
        <f t="shared" si="10"/>
        <v/>
      </c>
    </row>
    <row r="650" spans="3:3" x14ac:dyDescent="0.3">
      <c r="C650" t="str">
        <f t="shared" si="10"/>
        <v/>
      </c>
    </row>
    <row r="651" spans="3:3" x14ac:dyDescent="0.3">
      <c r="C651" t="str">
        <f t="shared" si="10"/>
        <v/>
      </c>
    </row>
    <row r="652" spans="3:3" x14ac:dyDescent="0.3">
      <c r="C652" t="str">
        <f t="shared" si="10"/>
        <v/>
      </c>
    </row>
    <row r="653" spans="3:3" x14ac:dyDescent="0.3">
      <c r="C653" t="str">
        <f t="shared" si="10"/>
        <v/>
      </c>
    </row>
    <row r="654" spans="3:3" x14ac:dyDescent="0.3">
      <c r="C654" t="str">
        <f t="shared" si="10"/>
        <v/>
      </c>
    </row>
    <row r="655" spans="3:3" x14ac:dyDescent="0.3">
      <c r="C655" t="str">
        <f t="shared" si="10"/>
        <v/>
      </c>
    </row>
    <row r="656" spans="3:3" x14ac:dyDescent="0.3">
      <c r="C656" t="str">
        <f t="shared" si="10"/>
        <v/>
      </c>
    </row>
    <row r="657" spans="3:3" x14ac:dyDescent="0.3">
      <c r="C657" t="str">
        <f t="shared" si="10"/>
        <v/>
      </c>
    </row>
    <row r="658" spans="3:3" x14ac:dyDescent="0.3">
      <c r="C658" t="str">
        <f t="shared" si="10"/>
        <v/>
      </c>
    </row>
    <row r="659" spans="3:3" x14ac:dyDescent="0.3">
      <c r="C659" t="str">
        <f t="shared" si="10"/>
        <v/>
      </c>
    </row>
    <row r="660" spans="3:3" x14ac:dyDescent="0.3">
      <c r="C660" t="str">
        <f t="shared" si="10"/>
        <v/>
      </c>
    </row>
    <row r="661" spans="3:3" x14ac:dyDescent="0.3">
      <c r="C661" t="str">
        <f t="shared" si="10"/>
        <v/>
      </c>
    </row>
    <row r="662" spans="3:3" x14ac:dyDescent="0.3">
      <c r="C662" t="str">
        <f t="shared" si="10"/>
        <v/>
      </c>
    </row>
    <row r="663" spans="3:3" x14ac:dyDescent="0.3">
      <c r="C663" t="str">
        <f t="shared" si="10"/>
        <v/>
      </c>
    </row>
    <row r="664" spans="3:3" x14ac:dyDescent="0.3">
      <c r="C664" t="str">
        <f t="shared" si="10"/>
        <v/>
      </c>
    </row>
    <row r="665" spans="3:3" x14ac:dyDescent="0.3">
      <c r="C665" t="str">
        <f t="shared" si="10"/>
        <v/>
      </c>
    </row>
    <row r="666" spans="3:3" x14ac:dyDescent="0.3">
      <c r="C666" t="str">
        <f t="shared" si="10"/>
        <v/>
      </c>
    </row>
    <row r="667" spans="3:3" x14ac:dyDescent="0.3">
      <c r="C667" t="str">
        <f t="shared" si="10"/>
        <v/>
      </c>
    </row>
    <row r="668" spans="3:3" x14ac:dyDescent="0.3">
      <c r="C668" t="str">
        <f t="shared" si="10"/>
        <v/>
      </c>
    </row>
    <row r="669" spans="3:3" x14ac:dyDescent="0.3">
      <c r="C669" t="str">
        <f t="shared" si="10"/>
        <v/>
      </c>
    </row>
    <row r="670" spans="3:3" x14ac:dyDescent="0.3">
      <c r="C670" t="str">
        <f t="shared" si="10"/>
        <v/>
      </c>
    </row>
    <row r="671" spans="3:3" x14ac:dyDescent="0.3">
      <c r="C671" t="str">
        <f t="shared" si="10"/>
        <v/>
      </c>
    </row>
    <row r="672" spans="3:3" x14ac:dyDescent="0.3">
      <c r="C672" t="str">
        <f t="shared" si="10"/>
        <v/>
      </c>
    </row>
    <row r="673" spans="3:3" x14ac:dyDescent="0.3">
      <c r="C673" t="str">
        <f t="shared" si="10"/>
        <v/>
      </c>
    </row>
    <row r="674" spans="3:3" x14ac:dyDescent="0.3">
      <c r="C674" t="str">
        <f t="shared" si="10"/>
        <v/>
      </c>
    </row>
    <row r="675" spans="3:3" x14ac:dyDescent="0.3">
      <c r="C675" t="str">
        <f t="shared" si="10"/>
        <v/>
      </c>
    </row>
    <row r="676" spans="3:3" x14ac:dyDescent="0.3">
      <c r="C676" t="str">
        <f t="shared" si="10"/>
        <v/>
      </c>
    </row>
    <row r="677" spans="3:3" x14ac:dyDescent="0.3">
      <c r="C677" t="str">
        <f t="shared" si="10"/>
        <v/>
      </c>
    </row>
    <row r="678" spans="3:3" x14ac:dyDescent="0.3">
      <c r="C678" t="str">
        <f t="shared" si="10"/>
        <v/>
      </c>
    </row>
    <row r="679" spans="3:3" x14ac:dyDescent="0.3">
      <c r="C679" t="str">
        <f t="shared" si="10"/>
        <v/>
      </c>
    </row>
    <row r="680" spans="3:3" x14ac:dyDescent="0.3">
      <c r="C680" t="str">
        <f t="shared" si="10"/>
        <v/>
      </c>
    </row>
    <row r="681" spans="3:3" x14ac:dyDescent="0.3">
      <c r="C681" t="str">
        <f t="shared" si="10"/>
        <v/>
      </c>
    </row>
    <row r="682" spans="3:3" x14ac:dyDescent="0.3">
      <c r="C682" t="str">
        <f t="shared" si="10"/>
        <v/>
      </c>
    </row>
    <row r="683" spans="3:3" x14ac:dyDescent="0.3">
      <c r="C683" t="str">
        <f t="shared" si="10"/>
        <v/>
      </c>
    </row>
    <row r="684" spans="3:3" x14ac:dyDescent="0.3">
      <c r="C684" t="str">
        <f t="shared" si="10"/>
        <v/>
      </c>
    </row>
    <row r="685" spans="3:3" x14ac:dyDescent="0.3">
      <c r="C685" t="str">
        <f t="shared" si="10"/>
        <v/>
      </c>
    </row>
    <row r="686" spans="3:3" x14ac:dyDescent="0.3">
      <c r="C686" t="str">
        <f t="shared" si="10"/>
        <v/>
      </c>
    </row>
    <row r="687" spans="3:3" x14ac:dyDescent="0.3">
      <c r="C687" t="str">
        <f t="shared" si="10"/>
        <v/>
      </c>
    </row>
    <row r="688" spans="3:3" x14ac:dyDescent="0.3">
      <c r="C688" t="str">
        <f t="shared" si="10"/>
        <v/>
      </c>
    </row>
    <row r="689" spans="3:3" x14ac:dyDescent="0.3">
      <c r="C689" t="str">
        <f t="shared" si="10"/>
        <v/>
      </c>
    </row>
    <row r="690" spans="3:3" x14ac:dyDescent="0.3">
      <c r="C690" t="str">
        <f t="shared" si="10"/>
        <v/>
      </c>
    </row>
    <row r="691" spans="3:3" x14ac:dyDescent="0.3">
      <c r="C691" t="str">
        <f t="shared" si="10"/>
        <v/>
      </c>
    </row>
    <row r="692" spans="3:3" x14ac:dyDescent="0.3">
      <c r="C692" t="str">
        <f t="shared" si="10"/>
        <v/>
      </c>
    </row>
    <row r="693" spans="3:3" x14ac:dyDescent="0.3">
      <c r="C693" t="str">
        <f t="shared" si="10"/>
        <v/>
      </c>
    </row>
    <row r="694" spans="3:3" x14ac:dyDescent="0.3">
      <c r="C694" t="str">
        <f t="shared" si="10"/>
        <v/>
      </c>
    </row>
    <row r="695" spans="3:3" x14ac:dyDescent="0.3">
      <c r="C695" t="str">
        <f t="shared" si="10"/>
        <v/>
      </c>
    </row>
    <row r="696" spans="3:3" x14ac:dyDescent="0.3">
      <c r="C696" t="str">
        <f t="shared" si="10"/>
        <v/>
      </c>
    </row>
    <row r="697" spans="3:3" x14ac:dyDescent="0.3">
      <c r="C697" t="str">
        <f t="shared" si="10"/>
        <v/>
      </c>
    </row>
    <row r="698" spans="3:3" x14ac:dyDescent="0.3">
      <c r="C698" t="str">
        <f t="shared" si="10"/>
        <v/>
      </c>
    </row>
    <row r="699" spans="3:3" x14ac:dyDescent="0.3">
      <c r="C699" t="str">
        <f t="shared" si="10"/>
        <v/>
      </c>
    </row>
    <row r="700" spans="3:3" x14ac:dyDescent="0.3">
      <c r="C700" t="str">
        <f t="shared" si="10"/>
        <v/>
      </c>
    </row>
    <row r="701" spans="3:3" x14ac:dyDescent="0.3">
      <c r="C701" t="str">
        <f t="shared" si="10"/>
        <v/>
      </c>
    </row>
    <row r="702" spans="3:3" x14ac:dyDescent="0.3">
      <c r="C702" t="str">
        <f t="shared" si="10"/>
        <v/>
      </c>
    </row>
    <row r="703" spans="3:3" x14ac:dyDescent="0.3">
      <c r="C703" t="str">
        <f t="shared" si="10"/>
        <v/>
      </c>
    </row>
    <row r="704" spans="3:3" x14ac:dyDescent="0.3">
      <c r="C704" t="str">
        <f t="shared" si="10"/>
        <v/>
      </c>
    </row>
    <row r="705" spans="3:3" x14ac:dyDescent="0.3">
      <c r="C705" t="str">
        <f t="shared" si="10"/>
        <v/>
      </c>
    </row>
    <row r="706" spans="3:3" x14ac:dyDescent="0.3">
      <c r="C706" t="str">
        <f t="shared" ref="C706:C769" si="11">IF(A706="","",B706&amp;"-"&amp;TEXT(A706,"000000"))</f>
        <v/>
      </c>
    </row>
    <row r="707" spans="3:3" x14ac:dyDescent="0.3">
      <c r="C707" t="str">
        <f t="shared" si="11"/>
        <v/>
      </c>
    </row>
    <row r="708" spans="3:3" x14ac:dyDescent="0.3">
      <c r="C708" t="str">
        <f t="shared" si="11"/>
        <v/>
      </c>
    </row>
    <row r="709" spans="3:3" x14ac:dyDescent="0.3">
      <c r="C709" t="str">
        <f t="shared" si="11"/>
        <v/>
      </c>
    </row>
    <row r="710" spans="3:3" x14ac:dyDescent="0.3">
      <c r="C710" t="str">
        <f t="shared" si="11"/>
        <v/>
      </c>
    </row>
    <row r="711" spans="3:3" x14ac:dyDescent="0.3">
      <c r="C711" t="str">
        <f t="shared" si="11"/>
        <v/>
      </c>
    </row>
    <row r="712" spans="3:3" x14ac:dyDescent="0.3">
      <c r="C712" t="str">
        <f t="shared" si="11"/>
        <v/>
      </c>
    </row>
    <row r="713" spans="3:3" x14ac:dyDescent="0.3">
      <c r="C713" t="str">
        <f t="shared" si="11"/>
        <v/>
      </c>
    </row>
    <row r="714" spans="3:3" x14ac:dyDescent="0.3">
      <c r="C714" t="str">
        <f t="shared" si="11"/>
        <v/>
      </c>
    </row>
    <row r="715" spans="3:3" x14ac:dyDescent="0.3">
      <c r="C715" t="str">
        <f t="shared" si="11"/>
        <v/>
      </c>
    </row>
    <row r="716" spans="3:3" x14ac:dyDescent="0.3">
      <c r="C716" t="str">
        <f t="shared" si="11"/>
        <v/>
      </c>
    </row>
    <row r="717" spans="3:3" x14ac:dyDescent="0.3">
      <c r="C717" t="str">
        <f t="shared" si="11"/>
        <v/>
      </c>
    </row>
    <row r="718" spans="3:3" x14ac:dyDescent="0.3">
      <c r="C718" t="str">
        <f t="shared" si="11"/>
        <v/>
      </c>
    </row>
    <row r="719" spans="3:3" x14ac:dyDescent="0.3">
      <c r="C719" t="str">
        <f t="shared" si="11"/>
        <v/>
      </c>
    </row>
    <row r="720" spans="3:3" x14ac:dyDescent="0.3">
      <c r="C720" t="str">
        <f t="shared" si="11"/>
        <v/>
      </c>
    </row>
    <row r="721" spans="3:3" x14ac:dyDescent="0.3">
      <c r="C721" t="str">
        <f t="shared" si="11"/>
        <v/>
      </c>
    </row>
    <row r="722" spans="3:3" x14ac:dyDescent="0.3">
      <c r="C722" t="str">
        <f t="shared" si="11"/>
        <v/>
      </c>
    </row>
    <row r="723" spans="3:3" x14ac:dyDescent="0.3">
      <c r="C723" t="str">
        <f t="shared" si="11"/>
        <v/>
      </c>
    </row>
    <row r="724" spans="3:3" x14ac:dyDescent="0.3">
      <c r="C724" t="str">
        <f t="shared" si="11"/>
        <v/>
      </c>
    </row>
    <row r="725" spans="3:3" x14ac:dyDescent="0.3">
      <c r="C725" t="str">
        <f t="shared" si="11"/>
        <v/>
      </c>
    </row>
    <row r="726" spans="3:3" x14ac:dyDescent="0.3">
      <c r="C726" t="str">
        <f t="shared" si="11"/>
        <v/>
      </c>
    </row>
    <row r="727" spans="3:3" x14ac:dyDescent="0.3">
      <c r="C727" t="str">
        <f t="shared" si="11"/>
        <v/>
      </c>
    </row>
    <row r="728" spans="3:3" x14ac:dyDescent="0.3">
      <c r="C728" t="str">
        <f t="shared" si="11"/>
        <v/>
      </c>
    </row>
    <row r="729" spans="3:3" x14ac:dyDescent="0.3">
      <c r="C729" t="str">
        <f t="shared" si="11"/>
        <v/>
      </c>
    </row>
    <row r="730" spans="3:3" x14ac:dyDescent="0.3">
      <c r="C730" t="str">
        <f t="shared" si="11"/>
        <v/>
      </c>
    </row>
    <row r="731" spans="3:3" x14ac:dyDescent="0.3">
      <c r="C731" t="str">
        <f t="shared" si="11"/>
        <v/>
      </c>
    </row>
    <row r="732" spans="3:3" x14ac:dyDescent="0.3">
      <c r="C732" t="str">
        <f t="shared" si="11"/>
        <v/>
      </c>
    </row>
    <row r="733" spans="3:3" x14ac:dyDescent="0.3">
      <c r="C733" t="str">
        <f t="shared" si="11"/>
        <v/>
      </c>
    </row>
    <row r="734" spans="3:3" x14ac:dyDescent="0.3">
      <c r="C734" t="str">
        <f t="shared" si="11"/>
        <v/>
      </c>
    </row>
    <row r="735" spans="3:3" x14ac:dyDescent="0.3">
      <c r="C735" t="str">
        <f t="shared" si="11"/>
        <v/>
      </c>
    </row>
    <row r="736" spans="3:3" x14ac:dyDescent="0.3">
      <c r="C736" t="str">
        <f t="shared" si="11"/>
        <v/>
      </c>
    </row>
    <row r="737" spans="3:3" x14ac:dyDescent="0.3">
      <c r="C737" t="str">
        <f t="shared" si="11"/>
        <v/>
      </c>
    </row>
    <row r="738" spans="3:3" x14ac:dyDescent="0.3">
      <c r="C738" t="str">
        <f t="shared" si="11"/>
        <v/>
      </c>
    </row>
    <row r="739" spans="3:3" x14ac:dyDescent="0.3">
      <c r="C739" t="str">
        <f t="shared" si="11"/>
        <v/>
      </c>
    </row>
    <row r="740" spans="3:3" x14ac:dyDescent="0.3">
      <c r="C740" t="str">
        <f t="shared" si="11"/>
        <v/>
      </c>
    </row>
    <row r="741" spans="3:3" x14ac:dyDescent="0.3">
      <c r="C741" t="str">
        <f t="shared" si="11"/>
        <v/>
      </c>
    </row>
    <row r="742" spans="3:3" x14ac:dyDescent="0.3">
      <c r="C742" t="str">
        <f t="shared" si="11"/>
        <v/>
      </c>
    </row>
    <row r="743" spans="3:3" x14ac:dyDescent="0.3">
      <c r="C743" t="str">
        <f t="shared" si="11"/>
        <v/>
      </c>
    </row>
    <row r="744" spans="3:3" x14ac:dyDescent="0.3">
      <c r="C744" t="str">
        <f t="shared" si="11"/>
        <v/>
      </c>
    </row>
    <row r="745" spans="3:3" x14ac:dyDescent="0.3">
      <c r="C745" t="str">
        <f t="shared" si="11"/>
        <v/>
      </c>
    </row>
    <row r="746" spans="3:3" x14ac:dyDescent="0.3">
      <c r="C746" t="str">
        <f t="shared" si="11"/>
        <v/>
      </c>
    </row>
    <row r="747" spans="3:3" x14ac:dyDescent="0.3">
      <c r="C747" t="str">
        <f t="shared" si="11"/>
        <v/>
      </c>
    </row>
    <row r="748" spans="3:3" x14ac:dyDescent="0.3">
      <c r="C748" t="str">
        <f t="shared" si="11"/>
        <v/>
      </c>
    </row>
    <row r="749" spans="3:3" x14ac:dyDescent="0.3">
      <c r="C749" t="str">
        <f t="shared" si="11"/>
        <v/>
      </c>
    </row>
    <row r="750" spans="3:3" x14ac:dyDescent="0.3">
      <c r="C750" t="str">
        <f t="shared" si="11"/>
        <v/>
      </c>
    </row>
    <row r="751" spans="3:3" x14ac:dyDescent="0.3">
      <c r="C751" t="str">
        <f t="shared" si="11"/>
        <v/>
      </c>
    </row>
    <row r="752" spans="3:3" x14ac:dyDescent="0.3">
      <c r="C752" t="str">
        <f t="shared" si="11"/>
        <v/>
      </c>
    </row>
    <row r="753" spans="3:3" x14ac:dyDescent="0.3">
      <c r="C753" t="str">
        <f t="shared" si="11"/>
        <v/>
      </c>
    </row>
    <row r="754" spans="3:3" x14ac:dyDescent="0.3">
      <c r="C754" t="str">
        <f t="shared" si="11"/>
        <v/>
      </c>
    </row>
    <row r="755" spans="3:3" x14ac:dyDescent="0.3">
      <c r="C755" t="str">
        <f t="shared" si="11"/>
        <v/>
      </c>
    </row>
    <row r="756" spans="3:3" x14ac:dyDescent="0.3">
      <c r="C756" t="str">
        <f t="shared" si="11"/>
        <v/>
      </c>
    </row>
    <row r="757" spans="3:3" x14ac:dyDescent="0.3">
      <c r="C757" t="str">
        <f t="shared" si="11"/>
        <v/>
      </c>
    </row>
    <row r="758" spans="3:3" x14ac:dyDescent="0.3">
      <c r="C758" t="str">
        <f t="shared" si="11"/>
        <v/>
      </c>
    </row>
    <row r="759" spans="3:3" x14ac:dyDescent="0.3">
      <c r="C759" t="str">
        <f t="shared" si="11"/>
        <v/>
      </c>
    </row>
    <row r="760" spans="3:3" x14ac:dyDescent="0.3">
      <c r="C760" t="str">
        <f t="shared" si="11"/>
        <v/>
      </c>
    </row>
    <row r="761" spans="3:3" x14ac:dyDescent="0.3">
      <c r="C761" t="str">
        <f t="shared" si="11"/>
        <v/>
      </c>
    </row>
    <row r="762" spans="3:3" x14ac:dyDescent="0.3">
      <c r="C762" t="str">
        <f t="shared" si="11"/>
        <v/>
      </c>
    </row>
    <row r="763" spans="3:3" x14ac:dyDescent="0.3">
      <c r="C763" t="str">
        <f t="shared" si="11"/>
        <v/>
      </c>
    </row>
    <row r="764" spans="3:3" x14ac:dyDescent="0.3">
      <c r="C764" t="str">
        <f t="shared" si="11"/>
        <v/>
      </c>
    </row>
    <row r="765" spans="3:3" x14ac:dyDescent="0.3">
      <c r="C765" t="str">
        <f t="shared" si="11"/>
        <v/>
      </c>
    </row>
    <row r="766" spans="3:3" x14ac:dyDescent="0.3">
      <c r="C766" t="str">
        <f t="shared" si="11"/>
        <v/>
      </c>
    </row>
    <row r="767" spans="3:3" x14ac:dyDescent="0.3">
      <c r="C767" t="str">
        <f t="shared" si="11"/>
        <v/>
      </c>
    </row>
    <row r="768" spans="3:3" x14ac:dyDescent="0.3">
      <c r="C768" t="str">
        <f t="shared" si="11"/>
        <v/>
      </c>
    </row>
    <row r="769" spans="3:3" x14ac:dyDescent="0.3">
      <c r="C769" t="str">
        <f t="shared" si="11"/>
        <v/>
      </c>
    </row>
    <row r="770" spans="3:3" x14ac:dyDescent="0.3">
      <c r="C770" t="str">
        <f t="shared" ref="C770:C833" si="12">IF(A770="","",B770&amp;"-"&amp;TEXT(A770,"000000"))</f>
        <v/>
      </c>
    </row>
    <row r="771" spans="3:3" x14ac:dyDescent="0.3">
      <c r="C771" t="str">
        <f t="shared" si="12"/>
        <v/>
      </c>
    </row>
    <row r="772" spans="3:3" x14ac:dyDescent="0.3">
      <c r="C772" t="str">
        <f t="shared" si="12"/>
        <v/>
      </c>
    </row>
    <row r="773" spans="3:3" x14ac:dyDescent="0.3">
      <c r="C773" t="str">
        <f t="shared" si="12"/>
        <v/>
      </c>
    </row>
    <row r="774" spans="3:3" x14ac:dyDescent="0.3">
      <c r="C774" t="str">
        <f t="shared" si="12"/>
        <v/>
      </c>
    </row>
    <row r="775" spans="3:3" x14ac:dyDescent="0.3">
      <c r="C775" t="str">
        <f t="shared" si="12"/>
        <v/>
      </c>
    </row>
    <row r="776" spans="3:3" x14ac:dyDescent="0.3">
      <c r="C776" t="str">
        <f t="shared" si="12"/>
        <v/>
      </c>
    </row>
    <row r="777" spans="3:3" x14ac:dyDescent="0.3">
      <c r="C777" t="str">
        <f t="shared" si="12"/>
        <v/>
      </c>
    </row>
    <row r="778" spans="3:3" x14ac:dyDescent="0.3">
      <c r="C778" t="str">
        <f t="shared" si="12"/>
        <v/>
      </c>
    </row>
    <row r="779" spans="3:3" x14ac:dyDescent="0.3">
      <c r="C779" t="str">
        <f t="shared" si="12"/>
        <v/>
      </c>
    </row>
    <row r="780" spans="3:3" x14ac:dyDescent="0.3">
      <c r="C780" t="str">
        <f t="shared" si="12"/>
        <v/>
      </c>
    </row>
    <row r="781" spans="3:3" x14ac:dyDescent="0.3">
      <c r="C781" t="str">
        <f t="shared" si="12"/>
        <v/>
      </c>
    </row>
    <row r="782" spans="3:3" x14ac:dyDescent="0.3">
      <c r="C782" t="str">
        <f t="shared" si="12"/>
        <v/>
      </c>
    </row>
    <row r="783" spans="3:3" x14ac:dyDescent="0.3">
      <c r="C783" t="str">
        <f t="shared" si="12"/>
        <v/>
      </c>
    </row>
    <row r="784" spans="3:3" x14ac:dyDescent="0.3">
      <c r="C784" t="str">
        <f t="shared" si="12"/>
        <v/>
      </c>
    </row>
    <row r="785" spans="3:3" x14ac:dyDescent="0.3">
      <c r="C785" t="str">
        <f t="shared" si="12"/>
        <v/>
      </c>
    </row>
    <row r="786" spans="3:3" x14ac:dyDescent="0.3">
      <c r="C786" t="str">
        <f t="shared" si="12"/>
        <v/>
      </c>
    </row>
    <row r="787" spans="3:3" x14ac:dyDescent="0.3">
      <c r="C787" t="str">
        <f t="shared" si="12"/>
        <v/>
      </c>
    </row>
    <row r="788" spans="3:3" x14ac:dyDescent="0.3">
      <c r="C788" t="str">
        <f t="shared" si="12"/>
        <v/>
      </c>
    </row>
    <row r="789" spans="3:3" x14ac:dyDescent="0.3">
      <c r="C789" t="str">
        <f t="shared" si="12"/>
        <v/>
      </c>
    </row>
    <row r="790" spans="3:3" x14ac:dyDescent="0.3">
      <c r="C790" t="str">
        <f t="shared" si="12"/>
        <v/>
      </c>
    </row>
    <row r="791" spans="3:3" x14ac:dyDescent="0.3">
      <c r="C791" t="str">
        <f t="shared" si="12"/>
        <v/>
      </c>
    </row>
    <row r="792" spans="3:3" x14ac:dyDescent="0.3">
      <c r="C792" t="str">
        <f t="shared" si="12"/>
        <v/>
      </c>
    </row>
    <row r="793" spans="3:3" x14ac:dyDescent="0.3">
      <c r="C793" t="str">
        <f t="shared" si="12"/>
        <v/>
      </c>
    </row>
    <row r="794" spans="3:3" x14ac:dyDescent="0.3">
      <c r="C794" t="str">
        <f t="shared" si="12"/>
        <v/>
      </c>
    </row>
    <row r="795" spans="3:3" x14ac:dyDescent="0.3">
      <c r="C795" t="str">
        <f t="shared" si="12"/>
        <v/>
      </c>
    </row>
    <row r="796" spans="3:3" x14ac:dyDescent="0.3">
      <c r="C796" t="str">
        <f t="shared" si="12"/>
        <v/>
      </c>
    </row>
    <row r="797" spans="3:3" x14ac:dyDescent="0.3">
      <c r="C797" t="str">
        <f t="shared" si="12"/>
        <v/>
      </c>
    </row>
    <row r="798" spans="3:3" x14ac:dyDescent="0.3">
      <c r="C798" t="str">
        <f t="shared" si="12"/>
        <v/>
      </c>
    </row>
    <row r="799" spans="3:3" x14ac:dyDescent="0.3">
      <c r="C799" t="str">
        <f t="shared" si="12"/>
        <v/>
      </c>
    </row>
    <row r="800" spans="3:3" x14ac:dyDescent="0.3">
      <c r="C800" t="str">
        <f t="shared" si="12"/>
        <v/>
      </c>
    </row>
    <row r="801" spans="3:3" x14ac:dyDescent="0.3">
      <c r="C801" t="str">
        <f t="shared" si="12"/>
        <v/>
      </c>
    </row>
    <row r="802" spans="3:3" x14ac:dyDescent="0.3">
      <c r="C802" t="str">
        <f t="shared" si="12"/>
        <v/>
      </c>
    </row>
    <row r="803" spans="3:3" x14ac:dyDescent="0.3">
      <c r="C803" t="str">
        <f t="shared" si="12"/>
        <v/>
      </c>
    </row>
    <row r="804" spans="3:3" x14ac:dyDescent="0.3">
      <c r="C804" t="str">
        <f t="shared" si="12"/>
        <v/>
      </c>
    </row>
    <row r="805" spans="3:3" x14ac:dyDescent="0.3">
      <c r="C805" t="str">
        <f t="shared" si="12"/>
        <v/>
      </c>
    </row>
    <row r="806" spans="3:3" x14ac:dyDescent="0.3">
      <c r="C806" t="str">
        <f t="shared" si="12"/>
        <v/>
      </c>
    </row>
    <row r="807" spans="3:3" x14ac:dyDescent="0.3">
      <c r="C807" t="str">
        <f t="shared" si="12"/>
        <v/>
      </c>
    </row>
    <row r="808" spans="3:3" x14ac:dyDescent="0.3">
      <c r="C808" t="str">
        <f t="shared" si="12"/>
        <v/>
      </c>
    </row>
    <row r="809" spans="3:3" x14ac:dyDescent="0.3">
      <c r="C809" t="str">
        <f t="shared" si="12"/>
        <v/>
      </c>
    </row>
    <row r="810" spans="3:3" x14ac:dyDescent="0.3">
      <c r="C810" t="str">
        <f t="shared" si="12"/>
        <v/>
      </c>
    </row>
    <row r="811" spans="3:3" x14ac:dyDescent="0.3">
      <c r="C811" t="str">
        <f t="shared" si="12"/>
        <v/>
      </c>
    </row>
    <row r="812" spans="3:3" x14ac:dyDescent="0.3">
      <c r="C812" t="str">
        <f t="shared" si="12"/>
        <v/>
      </c>
    </row>
    <row r="813" spans="3:3" x14ac:dyDescent="0.3">
      <c r="C813" t="str">
        <f t="shared" si="12"/>
        <v/>
      </c>
    </row>
    <row r="814" spans="3:3" x14ac:dyDescent="0.3">
      <c r="C814" t="str">
        <f t="shared" si="12"/>
        <v/>
      </c>
    </row>
    <row r="815" spans="3:3" x14ac:dyDescent="0.3">
      <c r="C815" t="str">
        <f t="shared" si="12"/>
        <v/>
      </c>
    </row>
    <row r="816" spans="3:3" x14ac:dyDescent="0.3">
      <c r="C816" t="str">
        <f t="shared" si="12"/>
        <v/>
      </c>
    </row>
    <row r="817" spans="3:3" x14ac:dyDescent="0.3">
      <c r="C817" t="str">
        <f t="shared" si="12"/>
        <v/>
      </c>
    </row>
    <row r="818" spans="3:3" x14ac:dyDescent="0.3">
      <c r="C818" t="str">
        <f t="shared" si="12"/>
        <v/>
      </c>
    </row>
    <row r="819" spans="3:3" x14ac:dyDescent="0.3">
      <c r="C819" t="str">
        <f t="shared" si="12"/>
        <v/>
      </c>
    </row>
    <row r="820" spans="3:3" x14ac:dyDescent="0.3">
      <c r="C820" t="str">
        <f t="shared" si="12"/>
        <v/>
      </c>
    </row>
    <row r="821" spans="3:3" x14ac:dyDescent="0.3">
      <c r="C821" t="str">
        <f t="shared" si="12"/>
        <v/>
      </c>
    </row>
    <row r="822" spans="3:3" x14ac:dyDescent="0.3">
      <c r="C822" t="str">
        <f t="shared" si="12"/>
        <v/>
      </c>
    </row>
    <row r="823" spans="3:3" x14ac:dyDescent="0.3">
      <c r="C823" t="str">
        <f t="shared" si="12"/>
        <v/>
      </c>
    </row>
    <row r="824" spans="3:3" x14ac:dyDescent="0.3">
      <c r="C824" t="str">
        <f t="shared" si="12"/>
        <v/>
      </c>
    </row>
    <row r="825" spans="3:3" x14ac:dyDescent="0.3">
      <c r="C825" t="str">
        <f t="shared" si="12"/>
        <v/>
      </c>
    </row>
    <row r="826" spans="3:3" x14ac:dyDescent="0.3">
      <c r="C826" t="str">
        <f t="shared" si="12"/>
        <v/>
      </c>
    </row>
    <row r="827" spans="3:3" x14ac:dyDescent="0.3">
      <c r="C827" t="str">
        <f t="shared" si="12"/>
        <v/>
      </c>
    </row>
    <row r="828" spans="3:3" x14ac:dyDescent="0.3">
      <c r="C828" t="str">
        <f t="shared" si="12"/>
        <v/>
      </c>
    </row>
    <row r="829" spans="3:3" x14ac:dyDescent="0.3">
      <c r="C829" t="str">
        <f t="shared" si="12"/>
        <v/>
      </c>
    </row>
    <row r="830" spans="3:3" x14ac:dyDescent="0.3">
      <c r="C830" t="str">
        <f t="shared" si="12"/>
        <v/>
      </c>
    </row>
    <row r="831" spans="3:3" x14ac:dyDescent="0.3">
      <c r="C831" t="str">
        <f t="shared" si="12"/>
        <v/>
      </c>
    </row>
    <row r="832" spans="3:3" x14ac:dyDescent="0.3">
      <c r="C832" t="str">
        <f t="shared" si="12"/>
        <v/>
      </c>
    </row>
    <row r="833" spans="3:3" x14ac:dyDescent="0.3">
      <c r="C833" t="str">
        <f t="shared" si="12"/>
        <v/>
      </c>
    </row>
    <row r="834" spans="3:3" x14ac:dyDescent="0.3">
      <c r="C834" t="str">
        <f t="shared" ref="C834:C897" si="13">IF(A834="","",B834&amp;"-"&amp;TEXT(A834,"000000"))</f>
        <v/>
      </c>
    </row>
    <row r="835" spans="3:3" x14ac:dyDescent="0.3">
      <c r="C835" t="str">
        <f t="shared" si="13"/>
        <v/>
      </c>
    </row>
    <row r="836" spans="3:3" x14ac:dyDescent="0.3">
      <c r="C836" t="str">
        <f t="shared" si="13"/>
        <v/>
      </c>
    </row>
    <row r="837" spans="3:3" x14ac:dyDescent="0.3">
      <c r="C837" t="str">
        <f t="shared" si="13"/>
        <v/>
      </c>
    </row>
    <row r="838" spans="3:3" x14ac:dyDescent="0.3">
      <c r="C838" t="str">
        <f t="shared" si="13"/>
        <v/>
      </c>
    </row>
    <row r="839" spans="3:3" x14ac:dyDescent="0.3">
      <c r="C839" t="str">
        <f t="shared" si="13"/>
        <v/>
      </c>
    </row>
    <row r="840" spans="3:3" x14ac:dyDescent="0.3">
      <c r="C840" t="str">
        <f t="shared" si="13"/>
        <v/>
      </c>
    </row>
    <row r="841" spans="3:3" x14ac:dyDescent="0.3">
      <c r="C841" t="str">
        <f t="shared" si="13"/>
        <v/>
      </c>
    </row>
    <row r="842" spans="3:3" x14ac:dyDescent="0.3">
      <c r="C842" t="str">
        <f t="shared" si="13"/>
        <v/>
      </c>
    </row>
    <row r="843" spans="3:3" x14ac:dyDescent="0.3">
      <c r="C843" t="str">
        <f t="shared" si="13"/>
        <v/>
      </c>
    </row>
    <row r="844" spans="3:3" x14ac:dyDescent="0.3">
      <c r="C844" t="str">
        <f t="shared" si="13"/>
        <v/>
      </c>
    </row>
    <row r="845" spans="3:3" x14ac:dyDescent="0.3">
      <c r="C845" t="str">
        <f t="shared" si="13"/>
        <v/>
      </c>
    </row>
    <row r="846" spans="3:3" x14ac:dyDescent="0.3">
      <c r="C846" t="str">
        <f t="shared" si="13"/>
        <v/>
      </c>
    </row>
    <row r="847" spans="3:3" x14ac:dyDescent="0.3">
      <c r="C847" t="str">
        <f t="shared" si="13"/>
        <v/>
      </c>
    </row>
    <row r="848" spans="3:3" x14ac:dyDescent="0.3">
      <c r="C848" t="str">
        <f t="shared" si="13"/>
        <v/>
      </c>
    </row>
    <row r="849" spans="3:3" x14ac:dyDescent="0.3">
      <c r="C849" t="str">
        <f t="shared" si="13"/>
        <v/>
      </c>
    </row>
    <row r="850" spans="3:3" x14ac:dyDescent="0.3">
      <c r="C850" t="str">
        <f t="shared" si="13"/>
        <v/>
      </c>
    </row>
    <row r="851" spans="3:3" x14ac:dyDescent="0.3">
      <c r="C851" t="str">
        <f t="shared" si="13"/>
        <v/>
      </c>
    </row>
    <row r="852" spans="3:3" x14ac:dyDescent="0.3">
      <c r="C852" t="str">
        <f t="shared" si="13"/>
        <v/>
      </c>
    </row>
    <row r="853" spans="3:3" x14ac:dyDescent="0.3">
      <c r="C853" t="str">
        <f t="shared" si="13"/>
        <v/>
      </c>
    </row>
    <row r="854" spans="3:3" x14ac:dyDescent="0.3">
      <c r="C854" t="str">
        <f t="shared" si="13"/>
        <v/>
      </c>
    </row>
    <row r="855" spans="3:3" x14ac:dyDescent="0.3">
      <c r="C855" t="str">
        <f t="shared" si="13"/>
        <v/>
      </c>
    </row>
    <row r="856" spans="3:3" x14ac:dyDescent="0.3">
      <c r="C856" t="str">
        <f t="shared" si="13"/>
        <v/>
      </c>
    </row>
    <row r="857" spans="3:3" x14ac:dyDescent="0.3">
      <c r="C857" t="str">
        <f t="shared" si="13"/>
        <v/>
      </c>
    </row>
    <row r="858" spans="3:3" x14ac:dyDescent="0.3">
      <c r="C858" t="str">
        <f t="shared" si="13"/>
        <v/>
      </c>
    </row>
    <row r="859" spans="3:3" x14ac:dyDescent="0.3">
      <c r="C859" t="str">
        <f t="shared" si="13"/>
        <v/>
      </c>
    </row>
    <row r="860" spans="3:3" x14ac:dyDescent="0.3">
      <c r="C860" t="str">
        <f t="shared" si="13"/>
        <v/>
      </c>
    </row>
    <row r="861" spans="3:3" x14ac:dyDescent="0.3">
      <c r="C861" t="str">
        <f t="shared" si="13"/>
        <v/>
      </c>
    </row>
    <row r="862" spans="3:3" x14ac:dyDescent="0.3">
      <c r="C862" t="str">
        <f t="shared" si="13"/>
        <v/>
      </c>
    </row>
    <row r="863" spans="3:3" x14ac:dyDescent="0.3">
      <c r="C863" t="str">
        <f t="shared" si="13"/>
        <v/>
      </c>
    </row>
    <row r="864" spans="3:3" x14ac:dyDescent="0.3">
      <c r="C864" t="str">
        <f t="shared" si="13"/>
        <v/>
      </c>
    </row>
    <row r="865" spans="3:3" x14ac:dyDescent="0.3">
      <c r="C865" t="str">
        <f t="shared" si="13"/>
        <v/>
      </c>
    </row>
    <row r="866" spans="3:3" x14ac:dyDescent="0.3">
      <c r="C866" t="str">
        <f t="shared" si="13"/>
        <v/>
      </c>
    </row>
    <row r="867" spans="3:3" x14ac:dyDescent="0.3">
      <c r="C867" t="str">
        <f t="shared" si="13"/>
        <v/>
      </c>
    </row>
    <row r="868" spans="3:3" x14ac:dyDescent="0.3">
      <c r="C868" t="str">
        <f t="shared" si="13"/>
        <v/>
      </c>
    </row>
    <row r="869" spans="3:3" x14ac:dyDescent="0.3">
      <c r="C869" t="str">
        <f t="shared" si="13"/>
        <v/>
      </c>
    </row>
    <row r="870" spans="3:3" x14ac:dyDescent="0.3">
      <c r="C870" t="str">
        <f t="shared" si="13"/>
        <v/>
      </c>
    </row>
    <row r="871" spans="3:3" x14ac:dyDescent="0.3">
      <c r="C871" t="str">
        <f t="shared" si="13"/>
        <v/>
      </c>
    </row>
    <row r="872" spans="3:3" x14ac:dyDescent="0.3">
      <c r="C872" t="str">
        <f t="shared" si="13"/>
        <v/>
      </c>
    </row>
    <row r="873" spans="3:3" x14ac:dyDescent="0.3">
      <c r="C873" t="str">
        <f t="shared" si="13"/>
        <v/>
      </c>
    </row>
    <row r="874" spans="3:3" x14ac:dyDescent="0.3">
      <c r="C874" t="str">
        <f t="shared" si="13"/>
        <v/>
      </c>
    </row>
    <row r="875" spans="3:3" x14ac:dyDescent="0.3">
      <c r="C875" t="str">
        <f t="shared" si="13"/>
        <v/>
      </c>
    </row>
    <row r="876" spans="3:3" x14ac:dyDescent="0.3">
      <c r="C876" t="str">
        <f t="shared" si="13"/>
        <v/>
      </c>
    </row>
    <row r="877" spans="3:3" x14ac:dyDescent="0.3">
      <c r="C877" t="str">
        <f t="shared" si="13"/>
        <v/>
      </c>
    </row>
    <row r="878" spans="3:3" x14ac:dyDescent="0.3">
      <c r="C878" t="str">
        <f t="shared" si="13"/>
        <v/>
      </c>
    </row>
    <row r="879" spans="3:3" x14ac:dyDescent="0.3">
      <c r="C879" t="str">
        <f t="shared" si="13"/>
        <v/>
      </c>
    </row>
    <row r="880" spans="3:3" x14ac:dyDescent="0.3">
      <c r="C880" t="str">
        <f t="shared" si="13"/>
        <v/>
      </c>
    </row>
    <row r="881" spans="3:3" x14ac:dyDescent="0.3">
      <c r="C881" t="str">
        <f t="shared" si="13"/>
        <v/>
      </c>
    </row>
    <row r="882" spans="3:3" x14ac:dyDescent="0.3">
      <c r="C882" t="str">
        <f t="shared" si="13"/>
        <v/>
      </c>
    </row>
    <row r="883" spans="3:3" x14ac:dyDescent="0.3">
      <c r="C883" t="str">
        <f t="shared" si="13"/>
        <v/>
      </c>
    </row>
    <row r="884" spans="3:3" x14ac:dyDescent="0.3">
      <c r="C884" t="str">
        <f t="shared" si="13"/>
        <v/>
      </c>
    </row>
    <row r="885" spans="3:3" x14ac:dyDescent="0.3">
      <c r="C885" t="str">
        <f t="shared" si="13"/>
        <v/>
      </c>
    </row>
    <row r="886" spans="3:3" x14ac:dyDescent="0.3">
      <c r="C886" t="str">
        <f t="shared" si="13"/>
        <v/>
      </c>
    </row>
    <row r="887" spans="3:3" x14ac:dyDescent="0.3">
      <c r="C887" t="str">
        <f t="shared" si="13"/>
        <v/>
      </c>
    </row>
    <row r="888" spans="3:3" x14ac:dyDescent="0.3">
      <c r="C888" t="str">
        <f t="shared" si="13"/>
        <v/>
      </c>
    </row>
    <row r="889" spans="3:3" x14ac:dyDescent="0.3">
      <c r="C889" t="str">
        <f t="shared" si="13"/>
        <v/>
      </c>
    </row>
    <row r="890" spans="3:3" x14ac:dyDescent="0.3">
      <c r="C890" t="str">
        <f t="shared" si="13"/>
        <v/>
      </c>
    </row>
    <row r="891" spans="3:3" x14ac:dyDescent="0.3">
      <c r="C891" t="str">
        <f t="shared" si="13"/>
        <v/>
      </c>
    </row>
    <row r="892" spans="3:3" x14ac:dyDescent="0.3">
      <c r="C892" t="str">
        <f t="shared" si="13"/>
        <v/>
      </c>
    </row>
    <row r="893" spans="3:3" x14ac:dyDescent="0.3">
      <c r="C893" t="str">
        <f t="shared" si="13"/>
        <v/>
      </c>
    </row>
    <row r="894" spans="3:3" x14ac:dyDescent="0.3">
      <c r="C894" t="str">
        <f t="shared" si="13"/>
        <v/>
      </c>
    </row>
    <row r="895" spans="3:3" x14ac:dyDescent="0.3">
      <c r="C895" t="str">
        <f t="shared" si="13"/>
        <v/>
      </c>
    </row>
    <row r="896" spans="3:3" x14ac:dyDescent="0.3">
      <c r="C896" t="str">
        <f t="shared" si="13"/>
        <v/>
      </c>
    </row>
    <row r="897" spans="3:3" x14ac:dyDescent="0.3">
      <c r="C897" t="str">
        <f t="shared" si="13"/>
        <v/>
      </c>
    </row>
    <row r="898" spans="3:3" x14ac:dyDescent="0.3">
      <c r="C898" t="str">
        <f t="shared" ref="C898:C961" si="14">IF(A898="","",B898&amp;"-"&amp;TEXT(A898,"000000"))</f>
        <v/>
      </c>
    </row>
    <row r="899" spans="3:3" x14ac:dyDescent="0.3">
      <c r="C899" t="str">
        <f t="shared" si="14"/>
        <v/>
      </c>
    </row>
    <row r="900" spans="3:3" x14ac:dyDescent="0.3">
      <c r="C900" t="str">
        <f t="shared" si="14"/>
        <v/>
      </c>
    </row>
    <row r="901" spans="3:3" x14ac:dyDescent="0.3">
      <c r="C901" t="str">
        <f t="shared" si="14"/>
        <v/>
      </c>
    </row>
    <row r="902" spans="3:3" x14ac:dyDescent="0.3">
      <c r="C902" t="str">
        <f t="shared" si="14"/>
        <v/>
      </c>
    </row>
    <row r="903" spans="3:3" x14ac:dyDescent="0.3">
      <c r="C903" t="str">
        <f t="shared" si="14"/>
        <v/>
      </c>
    </row>
    <row r="904" spans="3:3" x14ac:dyDescent="0.3">
      <c r="C904" t="str">
        <f t="shared" si="14"/>
        <v/>
      </c>
    </row>
    <row r="905" spans="3:3" x14ac:dyDescent="0.3">
      <c r="C905" t="str">
        <f t="shared" si="14"/>
        <v/>
      </c>
    </row>
    <row r="906" spans="3:3" x14ac:dyDescent="0.3">
      <c r="C906" t="str">
        <f t="shared" si="14"/>
        <v/>
      </c>
    </row>
    <row r="907" spans="3:3" x14ac:dyDescent="0.3">
      <c r="C907" t="str">
        <f t="shared" si="14"/>
        <v/>
      </c>
    </row>
    <row r="908" spans="3:3" x14ac:dyDescent="0.3">
      <c r="C908" t="str">
        <f t="shared" si="14"/>
        <v/>
      </c>
    </row>
    <row r="909" spans="3:3" x14ac:dyDescent="0.3">
      <c r="C909" t="str">
        <f t="shared" si="14"/>
        <v/>
      </c>
    </row>
    <row r="910" spans="3:3" x14ac:dyDescent="0.3">
      <c r="C910" t="str">
        <f t="shared" si="14"/>
        <v/>
      </c>
    </row>
    <row r="911" spans="3:3" x14ac:dyDescent="0.3">
      <c r="C911" t="str">
        <f t="shared" si="14"/>
        <v/>
      </c>
    </row>
    <row r="912" spans="3:3" x14ac:dyDescent="0.3">
      <c r="C912" t="str">
        <f t="shared" si="14"/>
        <v/>
      </c>
    </row>
    <row r="913" spans="3:3" x14ac:dyDescent="0.3">
      <c r="C913" t="str">
        <f t="shared" si="14"/>
        <v/>
      </c>
    </row>
    <row r="914" spans="3:3" x14ac:dyDescent="0.3">
      <c r="C914" t="str">
        <f t="shared" si="14"/>
        <v/>
      </c>
    </row>
    <row r="915" spans="3:3" x14ac:dyDescent="0.3">
      <c r="C915" t="str">
        <f t="shared" si="14"/>
        <v/>
      </c>
    </row>
    <row r="916" spans="3:3" x14ac:dyDescent="0.3">
      <c r="C916" t="str">
        <f t="shared" si="14"/>
        <v/>
      </c>
    </row>
    <row r="917" spans="3:3" x14ac:dyDescent="0.3">
      <c r="C917" t="str">
        <f t="shared" si="14"/>
        <v/>
      </c>
    </row>
    <row r="918" spans="3:3" x14ac:dyDescent="0.3">
      <c r="C918" t="str">
        <f t="shared" si="14"/>
        <v/>
      </c>
    </row>
    <row r="919" spans="3:3" x14ac:dyDescent="0.3">
      <c r="C919" t="str">
        <f t="shared" si="14"/>
        <v/>
      </c>
    </row>
    <row r="920" spans="3:3" x14ac:dyDescent="0.3">
      <c r="C920" t="str">
        <f t="shared" si="14"/>
        <v/>
      </c>
    </row>
    <row r="921" spans="3:3" x14ac:dyDescent="0.3">
      <c r="C921" t="str">
        <f t="shared" si="14"/>
        <v/>
      </c>
    </row>
    <row r="922" spans="3:3" x14ac:dyDescent="0.3">
      <c r="C922" t="str">
        <f t="shared" si="14"/>
        <v/>
      </c>
    </row>
    <row r="923" spans="3:3" x14ac:dyDescent="0.3">
      <c r="C923" t="str">
        <f t="shared" si="14"/>
        <v/>
      </c>
    </row>
    <row r="924" spans="3:3" x14ac:dyDescent="0.3">
      <c r="C924" t="str">
        <f t="shared" si="14"/>
        <v/>
      </c>
    </row>
    <row r="925" spans="3:3" x14ac:dyDescent="0.3">
      <c r="C925" t="str">
        <f t="shared" si="14"/>
        <v/>
      </c>
    </row>
    <row r="926" spans="3:3" x14ac:dyDescent="0.3">
      <c r="C926" t="str">
        <f t="shared" si="14"/>
        <v/>
      </c>
    </row>
    <row r="927" spans="3:3" x14ac:dyDescent="0.3">
      <c r="C927" t="str">
        <f t="shared" si="14"/>
        <v/>
      </c>
    </row>
    <row r="928" spans="3:3" x14ac:dyDescent="0.3">
      <c r="C928" t="str">
        <f t="shared" si="14"/>
        <v/>
      </c>
    </row>
    <row r="929" spans="3:3" x14ac:dyDescent="0.3">
      <c r="C929" t="str">
        <f t="shared" si="14"/>
        <v/>
      </c>
    </row>
    <row r="930" spans="3:3" x14ac:dyDescent="0.3">
      <c r="C930" t="str">
        <f t="shared" si="14"/>
        <v/>
      </c>
    </row>
    <row r="931" spans="3:3" x14ac:dyDescent="0.3">
      <c r="C931" t="str">
        <f t="shared" si="14"/>
        <v/>
      </c>
    </row>
    <row r="932" spans="3:3" x14ac:dyDescent="0.3">
      <c r="C932" t="str">
        <f t="shared" si="14"/>
        <v/>
      </c>
    </row>
    <row r="933" spans="3:3" x14ac:dyDescent="0.3">
      <c r="C933" t="str">
        <f t="shared" si="14"/>
        <v/>
      </c>
    </row>
    <row r="934" spans="3:3" x14ac:dyDescent="0.3">
      <c r="C934" t="str">
        <f t="shared" si="14"/>
        <v/>
      </c>
    </row>
    <row r="935" spans="3:3" x14ac:dyDescent="0.3">
      <c r="C935" t="str">
        <f t="shared" si="14"/>
        <v/>
      </c>
    </row>
    <row r="936" spans="3:3" x14ac:dyDescent="0.3">
      <c r="C936" t="str">
        <f t="shared" si="14"/>
        <v/>
      </c>
    </row>
    <row r="937" spans="3:3" x14ac:dyDescent="0.3">
      <c r="C937" t="str">
        <f t="shared" si="14"/>
        <v/>
      </c>
    </row>
    <row r="938" spans="3:3" x14ac:dyDescent="0.3">
      <c r="C938" t="str">
        <f t="shared" si="14"/>
        <v/>
      </c>
    </row>
    <row r="939" spans="3:3" x14ac:dyDescent="0.3">
      <c r="C939" t="str">
        <f t="shared" si="14"/>
        <v/>
      </c>
    </row>
    <row r="940" spans="3:3" x14ac:dyDescent="0.3">
      <c r="C940" t="str">
        <f t="shared" si="14"/>
        <v/>
      </c>
    </row>
    <row r="941" spans="3:3" x14ac:dyDescent="0.3">
      <c r="C941" t="str">
        <f t="shared" si="14"/>
        <v/>
      </c>
    </row>
    <row r="942" spans="3:3" x14ac:dyDescent="0.3">
      <c r="C942" t="str">
        <f t="shared" si="14"/>
        <v/>
      </c>
    </row>
    <row r="943" spans="3:3" x14ac:dyDescent="0.3">
      <c r="C943" t="str">
        <f t="shared" si="14"/>
        <v/>
      </c>
    </row>
    <row r="944" spans="3:3" x14ac:dyDescent="0.3">
      <c r="C944" t="str">
        <f t="shared" si="14"/>
        <v/>
      </c>
    </row>
    <row r="945" spans="3:3" x14ac:dyDescent="0.3">
      <c r="C945" t="str">
        <f t="shared" si="14"/>
        <v/>
      </c>
    </row>
    <row r="946" spans="3:3" x14ac:dyDescent="0.3">
      <c r="C946" t="str">
        <f t="shared" si="14"/>
        <v/>
      </c>
    </row>
    <row r="947" spans="3:3" x14ac:dyDescent="0.3">
      <c r="C947" t="str">
        <f t="shared" si="14"/>
        <v/>
      </c>
    </row>
    <row r="948" spans="3:3" x14ac:dyDescent="0.3">
      <c r="C948" t="str">
        <f t="shared" si="14"/>
        <v/>
      </c>
    </row>
    <row r="949" spans="3:3" x14ac:dyDescent="0.3">
      <c r="C949" t="str">
        <f t="shared" si="14"/>
        <v/>
      </c>
    </row>
    <row r="950" spans="3:3" x14ac:dyDescent="0.3">
      <c r="C950" t="str">
        <f t="shared" si="14"/>
        <v/>
      </c>
    </row>
    <row r="951" spans="3:3" x14ac:dyDescent="0.3">
      <c r="C951" t="str">
        <f t="shared" si="14"/>
        <v/>
      </c>
    </row>
    <row r="952" spans="3:3" x14ac:dyDescent="0.3">
      <c r="C952" t="str">
        <f t="shared" si="14"/>
        <v/>
      </c>
    </row>
    <row r="953" spans="3:3" x14ac:dyDescent="0.3">
      <c r="C953" t="str">
        <f t="shared" si="14"/>
        <v/>
      </c>
    </row>
    <row r="954" spans="3:3" x14ac:dyDescent="0.3">
      <c r="C954" t="str">
        <f t="shared" si="14"/>
        <v/>
      </c>
    </row>
    <row r="955" spans="3:3" x14ac:dyDescent="0.3">
      <c r="C955" t="str">
        <f t="shared" si="14"/>
        <v/>
      </c>
    </row>
    <row r="956" spans="3:3" x14ac:dyDescent="0.3">
      <c r="C956" t="str">
        <f t="shared" si="14"/>
        <v/>
      </c>
    </row>
    <row r="957" spans="3:3" x14ac:dyDescent="0.3">
      <c r="C957" t="str">
        <f t="shared" si="14"/>
        <v/>
      </c>
    </row>
    <row r="958" spans="3:3" x14ac:dyDescent="0.3">
      <c r="C958" t="str">
        <f t="shared" si="14"/>
        <v/>
      </c>
    </row>
    <row r="959" spans="3:3" x14ac:dyDescent="0.3">
      <c r="C959" t="str">
        <f t="shared" si="14"/>
        <v/>
      </c>
    </row>
    <row r="960" spans="3:3" x14ac:dyDescent="0.3">
      <c r="C960" t="str">
        <f t="shared" si="14"/>
        <v/>
      </c>
    </row>
    <row r="961" spans="3:3" x14ac:dyDescent="0.3">
      <c r="C961" t="str">
        <f t="shared" si="14"/>
        <v/>
      </c>
    </row>
    <row r="962" spans="3:3" x14ac:dyDescent="0.3">
      <c r="C962" t="str">
        <f t="shared" ref="C962:C1000" si="15">IF(A962="","",B962&amp;"-"&amp;TEXT(A962,"000000"))</f>
        <v/>
      </c>
    </row>
    <row r="963" spans="3:3" x14ac:dyDescent="0.3">
      <c r="C963" t="str">
        <f t="shared" si="15"/>
        <v/>
      </c>
    </row>
    <row r="964" spans="3:3" x14ac:dyDescent="0.3">
      <c r="C964" t="str">
        <f t="shared" si="15"/>
        <v/>
      </c>
    </row>
    <row r="965" spans="3:3" x14ac:dyDescent="0.3">
      <c r="C965" t="str">
        <f t="shared" si="15"/>
        <v/>
      </c>
    </row>
    <row r="966" spans="3:3" x14ac:dyDescent="0.3">
      <c r="C966" t="str">
        <f t="shared" si="15"/>
        <v/>
      </c>
    </row>
    <row r="967" spans="3:3" x14ac:dyDescent="0.3">
      <c r="C967" t="str">
        <f t="shared" si="15"/>
        <v/>
      </c>
    </row>
    <row r="968" spans="3:3" x14ac:dyDescent="0.3">
      <c r="C968" t="str">
        <f t="shared" si="15"/>
        <v/>
      </c>
    </row>
    <row r="969" spans="3:3" x14ac:dyDescent="0.3">
      <c r="C969" t="str">
        <f t="shared" si="15"/>
        <v/>
      </c>
    </row>
    <row r="970" spans="3:3" x14ac:dyDescent="0.3">
      <c r="C970" t="str">
        <f t="shared" si="15"/>
        <v/>
      </c>
    </row>
    <row r="971" spans="3:3" x14ac:dyDescent="0.3">
      <c r="C971" t="str">
        <f t="shared" si="15"/>
        <v/>
      </c>
    </row>
    <row r="972" spans="3:3" x14ac:dyDescent="0.3">
      <c r="C972" t="str">
        <f t="shared" si="15"/>
        <v/>
      </c>
    </row>
    <row r="973" spans="3:3" x14ac:dyDescent="0.3">
      <c r="C973" t="str">
        <f t="shared" si="15"/>
        <v/>
      </c>
    </row>
    <row r="974" spans="3:3" x14ac:dyDescent="0.3">
      <c r="C974" t="str">
        <f t="shared" si="15"/>
        <v/>
      </c>
    </row>
    <row r="975" spans="3:3" x14ac:dyDescent="0.3">
      <c r="C975" t="str">
        <f t="shared" si="15"/>
        <v/>
      </c>
    </row>
    <row r="976" spans="3:3" x14ac:dyDescent="0.3">
      <c r="C976" t="str">
        <f t="shared" si="15"/>
        <v/>
      </c>
    </row>
    <row r="977" spans="3:3" x14ac:dyDescent="0.3">
      <c r="C977" t="str">
        <f t="shared" si="15"/>
        <v/>
      </c>
    </row>
    <row r="978" spans="3:3" x14ac:dyDescent="0.3">
      <c r="C978" t="str">
        <f t="shared" si="15"/>
        <v/>
      </c>
    </row>
    <row r="979" spans="3:3" x14ac:dyDescent="0.3">
      <c r="C979" t="str">
        <f t="shared" si="15"/>
        <v/>
      </c>
    </row>
    <row r="980" spans="3:3" x14ac:dyDescent="0.3">
      <c r="C980" t="str">
        <f t="shared" si="15"/>
        <v/>
      </c>
    </row>
    <row r="981" spans="3:3" x14ac:dyDescent="0.3">
      <c r="C981" t="str">
        <f t="shared" si="15"/>
        <v/>
      </c>
    </row>
    <row r="982" spans="3:3" x14ac:dyDescent="0.3">
      <c r="C982" t="str">
        <f t="shared" si="15"/>
        <v/>
      </c>
    </row>
    <row r="983" spans="3:3" x14ac:dyDescent="0.3">
      <c r="C983" t="str">
        <f t="shared" si="15"/>
        <v/>
      </c>
    </row>
    <row r="984" spans="3:3" x14ac:dyDescent="0.3">
      <c r="C984" t="str">
        <f t="shared" si="15"/>
        <v/>
      </c>
    </row>
    <row r="985" spans="3:3" x14ac:dyDescent="0.3">
      <c r="C985" t="str">
        <f t="shared" si="15"/>
        <v/>
      </c>
    </row>
    <row r="986" spans="3:3" x14ac:dyDescent="0.3">
      <c r="C986" t="str">
        <f t="shared" si="15"/>
        <v/>
      </c>
    </row>
    <row r="987" spans="3:3" x14ac:dyDescent="0.3">
      <c r="C987" t="str">
        <f t="shared" si="15"/>
        <v/>
      </c>
    </row>
    <row r="988" spans="3:3" x14ac:dyDescent="0.3">
      <c r="C988" t="str">
        <f t="shared" si="15"/>
        <v/>
      </c>
    </row>
    <row r="989" spans="3:3" x14ac:dyDescent="0.3">
      <c r="C989" t="str">
        <f t="shared" si="15"/>
        <v/>
      </c>
    </row>
    <row r="990" spans="3:3" x14ac:dyDescent="0.3">
      <c r="C990" t="str">
        <f t="shared" si="15"/>
        <v/>
      </c>
    </row>
    <row r="991" spans="3:3" x14ac:dyDescent="0.3">
      <c r="C991" t="str">
        <f t="shared" si="15"/>
        <v/>
      </c>
    </row>
    <row r="992" spans="3:3" x14ac:dyDescent="0.3">
      <c r="C992" t="str">
        <f t="shared" si="15"/>
        <v/>
      </c>
    </row>
    <row r="993" spans="3:3" x14ac:dyDescent="0.3">
      <c r="C993" t="str">
        <f t="shared" si="15"/>
        <v/>
      </c>
    </row>
    <row r="994" spans="3:3" x14ac:dyDescent="0.3">
      <c r="C994" t="str">
        <f t="shared" si="15"/>
        <v/>
      </c>
    </row>
    <row r="995" spans="3:3" x14ac:dyDescent="0.3">
      <c r="C995" t="str">
        <f t="shared" si="15"/>
        <v/>
      </c>
    </row>
    <row r="996" spans="3:3" x14ac:dyDescent="0.3">
      <c r="C996" t="str">
        <f t="shared" si="15"/>
        <v/>
      </c>
    </row>
    <row r="997" spans="3:3" x14ac:dyDescent="0.3">
      <c r="C997" t="str">
        <f t="shared" si="15"/>
        <v/>
      </c>
    </row>
    <row r="998" spans="3:3" x14ac:dyDescent="0.3">
      <c r="C998" t="str">
        <f t="shared" si="15"/>
        <v/>
      </c>
    </row>
    <row r="999" spans="3:3" x14ac:dyDescent="0.3">
      <c r="C999" t="str">
        <f t="shared" si="15"/>
        <v/>
      </c>
    </row>
    <row r="1000" spans="3:3" x14ac:dyDescent="0.3">
      <c r="C1000" t="str">
        <f t="shared" si="1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C9"/>
  <sheetViews>
    <sheetView rightToLeft="1" topLeftCell="G1" workbookViewId="0">
      <selection activeCell="O7" sqref="O7"/>
    </sheetView>
  </sheetViews>
  <sheetFormatPr defaultRowHeight="14.4" x14ac:dyDescent="0.3"/>
  <cols>
    <col min="1" max="1" width="17.21875" customWidth="1"/>
    <col min="3" max="3" width="10.44140625" bestFit="1" customWidth="1"/>
    <col min="15" max="15" width="26.21875" bestFit="1" customWidth="1"/>
    <col min="17" max="17" width="10.33203125" bestFit="1" customWidth="1"/>
    <col min="25" max="25" width="11.77734375" bestFit="1" customWidth="1"/>
    <col min="26" max="26" width="18.33203125" bestFit="1" customWidth="1"/>
    <col min="27" max="27" width="30.77734375" bestFit="1" customWidth="1"/>
    <col min="28" max="28" width="10.44140625" bestFit="1" customWidth="1"/>
    <col min="29" max="29" width="24.21875" bestFit="1" customWidth="1"/>
  </cols>
  <sheetData>
    <row r="1" spans="1:29" x14ac:dyDescent="0.3">
      <c r="A1" s="1" t="s">
        <v>32</v>
      </c>
      <c r="B1" s="1" t="s">
        <v>33</v>
      </c>
      <c r="C1" s="1" t="s">
        <v>34</v>
      </c>
      <c r="D1" t="s">
        <v>18</v>
      </c>
      <c r="O1" t="s">
        <v>11</v>
      </c>
      <c r="Q1" s="1" t="s">
        <v>9</v>
      </c>
      <c r="R1" s="1" t="s">
        <v>34</v>
      </c>
      <c r="T1" s="1" t="s">
        <v>33</v>
      </c>
      <c r="V1" s="1" t="s">
        <v>32</v>
      </c>
      <c r="Y1" s="1" t="s">
        <v>35</v>
      </c>
      <c r="Z1" s="1" t="s">
        <v>36</v>
      </c>
      <c r="AA1" s="1" t="s">
        <v>37</v>
      </c>
      <c r="AB1" s="1" t="s">
        <v>38</v>
      </c>
      <c r="AC1" s="1" t="s">
        <v>39</v>
      </c>
    </row>
    <row r="2" spans="1:29" x14ac:dyDescent="0.3">
      <c r="A2" t="s">
        <v>24</v>
      </c>
      <c r="B2" t="s">
        <v>40</v>
      </c>
      <c r="C2" t="s">
        <v>21</v>
      </c>
      <c r="D2">
        <v>2025</v>
      </c>
      <c r="O2" t="s">
        <v>24</v>
      </c>
      <c r="Q2" t="s">
        <v>41</v>
      </c>
      <c r="R2" t="s">
        <v>42</v>
      </c>
      <c r="T2" t="s">
        <v>43</v>
      </c>
      <c r="V2" t="s">
        <v>24</v>
      </c>
      <c r="Y2" t="s">
        <v>44</v>
      </c>
      <c r="Z2" t="s">
        <v>44</v>
      </c>
      <c r="AA2" t="s">
        <v>30</v>
      </c>
      <c r="AB2" t="s">
        <v>41</v>
      </c>
      <c r="AC2" t="s">
        <v>45</v>
      </c>
    </row>
    <row r="3" spans="1:29" x14ac:dyDescent="0.3">
      <c r="A3" t="s">
        <v>30</v>
      </c>
      <c r="B3" t="s">
        <v>43</v>
      </c>
      <c r="C3" t="s">
        <v>46</v>
      </c>
      <c r="D3">
        <v>2026</v>
      </c>
      <c r="O3" t="s">
        <v>30</v>
      </c>
      <c r="Q3" t="s">
        <v>29</v>
      </c>
      <c r="R3" t="s">
        <v>47</v>
      </c>
      <c r="T3" t="s">
        <v>40</v>
      </c>
      <c r="V3" t="s">
        <v>30</v>
      </c>
      <c r="Y3" t="s">
        <v>22</v>
      </c>
      <c r="Z3" t="s">
        <v>22</v>
      </c>
      <c r="AA3" t="s">
        <v>48</v>
      </c>
      <c r="AB3" t="s">
        <v>29</v>
      </c>
      <c r="AC3" t="s">
        <v>49</v>
      </c>
    </row>
    <row r="4" spans="1:29" x14ac:dyDescent="0.3">
      <c r="A4" t="s">
        <v>50</v>
      </c>
      <c r="C4" t="s">
        <v>31</v>
      </c>
      <c r="O4" t="s">
        <v>51</v>
      </c>
      <c r="Q4" t="s">
        <v>23</v>
      </c>
      <c r="R4" t="s">
        <v>52</v>
      </c>
      <c r="T4" t="s">
        <v>27</v>
      </c>
      <c r="V4" t="s">
        <v>53</v>
      </c>
      <c r="Y4" t="s">
        <v>54</v>
      </c>
      <c r="Z4" t="s">
        <v>54</v>
      </c>
      <c r="AA4" t="s">
        <v>55</v>
      </c>
      <c r="AB4" t="s">
        <v>23</v>
      </c>
      <c r="AC4" t="s">
        <v>56</v>
      </c>
    </row>
    <row r="5" spans="1:29" x14ac:dyDescent="0.3">
      <c r="A5" t="s">
        <v>57</v>
      </c>
      <c r="C5" t="s">
        <v>58</v>
      </c>
      <c r="O5" t="s">
        <v>57</v>
      </c>
      <c r="R5" t="s">
        <v>59</v>
      </c>
      <c r="V5" t="s">
        <v>48</v>
      </c>
      <c r="Y5" t="s">
        <v>26</v>
      </c>
      <c r="Z5" t="s">
        <v>26</v>
      </c>
      <c r="AA5" t="s">
        <v>60</v>
      </c>
    </row>
    <row r="6" spans="1:29" x14ac:dyDescent="0.3">
      <c r="A6" t="s">
        <v>48</v>
      </c>
      <c r="C6" t="s">
        <v>61</v>
      </c>
      <c r="O6" t="s">
        <v>48</v>
      </c>
      <c r="R6" t="s">
        <v>58</v>
      </c>
      <c r="V6" t="s">
        <v>62</v>
      </c>
      <c r="AA6" t="s">
        <v>63</v>
      </c>
    </row>
    <row r="7" spans="1:29" x14ac:dyDescent="0.3">
      <c r="A7" t="s">
        <v>53</v>
      </c>
      <c r="C7" t="s">
        <v>64</v>
      </c>
      <c r="O7" t="s">
        <v>62</v>
      </c>
      <c r="R7" t="s">
        <v>65</v>
      </c>
      <c r="AA7" t="s">
        <v>66</v>
      </c>
    </row>
    <row r="8" spans="1:29" x14ac:dyDescent="0.3">
      <c r="AA8" t="s">
        <v>67</v>
      </c>
    </row>
    <row r="9" spans="1:29" x14ac:dyDescent="0.3">
      <c r="AA9" t="s">
        <v>68</v>
      </c>
    </row>
  </sheetData>
  <dataValidations disablePrompts="1" count="3">
    <dataValidation type="list" allowBlank="1" showInputMessage="1" showErrorMessage="1" error="م فضلك اختار من القائمة فقط" prompt=" حالات العقد" sqref="A2:A1048576" xr:uid="{00000000-0002-0000-0200-000000000000}">
      <formula1>$V$2:$V$6</formula1>
    </dataValidation>
    <dataValidation type="list" allowBlank="1" showInputMessage="1" showErrorMessage="1" error="من فضلك اختر من القائمة فقط" prompt="نوع البند" sqref="B2:B1048576" xr:uid="{00000000-0002-0000-0200-000001000000}">
      <formula1>$T$2:$T$3</formula1>
    </dataValidation>
    <dataValidation type="list" allowBlank="1" showInputMessage="1" showErrorMessage="1" prompt="الأقسام" sqref="C2:C1048576" xr:uid="{00000000-0002-0000-0200-000002000000}">
      <formula1>$R$2:$R$7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1000"/>
  <sheetViews>
    <sheetView rightToLeft="1" workbookViewId="0">
      <selection activeCell="M1" sqref="M1:M1048576"/>
    </sheetView>
  </sheetViews>
  <sheetFormatPr defaultRowHeight="16.8" x14ac:dyDescent="0.35"/>
  <cols>
    <col min="1" max="1" width="7.5546875" bestFit="1" customWidth="1"/>
    <col min="2" max="2" width="11" bestFit="1" customWidth="1"/>
    <col min="3" max="3" width="13.44140625" bestFit="1" customWidth="1"/>
    <col min="4" max="4" width="22.109375" bestFit="1" customWidth="1"/>
    <col min="5" max="6" width="16" bestFit="1" customWidth="1"/>
    <col min="7" max="7" width="12.44140625" bestFit="1" customWidth="1"/>
    <col min="8" max="8" width="26.33203125" bestFit="1" customWidth="1"/>
    <col min="9" max="9" width="10.5546875" bestFit="1" customWidth="1"/>
    <col min="10" max="10" width="17.44140625" bestFit="1" customWidth="1"/>
    <col min="11" max="11" width="18.5546875" bestFit="1" customWidth="1"/>
    <col min="12" max="12" width="11" bestFit="1" customWidth="1"/>
    <col min="13" max="13" width="20.33203125" style="12" bestFit="1" customWidth="1"/>
    <col min="14" max="14" width="13.44140625" bestFit="1" customWidth="1"/>
    <col min="16" max="16" width="14.5546875" bestFit="1" customWidth="1"/>
    <col min="17" max="17" width="9.109375" bestFit="1" customWidth="1"/>
    <col min="18" max="18" width="14.6640625" bestFit="1" customWidth="1"/>
    <col min="21" max="21" width="18" customWidth="1"/>
    <col min="22" max="22" width="22" customWidth="1"/>
  </cols>
  <sheetData>
    <row r="1" spans="1:22" s="7" customFormat="1" ht="18" customHeight="1" x14ac:dyDescent="0.35">
      <c r="A1" s="18" t="s">
        <v>0</v>
      </c>
      <c r="B1" s="18" t="s">
        <v>69</v>
      </c>
      <c r="C1" s="18" t="s">
        <v>4</v>
      </c>
      <c r="D1" s="18" t="s">
        <v>5</v>
      </c>
      <c r="E1" s="18" t="s">
        <v>6</v>
      </c>
      <c r="F1" s="18" t="s">
        <v>7</v>
      </c>
      <c r="G1" s="19" t="s">
        <v>38</v>
      </c>
      <c r="H1" s="7" t="s">
        <v>8</v>
      </c>
      <c r="I1" s="18" t="s">
        <v>70</v>
      </c>
      <c r="J1" s="18" t="s">
        <v>12</v>
      </c>
      <c r="K1" s="18" t="s">
        <v>71</v>
      </c>
      <c r="L1" s="18" t="s">
        <v>72</v>
      </c>
      <c r="M1" s="21" t="s">
        <v>11</v>
      </c>
      <c r="N1" s="18" t="s">
        <v>73</v>
      </c>
      <c r="O1" s="18" t="s">
        <v>13</v>
      </c>
      <c r="P1" s="18" t="s">
        <v>14</v>
      </c>
      <c r="Q1" s="18" t="s">
        <v>15</v>
      </c>
      <c r="R1" s="18" t="s">
        <v>16</v>
      </c>
      <c r="S1" s="18" t="s">
        <v>17</v>
      </c>
      <c r="T1" t="s">
        <v>18</v>
      </c>
      <c r="U1" t="s">
        <v>19</v>
      </c>
      <c r="V1" t="s">
        <v>20</v>
      </c>
    </row>
    <row r="2" spans="1:22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  <c r="P2" s="3"/>
      <c r="Q2" s="3"/>
      <c r="R2" s="3"/>
      <c r="S2" s="3"/>
      <c r="T2" t="str">
        <f t="shared" ref="T2:T65" si="0">IF(P2="","",YEAR(P2))</f>
        <v/>
      </c>
    </row>
    <row r="3" spans="1:22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N3" s="3"/>
      <c r="O3" s="3"/>
      <c r="P3" s="3"/>
      <c r="Q3" s="3"/>
      <c r="R3" s="3"/>
      <c r="S3" s="3"/>
      <c r="T3" t="str">
        <f t="shared" si="0"/>
        <v/>
      </c>
    </row>
    <row r="4" spans="1:22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 s="3"/>
      <c r="O4" s="3"/>
      <c r="P4" s="3"/>
      <c r="Q4" s="3"/>
      <c r="R4" s="3"/>
      <c r="S4" s="3"/>
      <c r="T4" t="str">
        <f t="shared" si="0"/>
        <v/>
      </c>
    </row>
    <row r="5" spans="1:22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N5" s="3"/>
      <c r="O5" s="3"/>
      <c r="P5" s="3"/>
      <c r="Q5" s="3"/>
      <c r="R5" s="3"/>
      <c r="S5" s="3"/>
      <c r="T5" t="str">
        <f t="shared" si="0"/>
        <v/>
      </c>
    </row>
    <row r="6" spans="1:22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N6" s="3"/>
      <c r="O6" s="3"/>
      <c r="P6" s="3"/>
      <c r="Q6" s="3"/>
      <c r="R6" s="3"/>
      <c r="S6" s="3"/>
      <c r="T6" t="str">
        <f t="shared" si="0"/>
        <v/>
      </c>
    </row>
    <row r="7" spans="1:22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N7" s="3"/>
      <c r="O7" s="3"/>
      <c r="P7" s="3"/>
      <c r="Q7" s="3"/>
      <c r="R7" s="3"/>
      <c r="S7" s="3"/>
      <c r="T7" t="str">
        <f t="shared" si="0"/>
        <v/>
      </c>
    </row>
    <row r="8" spans="1:22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N8" s="3"/>
      <c r="O8" s="3"/>
      <c r="P8" s="3"/>
      <c r="Q8" s="3"/>
      <c r="R8" s="3"/>
      <c r="S8" s="3"/>
      <c r="T8" t="str">
        <f t="shared" si="0"/>
        <v/>
      </c>
    </row>
    <row r="9" spans="1:2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N9" s="3"/>
      <c r="O9" s="3"/>
      <c r="P9" s="3"/>
      <c r="Q9" s="3"/>
      <c r="R9" s="3"/>
      <c r="S9" s="3"/>
      <c r="T9" t="str">
        <f t="shared" si="0"/>
        <v/>
      </c>
    </row>
    <row r="10" spans="1:22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N10" s="3"/>
      <c r="O10" s="3"/>
      <c r="P10" s="3"/>
      <c r="Q10" s="3"/>
      <c r="R10" s="3"/>
      <c r="S10" s="3"/>
      <c r="T10" t="str">
        <f t="shared" si="0"/>
        <v/>
      </c>
    </row>
    <row r="11" spans="1:22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N11" s="3"/>
      <c r="O11" s="3"/>
      <c r="P11" s="3"/>
      <c r="Q11" s="3"/>
      <c r="R11" s="3"/>
      <c r="S11" s="3"/>
      <c r="T11" t="str">
        <f t="shared" si="0"/>
        <v/>
      </c>
    </row>
    <row r="12" spans="1:22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N12" s="3"/>
      <c r="O12" s="3"/>
      <c r="P12" s="3"/>
      <c r="Q12" s="3"/>
      <c r="R12" s="3"/>
      <c r="S12" s="3"/>
      <c r="T12" t="str">
        <f t="shared" si="0"/>
        <v/>
      </c>
    </row>
    <row r="13" spans="1:22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N13" s="3"/>
      <c r="O13" s="3"/>
      <c r="P13" s="3"/>
      <c r="Q13" s="3"/>
      <c r="R13" s="3"/>
      <c r="S13" s="3"/>
      <c r="T13" t="str">
        <f t="shared" si="0"/>
        <v/>
      </c>
    </row>
    <row r="14" spans="1:22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N14" s="3"/>
      <c r="O14" s="3"/>
      <c r="P14" s="3"/>
      <c r="Q14" s="3"/>
      <c r="R14" s="3"/>
      <c r="S14" s="3"/>
      <c r="T14" t="str">
        <f t="shared" si="0"/>
        <v/>
      </c>
    </row>
    <row r="15" spans="1:22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N15" s="3"/>
      <c r="O15" s="3"/>
      <c r="P15" s="3"/>
      <c r="Q15" s="3"/>
      <c r="R15" s="3"/>
      <c r="S15" s="3"/>
      <c r="T15" t="str">
        <f t="shared" si="0"/>
        <v/>
      </c>
    </row>
    <row r="16" spans="1:22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3"/>
      <c r="O16" s="3"/>
      <c r="P16" s="3"/>
      <c r="Q16" s="3"/>
      <c r="R16" s="3"/>
      <c r="S16" s="3"/>
      <c r="T16" t="str">
        <f t="shared" si="0"/>
        <v/>
      </c>
    </row>
    <row r="17" spans="1:20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N17" s="3"/>
      <c r="O17" s="3"/>
      <c r="P17" s="3"/>
      <c r="Q17" s="3"/>
      <c r="R17" s="3"/>
      <c r="S17" s="3"/>
      <c r="T17" t="str">
        <f t="shared" si="0"/>
        <v/>
      </c>
    </row>
    <row r="18" spans="1:20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N18" s="3"/>
      <c r="O18" s="3"/>
      <c r="P18" s="3"/>
      <c r="Q18" s="3"/>
      <c r="R18" s="3"/>
      <c r="S18" s="3"/>
      <c r="T18" t="str">
        <f t="shared" si="0"/>
        <v/>
      </c>
    </row>
    <row r="19" spans="1:20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N19" s="3"/>
      <c r="O19" s="3"/>
      <c r="P19" s="3"/>
      <c r="Q19" s="3"/>
      <c r="R19" s="3"/>
      <c r="S19" s="3"/>
      <c r="T19" t="str">
        <f t="shared" si="0"/>
        <v/>
      </c>
    </row>
    <row r="20" spans="1:20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N20" s="3"/>
      <c r="O20" s="3"/>
      <c r="P20" s="3"/>
      <c r="Q20" s="3"/>
      <c r="R20" s="3"/>
      <c r="S20" s="3"/>
      <c r="T20" t="str">
        <f t="shared" si="0"/>
        <v/>
      </c>
    </row>
    <row r="21" spans="1:20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N21" s="3"/>
      <c r="O21" s="3"/>
      <c r="P21" s="3"/>
      <c r="Q21" s="3"/>
      <c r="R21" s="3"/>
      <c r="S21" s="3"/>
      <c r="T21" t="str">
        <f t="shared" si="0"/>
        <v/>
      </c>
    </row>
    <row r="22" spans="1:20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N22" s="3"/>
      <c r="O22" s="3"/>
      <c r="P22" s="3"/>
      <c r="Q22" s="3"/>
      <c r="R22" s="3"/>
      <c r="S22" s="3"/>
      <c r="T22" t="str">
        <f t="shared" si="0"/>
        <v/>
      </c>
    </row>
    <row r="23" spans="1:20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N23" s="3"/>
      <c r="O23" s="3"/>
      <c r="P23" s="3"/>
      <c r="Q23" s="3"/>
      <c r="R23" s="3"/>
      <c r="S23" s="3"/>
      <c r="T23" t="str">
        <f t="shared" si="0"/>
        <v/>
      </c>
    </row>
    <row r="24" spans="1:20" x14ac:dyDescent="0.35">
      <c r="T24" t="str">
        <f t="shared" si="0"/>
        <v/>
      </c>
    </row>
    <row r="25" spans="1:20" x14ac:dyDescent="0.35">
      <c r="T25" t="str">
        <f t="shared" si="0"/>
        <v/>
      </c>
    </row>
    <row r="26" spans="1:20" x14ac:dyDescent="0.35">
      <c r="T26" t="str">
        <f t="shared" si="0"/>
        <v/>
      </c>
    </row>
    <row r="27" spans="1:20" x14ac:dyDescent="0.35">
      <c r="T27" t="str">
        <f t="shared" si="0"/>
        <v/>
      </c>
    </row>
    <row r="28" spans="1:20" x14ac:dyDescent="0.35">
      <c r="T28" t="str">
        <f t="shared" si="0"/>
        <v/>
      </c>
    </row>
    <row r="29" spans="1:20" x14ac:dyDescent="0.35">
      <c r="T29" t="str">
        <f t="shared" si="0"/>
        <v/>
      </c>
    </row>
    <row r="30" spans="1:20" x14ac:dyDescent="0.35">
      <c r="T30" t="str">
        <f t="shared" si="0"/>
        <v/>
      </c>
    </row>
    <row r="31" spans="1:20" x14ac:dyDescent="0.35">
      <c r="T31" t="str">
        <f t="shared" si="0"/>
        <v/>
      </c>
    </row>
    <row r="32" spans="1:20" x14ac:dyDescent="0.35">
      <c r="T32" t="str">
        <f t="shared" si="0"/>
        <v/>
      </c>
    </row>
    <row r="33" spans="20:20" x14ac:dyDescent="0.35">
      <c r="T33" t="str">
        <f t="shared" si="0"/>
        <v/>
      </c>
    </row>
    <row r="34" spans="20:20" x14ac:dyDescent="0.35">
      <c r="T34" t="str">
        <f t="shared" si="0"/>
        <v/>
      </c>
    </row>
    <row r="35" spans="20:20" x14ac:dyDescent="0.35">
      <c r="T35" t="str">
        <f t="shared" si="0"/>
        <v/>
      </c>
    </row>
    <row r="36" spans="20:20" x14ac:dyDescent="0.35">
      <c r="T36" t="str">
        <f t="shared" si="0"/>
        <v/>
      </c>
    </row>
    <row r="37" spans="20:20" x14ac:dyDescent="0.35">
      <c r="T37" t="str">
        <f t="shared" si="0"/>
        <v/>
      </c>
    </row>
    <row r="38" spans="20:20" x14ac:dyDescent="0.35">
      <c r="T38" t="str">
        <f t="shared" si="0"/>
        <v/>
      </c>
    </row>
    <row r="39" spans="20:20" x14ac:dyDescent="0.35">
      <c r="T39" t="str">
        <f t="shared" si="0"/>
        <v/>
      </c>
    </row>
    <row r="40" spans="20:20" x14ac:dyDescent="0.35">
      <c r="T40" t="str">
        <f t="shared" si="0"/>
        <v/>
      </c>
    </row>
    <row r="41" spans="20:20" x14ac:dyDescent="0.35">
      <c r="T41" t="str">
        <f t="shared" si="0"/>
        <v/>
      </c>
    </row>
    <row r="42" spans="20:20" x14ac:dyDescent="0.35">
      <c r="T42" t="str">
        <f t="shared" si="0"/>
        <v/>
      </c>
    </row>
    <row r="43" spans="20:20" x14ac:dyDescent="0.35">
      <c r="T43" t="str">
        <f t="shared" si="0"/>
        <v/>
      </c>
    </row>
    <row r="44" spans="20:20" x14ac:dyDescent="0.35">
      <c r="T44" t="str">
        <f t="shared" si="0"/>
        <v/>
      </c>
    </row>
    <row r="45" spans="20:20" x14ac:dyDescent="0.35">
      <c r="T45" t="str">
        <f t="shared" si="0"/>
        <v/>
      </c>
    </row>
    <row r="46" spans="20:20" x14ac:dyDescent="0.35">
      <c r="T46" t="str">
        <f t="shared" si="0"/>
        <v/>
      </c>
    </row>
    <row r="47" spans="20:20" x14ac:dyDescent="0.35">
      <c r="T47" t="str">
        <f t="shared" si="0"/>
        <v/>
      </c>
    </row>
    <row r="48" spans="20:20" x14ac:dyDescent="0.35">
      <c r="T48" t="str">
        <f t="shared" si="0"/>
        <v/>
      </c>
    </row>
    <row r="49" spans="20:20" x14ac:dyDescent="0.35">
      <c r="T49" t="str">
        <f t="shared" si="0"/>
        <v/>
      </c>
    </row>
    <row r="50" spans="20:20" x14ac:dyDescent="0.35">
      <c r="T50" t="str">
        <f t="shared" si="0"/>
        <v/>
      </c>
    </row>
    <row r="51" spans="20:20" x14ac:dyDescent="0.35">
      <c r="T51" t="str">
        <f t="shared" si="0"/>
        <v/>
      </c>
    </row>
    <row r="52" spans="20:20" x14ac:dyDescent="0.35">
      <c r="T52" t="str">
        <f t="shared" si="0"/>
        <v/>
      </c>
    </row>
    <row r="53" spans="20:20" x14ac:dyDescent="0.35">
      <c r="T53" t="str">
        <f t="shared" si="0"/>
        <v/>
      </c>
    </row>
    <row r="54" spans="20:20" x14ac:dyDescent="0.35">
      <c r="T54" t="str">
        <f t="shared" si="0"/>
        <v/>
      </c>
    </row>
    <row r="55" spans="20:20" x14ac:dyDescent="0.35">
      <c r="T55" t="str">
        <f t="shared" si="0"/>
        <v/>
      </c>
    </row>
    <row r="56" spans="20:20" x14ac:dyDescent="0.35">
      <c r="T56" t="str">
        <f t="shared" si="0"/>
        <v/>
      </c>
    </row>
    <row r="57" spans="20:20" x14ac:dyDescent="0.35">
      <c r="T57" t="str">
        <f t="shared" si="0"/>
        <v/>
      </c>
    </row>
    <row r="58" spans="20:20" x14ac:dyDescent="0.35">
      <c r="T58" t="str">
        <f t="shared" si="0"/>
        <v/>
      </c>
    </row>
    <row r="59" spans="20:20" x14ac:dyDescent="0.35">
      <c r="T59" t="str">
        <f t="shared" si="0"/>
        <v/>
      </c>
    </row>
    <row r="60" spans="20:20" x14ac:dyDescent="0.35">
      <c r="T60" t="str">
        <f t="shared" si="0"/>
        <v/>
      </c>
    </row>
    <row r="61" spans="20:20" x14ac:dyDescent="0.35">
      <c r="T61" t="str">
        <f t="shared" si="0"/>
        <v/>
      </c>
    </row>
    <row r="62" spans="20:20" x14ac:dyDescent="0.35">
      <c r="T62" t="str">
        <f t="shared" si="0"/>
        <v/>
      </c>
    </row>
    <row r="63" spans="20:20" x14ac:dyDescent="0.35">
      <c r="T63" t="str">
        <f t="shared" si="0"/>
        <v/>
      </c>
    </row>
    <row r="64" spans="20:20" x14ac:dyDescent="0.35">
      <c r="T64" t="str">
        <f t="shared" si="0"/>
        <v/>
      </c>
    </row>
    <row r="65" spans="20:20" x14ac:dyDescent="0.35">
      <c r="T65" t="str">
        <f t="shared" si="0"/>
        <v/>
      </c>
    </row>
    <row r="66" spans="20:20" x14ac:dyDescent="0.35">
      <c r="T66" t="str">
        <f t="shared" ref="T66:T129" si="1">IF(P66="","",YEAR(P66))</f>
        <v/>
      </c>
    </row>
    <row r="67" spans="20:20" x14ac:dyDescent="0.35">
      <c r="T67" t="str">
        <f t="shared" si="1"/>
        <v/>
      </c>
    </row>
    <row r="68" spans="20:20" x14ac:dyDescent="0.35">
      <c r="T68" t="str">
        <f t="shared" si="1"/>
        <v/>
      </c>
    </row>
    <row r="69" spans="20:20" x14ac:dyDescent="0.35">
      <c r="T69" t="str">
        <f t="shared" si="1"/>
        <v/>
      </c>
    </row>
    <row r="70" spans="20:20" x14ac:dyDescent="0.35">
      <c r="T70" t="str">
        <f t="shared" si="1"/>
        <v/>
      </c>
    </row>
    <row r="71" spans="20:20" x14ac:dyDescent="0.35">
      <c r="T71" t="str">
        <f t="shared" si="1"/>
        <v/>
      </c>
    </row>
    <row r="72" spans="20:20" x14ac:dyDescent="0.35">
      <c r="T72" t="str">
        <f t="shared" si="1"/>
        <v/>
      </c>
    </row>
    <row r="73" spans="20:20" x14ac:dyDescent="0.35">
      <c r="T73" t="str">
        <f t="shared" si="1"/>
        <v/>
      </c>
    </row>
    <row r="74" spans="20:20" x14ac:dyDescent="0.35">
      <c r="T74" t="str">
        <f t="shared" si="1"/>
        <v/>
      </c>
    </row>
    <row r="75" spans="20:20" x14ac:dyDescent="0.35">
      <c r="T75" t="str">
        <f t="shared" si="1"/>
        <v/>
      </c>
    </row>
    <row r="76" spans="20:20" x14ac:dyDescent="0.35">
      <c r="T76" t="str">
        <f t="shared" si="1"/>
        <v/>
      </c>
    </row>
    <row r="77" spans="20:20" x14ac:dyDescent="0.35">
      <c r="T77" t="str">
        <f t="shared" si="1"/>
        <v/>
      </c>
    </row>
    <row r="78" spans="20:20" x14ac:dyDescent="0.35">
      <c r="T78" t="str">
        <f t="shared" si="1"/>
        <v/>
      </c>
    </row>
    <row r="79" spans="20:20" x14ac:dyDescent="0.35">
      <c r="T79" t="str">
        <f t="shared" si="1"/>
        <v/>
      </c>
    </row>
    <row r="80" spans="20:20" x14ac:dyDescent="0.35">
      <c r="T80" t="str">
        <f t="shared" si="1"/>
        <v/>
      </c>
    </row>
    <row r="81" spans="20:20" x14ac:dyDescent="0.35">
      <c r="T81" t="str">
        <f t="shared" si="1"/>
        <v/>
      </c>
    </row>
    <row r="82" spans="20:20" x14ac:dyDescent="0.35">
      <c r="T82" t="str">
        <f t="shared" si="1"/>
        <v/>
      </c>
    </row>
    <row r="83" spans="20:20" x14ac:dyDescent="0.35">
      <c r="T83" t="str">
        <f t="shared" si="1"/>
        <v/>
      </c>
    </row>
    <row r="84" spans="20:20" x14ac:dyDescent="0.35">
      <c r="T84" t="str">
        <f t="shared" si="1"/>
        <v/>
      </c>
    </row>
    <row r="85" spans="20:20" x14ac:dyDescent="0.35">
      <c r="T85" t="str">
        <f t="shared" si="1"/>
        <v/>
      </c>
    </row>
    <row r="86" spans="20:20" x14ac:dyDescent="0.35">
      <c r="T86" t="str">
        <f t="shared" si="1"/>
        <v/>
      </c>
    </row>
    <row r="87" spans="20:20" x14ac:dyDescent="0.35">
      <c r="T87" t="str">
        <f t="shared" si="1"/>
        <v/>
      </c>
    </row>
    <row r="88" spans="20:20" x14ac:dyDescent="0.35">
      <c r="T88" t="str">
        <f t="shared" si="1"/>
        <v/>
      </c>
    </row>
    <row r="89" spans="20:20" x14ac:dyDescent="0.35">
      <c r="T89" t="str">
        <f t="shared" si="1"/>
        <v/>
      </c>
    </row>
    <row r="90" spans="20:20" x14ac:dyDescent="0.35">
      <c r="T90" t="str">
        <f t="shared" si="1"/>
        <v/>
      </c>
    </row>
    <row r="91" spans="20:20" x14ac:dyDescent="0.35">
      <c r="T91" t="str">
        <f t="shared" si="1"/>
        <v/>
      </c>
    </row>
    <row r="92" spans="20:20" x14ac:dyDescent="0.35">
      <c r="T92" t="str">
        <f t="shared" si="1"/>
        <v/>
      </c>
    </row>
    <row r="93" spans="20:20" x14ac:dyDescent="0.35">
      <c r="T93" t="str">
        <f t="shared" si="1"/>
        <v/>
      </c>
    </row>
    <row r="94" spans="20:20" x14ac:dyDescent="0.35">
      <c r="T94" t="str">
        <f t="shared" si="1"/>
        <v/>
      </c>
    </row>
    <row r="95" spans="20:20" x14ac:dyDescent="0.35">
      <c r="T95" t="str">
        <f t="shared" si="1"/>
        <v/>
      </c>
    </row>
    <row r="96" spans="20:20" x14ac:dyDescent="0.35">
      <c r="T96" t="str">
        <f t="shared" si="1"/>
        <v/>
      </c>
    </row>
    <row r="97" spans="20:20" x14ac:dyDescent="0.35">
      <c r="T97" t="str">
        <f t="shared" si="1"/>
        <v/>
      </c>
    </row>
    <row r="98" spans="20:20" x14ac:dyDescent="0.35">
      <c r="T98" t="str">
        <f t="shared" si="1"/>
        <v/>
      </c>
    </row>
    <row r="99" spans="20:20" x14ac:dyDescent="0.35">
      <c r="T99" t="str">
        <f t="shared" si="1"/>
        <v/>
      </c>
    </row>
    <row r="100" spans="20:20" x14ac:dyDescent="0.35">
      <c r="T100" t="str">
        <f t="shared" si="1"/>
        <v/>
      </c>
    </row>
    <row r="101" spans="20:20" x14ac:dyDescent="0.35">
      <c r="T101" t="str">
        <f t="shared" si="1"/>
        <v/>
      </c>
    </row>
    <row r="102" spans="20:20" x14ac:dyDescent="0.35">
      <c r="T102" t="str">
        <f t="shared" si="1"/>
        <v/>
      </c>
    </row>
    <row r="103" spans="20:20" x14ac:dyDescent="0.35">
      <c r="T103" t="str">
        <f t="shared" si="1"/>
        <v/>
      </c>
    </row>
    <row r="104" spans="20:20" x14ac:dyDescent="0.35">
      <c r="T104" t="str">
        <f t="shared" si="1"/>
        <v/>
      </c>
    </row>
    <row r="105" spans="20:20" x14ac:dyDescent="0.35">
      <c r="T105" t="str">
        <f t="shared" si="1"/>
        <v/>
      </c>
    </row>
    <row r="106" spans="20:20" x14ac:dyDescent="0.35">
      <c r="T106" t="str">
        <f t="shared" si="1"/>
        <v/>
      </c>
    </row>
    <row r="107" spans="20:20" x14ac:dyDescent="0.35">
      <c r="T107" t="str">
        <f t="shared" si="1"/>
        <v/>
      </c>
    </row>
    <row r="108" spans="20:20" x14ac:dyDescent="0.35">
      <c r="T108" t="str">
        <f t="shared" si="1"/>
        <v/>
      </c>
    </row>
    <row r="109" spans="20:20" x14ac:dyDescent="0.35">
      <c r="T109" t="str">
        <f t="shared" si="1"/>
        <v/>
      </c>
    </row>
    <row r="110" spans="20:20" x14ac:dyDescent="0.35">
      <c r="T110" t="str">
        <f t="shared" si="1"/>
        <v/>
      </c>
    </row>
    <row r="111" spans="20:20" x14ac:dyDescent="0.35">
      <c r="T111" t="str">
        <f t="shared" si="1"/>
        <v/>
      </c>
    </row>
    <row r="112" spans="20:20" x14ac:dyDescent="0.35">
      <c r="T112" t="str">
        <f t="shared" si="1"/>
        <v/>
      </c>
    </row>
    <row r="113" spans="20:20" x14ac:dyDescent="0.35">
      <c r="T113" t="str">
        <f t="shared" si="1"/>
        <v/>
      </c>
    </row>
    <row r="114" spans="20:20" x14ac:dyDescent="0.35">
      <c r="T114" t="str">
        <f t="shared" si="1"/>
        <v/>
      </c>
    </row>
    <row r="115" spans="20:20" x14ac:dyDescent="0.35">
      <c r="T115" t="str">
        <f t="shared" si="1"/>
        <v/>
      </c>
    </row>
    <row r="116" spans="20:20" x14ac:dyDescent="0.35">
      <c r="T116" t="str">
        <f t="shared" si="1"/>
        <v/>
      </c>
    </row>
    <row r="117" spans="20:20" x14ac:dyDescent="0.35">
      <c r="T117" t="str">
        <f t="shared" si="1"/>
        <v/>
      </c>
    </row>
    <row r="118" spans="20:20" x14ac:dyDescent="0.35">
      <c r="T118" t="str">
        <f t="shared" si="1"/>
        <v/>
      </c>
    </row>
    <row r="119" spans="20:20" x14ac:dyDescent="0.35">
      <c r="T119" t="str">
        <f t="shared" si="1"/>
        <v/>
      </c>
    </row>
    <row r="120" spans="20:20" x14ac:dyDescent="0.35">
      <c r="T120" t="str">
        <f t="shared" si="1"/>
        <v/>
      </c>
    </row>
    <row r="121" spans="20:20" x14ac:dyDescent="0.35">
      <c r="T121" t="str">
        <f t="shared" si="1"/>
        <v/>
      </c>
    </row>
    <row r="122" spans="20:20" x14ac:dyDescent="0.35">
      <c r="T122" t="str">
        <f t="shared" si="1"/>
        <v/>
      </c>
    </row>
    <row r="123" spans="20:20" x14ac:dyDescent="0.35">
      <c r="T123" t="str">
        <f t="shared" si="1"/>
        <v/>
      </c>
    </row>
    <row r="124" spans="20:20" x14ac:dyDescent="0.35">
      <c r="T124" t="str">
        <f t="shared" si="1"/>
        <v/>
      </c>
    </row>
    <row r="125" spans="20:20" x14ac:dyDescent="0.35">
      <c r="T125" t="str">
        <f t="shared" si="1"/>
        <v/>
      </c>
    </row>
    <row r="126" spans="20:20" x14ac:dyDescent="0.35">
      <c r="T126" t="str">
        <f t="shared" si="1"/>
        <v/>
      </c>
    </row>
    <row r="127" spans="20:20" x14ac:dyDescent="0.35">
      <c r="T127" t="str">
        <f t="shared" si="1"/>
        <v/>
      </c>
    </row>
    <row r="128" spans="20:20" x14ac:dyDescent="0.35">
      <c r="T128" t="str">
        <f t="shared" si="1"/>
        <v/>
      </c>
    </row>
    <row r="129" spans="20:20" x14ac:dyDescent="0.35">
      <c r="T129" t="str">
        <f t="shared" si="1"/>
        <v/>
      </c>
    </row>
    <row r="130" spans="20:20" x14ac:dyDescent="0.35">
      <c r="T130" t="str">
        <f t="shared" ref="T130:T193" si="2">IF(P130="","",YEAR(P130))</f>
        <v/>
      </c>
    </row>
    <row r="131" spans="20:20" x14ac:dyDescent="0.35">
      <c r="T131" t="str">
        <f t="shared" si="2"/>
        <v/>
      </c>
    </row>
    <row r="132" spans="20:20" x14ac:dyDescent="0.35">
      <c r="T132" t="str">
        <f t="shared" si="2"/>
        <v/>
      </c>
    </row>
    <row r="133" spans="20:20" x14ac:dyDescent="0.35">
      <c r="T133" t="str">
        <f t="shared" si="2"/>
        <v/>
      </c>
    </row>
    <row r="134" spans="20:20" x14ac:dyDescent="0.35">
      <c r="T134" t="str">
        <f t="shared" si="2"/>
        <v/>
      </c>
    </row>
    <row r="135" spans="20:20" x14ac:dyDescent="0.35">
      <c r="T135" t="str">
        <f t="shared" si="2"/>
        <v/>
      </c>
    </row>
    <row r="136" spans="20:20" x14ac:dyDescent="0.35">
      <c r="T136" t="str">
        <f t="shared" si="2"/>
        <v/>
      </c>
    </row>
    <row r="137" spans="20:20" x14ac:dyDescent="0.35">
      <c r="T137" t="str">
        <f t="shared" si="2"/>
        <v/>
      </c>
    </row>
    <row r="138" spans="20:20" x14ac:dyDescent="0.35">
      <c r="T138" t="str">
        <f t="shared" si="2"/>
        <v/>
      </c>
    </row>
    <row r="139" spans="20:20" x14ac:dyDescent="0.35">
      <c r="T139" t="str">
        <f t="shared" si="2"/>
        <v/>
      </c>
    </row>
    <row r="140" spans="20:20" x14ac:dyDescent="0.35">
      <c r="T140" t="str">
        <f t="shared" si="2"/>
        <v/>
      </c>
    </row>
    <row r="141" spans="20:20" x14ac:dyDescent="0.35">
      <c r="T141" t="str">
        <f t="shared" si="2"/>
        <v/>
      </c>
    </row>
    <row r="142" spans="20:20" x14ac:dyDescent="0.35">
      <c r="T142" t="str">
        <f t="shared" si="2"/>
        <v/>
      </c>
    </row>
    <row r="143" spans="20:20" x14ac:dyDescent="0.35">
      <c r="T143" t="str">
        <f t="shared" si="2"/>
        <v/>
      </c>
    </row>
    <row r="144" spans="20:20" x14ac:dyDescent="0.35">
      <c r="T144" t="str">
        <f t="shared" si="2"/>
        <v/>
      </c>
    </row>
    <row r="145" spans="20:20" x14ac:dyDescent="0.35">
      <c r="T145" t="str">
        <f t="shared" si="2"/>
        <v/>
      </c>
    </row>
    <row r="146" spans="20:20" x14ac:dyDescent="0.35">
      <c r="T146" t="str">
        <f t="shared" si="2"/>
        <v/>
      </c>
    </row>
    <row r="147" spans="20:20" x14ac:dyDescent="0.35">
      <c r="T147" t="str">
        <f t="shared" si="2"/>
        <v/>
      </c>
    </row>
    <row r="148" spans="20:20" x14ac:dyDescent="0.35">
      <c r="T148" t="str">
        <f t="shared" si="2"/>
        <v/>
      </c>
    </row>
    <row r="149" spans="20:20" x14ac:dyDescent="0.35">
      <c r="T149" t="str">
        <f t="shared" si="2"/>
        <v/>
      </c>
    </row>
    <row r="150" spans="20:20" x14ac:dyDescent="0.35">
      <c r="T150" t="str">
        <f t="shared" si="2"/>
        <v/>
      </c>
    </row>
    <row r="151" spans="20:20" x14ac:dyDescent="0.35">
      <c r="T151" t="str">
        <f t="shared" si="2"/>
        <v/>
      </c>
    </row>
    <row r="152" spans="20:20" x14ac:dyDescent="0.35">
      <c r="T152" t="str">
        <f t="shared" si="2"/>
        <v/>
      </c>
    </row>
    <row r="153" spans="20:20" x14ac:dyDescent="0.35">
      <c r="T153" t="str">
        <f t="shared" si="2"/>
        <v/>
      </c>
    </row>
    <row r="154" spans="20:20" x14ac:dyDescent="0.35">
      <c r="T154" t="str">
        <f t="shared" si="2"/>
        <v/>
      </c>
    </row>
    <row r="155" spans="20:20" x14ac:dyDescent="0.35">
      <c r="T155" t="str">
        <f t="shared" si="2"/>
        <v/>
      </c>
    </row>
    <row r="156" spans="20:20" x14ac:dyDescent="0.35">
      <c r="T156" t="str">
        <f t="shared" si="2"/>
        <v/>
      </c>
    </row>
    <row r="157" spans="20:20" x14ac:dyDescent="0.35">
      <c r="T157" t="str">
        <f t="shared" si="2"/>
        <v/>
      </c>
    </row>
    <row r="158" spans="20:20" x14ac:dyDescent="0.35">
      <c r="T158" t="str">
        <f t="shared" si="2"/>
        <v/>
      </c>
    </row>
    <row r="159" spans="20:20" x14ac:dyDescent="0.35">
      <c r="T159" t="str">
        <f t="shared" si="2"/>
        <v/>
      </c>
    </row>
    <row r="160" spans="20:20" x14ac:dyDescent="0.35">
      <c r="T160" t="str">
        <f t="shared" si="2"/>
        <v/>
      </c>
    </row>
    <row r="161" spans="20:20" x14ac:dyDescent="0.35">
      <c r="T161" t="str">
        <f t="shared" si="2"/>
        <v/>
      </c>
    </row>
    <row r="162" spans="20:20" x14ac:dyDescent="0.35">
      <c r="T162" t="str">
        <f t="shared" si="2"/>
        <v/>
      </c>
    </row>
    <row r="163" spans="20:20" x14ac:dyDescent="0.35">
      <c r="T163" t="str">
        <f t="shared" si="2"/>
        <v/>
      </c>
    </row>
    <row r="164" spans="20:20" x14ac:dyDescent="0.35">
      <c r="T164" t="str">
        <f t="shared" si="2"/>
        <v/>
      </c>
    </row>
    <row r="165" spans="20:20" x14ac:dyDescent="0.35">
      <c r="T165" t="str">
        <f t="shared" si="2"/>
        <v/>
      </c>
    </row>
    <row r="166" spans="20:20" x14ac:dyDescent="0.35">
      <c r="T166" t="str">
        <f t="shared" si="2"/>
        <v/>
      </c>
    </row>
    <row r="167" spans="20:20" x14ac:dyDescent="0.35">
      <c r="T167" t="str">
        <f t="shared" si="2"/>
        <v/>
      </c>
    </row>
    <row r="168" spans="20:20" x14ac:dyDescent="0.35">
      <c r="T168" t="str">
        <f t="shared" si="2"/>
        <v/>
      </c>
    </row>
    <row r="169" spans="20:20" x14ac:dyDescent="0.35">
      <c r="T169" t="str">
        <f t="shared" si="2"/>
        <v/>
      </c>
    </row>
    <row r="170" spans="20:20" x14ac:dyDescent="0.35">
      <c r="T170" t="str">
        <f t="shared" si="2"/>
        <v/>
      </c>
    </row>
    <row r="171" spans="20:20" x14ac:dyDescent="0.35">
      <c r="T171" t="str">
        <f t="shared" si="2"/>
        <v/>
      </c>
    </row>
    <row r="172" spans="20:20" x14ac:dyDescent="0.35">
      <c r="T172" t="str">
        <f t="shared" si="2"/>
        <v/>
      </c>
    </row>
    <row r="173" spans="20:20" x14ac:dyDescent="0.35">
      <c r="T173" t="str">
        <f t="shared" si="2"/>
        <v/>
      </c>
    </row>
    <row r="174" spans="20:20" x14ac:dyDescent="0.35">
      <c r="T174" t="str">
        <f t="shared" si="2"/>
        <v/>
      </c>
    </row>
    <row r="175" spans="20:20" x14ac:dyDescent="0.35">
      <c r="T175" t="str">
        <f t="shared" si="2"/>
        <v/>
      </c>
    </row>
    <row r="176" spans="20:20" x14ac:dyDescent="0.35">
      <c r="T176" t="str">
        <f t="shared" si="2"/>
        <v/>
      </c>
    </row>
    <row r="177" spans="20:20" x14ac:dyDescent="0.35">
      <c r="T177" t="str">
        <f t="shared" si="2"/>
        <v/>
      </c>
    </row>
    <row r="178" spans="20:20" x14ac:dyDescent="0.35">
      <c r="T178" t="str">
        <f t="shared" si="2"/>
        <v/>
      </c>
    </row>
    <row r="179" spans="20:20" x14ac:dyDescent="0.35">
      <c r="T179" t="str">
        <f t="shared" si="2"/>
        <v/>
      </c>
    </row>
    <row r="180" spans="20:20" x14ac:dyDescent="0.35">
      <c r="T180" t="str">
        <f t="shared" si="2"/>
        <v/>
      </c>
    </row>
    <row r="181" spans="20:20" x14ac:dyDescent="0.35">
      <c r="T181" t="str">
        <f t="shared" si="2"/>
        <v/>
      </c>
    </row>
    <row r="182" spans="20:20" x14ac:dyDescent="0.35">
      <c r="T182" t="str">
        <f t="shared" si="2"/>
        <v/>
      </c>
    </row>
    <row r="183" spans="20:20" x14ac:dyDescent="0.35">
      <c r="T183" t="str">
        <f t="shared" si="2"/>
        <v/>
      </c>
    </row>
    <row r="184" spans="20:20" x14ac:dyDescent="0.35">
      <c r="T184" t="str">
        <f t="shared" si="2"/>
        <v/>
      </c>
    </row>
    <row r="185" spans="20:20" x14ac:dyDescent="0.35">
      <c r="T185" t="str">
        <f t="shared" si="2"/>
        <v/>
      </c>
    </row>
    <row r="186" spans="20:20" x14ac:dyDescent="0.35">
      <c r="T186" t="str">
        <f t="shared" si="2"/>
        <v/>
      </c>
    </row>
    <row r="187" spans="20:20" x14ac:dyDescent="0.35">
      <c r="T187" t="str">
        <f t="shared" si="2"/>
        <v/>
      </c>
    </row>
    <row r="188" spans="20:20" x14ac:dyDescent="0.35">
      <c r="T188" t="str">
        <f t="shared" si="2"/>
        <v/>
      </c>
    </row>
    <row r="189" spans="20:20" x14ac:dyDescent="0.35">
      <c r="T189" t="str">
        <f t="shared" si="2"/>
        <v/>
      </c>
    </row>
    <row r="190" spans="20:20" x14ac:dyDescent="0.35">
      <c r="T190" t="str">
        <f t="shared" si="2"/>
        <v/>
      </c>
    </row>
    <row r="191" spans="20:20" x14ac:dyDescent="0.35">
      <c r="T191" t="str">
        <f t="shared" si="2"/>
        <v/>
      </c>
    </row>
    <row r="192" spans="20:20" x14ac:dyDescent="0.35">
      <c r="T192" t="str">
        <f t="shared" si="2"/>
        <v/>
      </c>
    </row>
    <row r="193" spans="20:20" x14ac:dyDescent="0.35">
      <c r="T193" t="str">
        <f t="shared" si="2"/>
        <v/>
      </c>
    </row>
    <row r="194" spans="20:20" x14ac:dyDescent="0.35">
      <c r="T194" t="str">
        <f t="shared" ref="T194:T257" si="3">IF(P194="","",YEAR(P194))</f>
        <v/>
      </c>
    </row>
    <row r="195" spans="20:20" x14ac:dyDescent="0.35">
      <c r="T195" t="str">
        <f t="shared" si="3"/>
        <v/>
      </c>
    </row>
    <row r="196" spans="20:20" x14ac:dyDescent="0.35">
      <c r="T196" t="str">
        <f t="shared" si="3"/>
        <v/>
      </c>
    </row>
    <row r="197" spans="20:20" x14ac:dyDescent="0.35">
      <c r="T197" t="str">
        <f t="shared" si="3"/>
        <v/>
      </c>
    </row>
    <row r="198" spans="20:20" x14ac:dyDescent="0.35">
      <c r="T198" t="str">
        <f t="shared" si="3"/>
        <v/>
      </c>
    </row>
    <row r="199" spans="20:20" x14ac:dyDescent="0.35">
      <c r="T199" t="str">
        <f t="shared" si="3"/>
        <v/>
      </c>
    </row>
    <row r="200" spans="20:20" x14ac:dyDescent="0.35">
      <c r="T200" t="str">
        <f t="shared" si="3"/>
        <v/>
      </c>
    </row>
    <row r="201" spans="20:20" x14ac:dyDescent="0.35">
      <c r="T201" t="str">
        <f t="shared" si="3"/>
        <v/>
      </c>
    </row>
    <row r="202" spans="20:20" x14ac:dyDescent="0.35">
      <c r="T202" t="str">
        <f t="shared" si="3"/>
        <v/>
      </c>
    </row>
    <row r="203" spans="20:20" x14ac:dyDescent="0.35">
      <c r="T203" t="str">
        <f t="shared" si="3"/>
        <v/>
      </c>
    </row>
    <row r="204" spans="20:20" x14ac:dyDescent="0.35">
      <c r="T204" t="str">
        <f t="shared" si="3"/>
        <v/>
      </c>
    </row>
    <row r="205" spans="20:20" x14ac:dyDescent="0.35">
      <c r="T205" t="str">
        <f t="shared" si="3"/>
        <v/>
      </c>
    </row>
    <row r="206" spans="20:20" x14ac:dyDescent="0.35">
      <c r="T206" t="str">
        <f t="shared" si="3"/>
        <v/>
      </c>
    </row>
    <row r="207" spans="20:20" x14ac:dyDescent="0.35">
      <c r="T207" t="str">
        <f t="shared" si="3"/>
        <v/>
      </c>
    </row>
    <row r="208" spans="20:20" x14ac:dyDescent="0.35">
      <c r="T208" t="str">
        <f t="shared" si="3"/>
        <v/>
      </c>
    </row>
    <row r="209" spans="20:20" x14ac:dyDescent="0.35">
      <c r="T209" t="str">
        <f t="shared" si="3"/>
        <v/>
      </c>
    </row>
    <row r="210" spans="20:20" x14ac:dyDescent="0.35">
      <c r="T210" t="str">
        <f t="shared" si="3"/>
        <v/>
      </c>
    </row>
    <row r="211" spans="20:20" x14ac:dyDescent="0.35">
      <c r="T211" t="str">
        <f t="shared" si="3"/>
        <v/>
      </c>
    </row>
    <row r="212" spans="20:20" x14ac:dyDescent="0.35">
      <c r="T212" t="str">
        <f t="shared" si="3"/>
        <v/>
      </c>
    </row>
    <row r="213" spans="20:20" x14ac:dyDescent="0.35">
      <c r="T213" t="str">
        <f t="shared" si="3"/>
        <v/>
      </c>
    </row>
    <row r="214" spans="20:20" x14ac:dyDescent="0.35">
      <c r="T214" t="str">
        <f t="shared" si="3"/>
        <v/>
      </c>
    </row>
    <row r="215" spans="20:20" x14ac:dyDescent="0.35">
      <c r="T215" t="str">
        <f t="shared" si="3"/>
        <v/>
      </c>
    </row>
    <row r="216" spans="20:20" x14ac:dyDescent="0.35">
      <c r="T216" t="str">
        <f t="shared" si="3"/>
        <v/>
      </c>
    </row>
    <row r="217" spans="20:20" x14ac:dyDescent="0.35">
      <c r="T217" t="str">
        <f t="shared" si="3"/>
        <v/>
      </c>
    </row>
    <row r="218" spans="20:20" x14ac:dyDescent="0.35">
      <c r="T218" t="str">
        <f t="shared" si="3"/>
        <v/>
      </c>
    </row>
    <row r="219" spans="20:20" x14ac:dyDescent="0.35">
      <c r="T219" t="str">
        <f t="shared" si="3"/>
        <v/>
      </c>
    </row>
    <row r="220" spans="20:20" x14ac:dyDescent="0.35">
      <c r="T220" t="str">
        <f t="shared" si="3"/>
        <v/>
      </c>
    </row>
    <row r="221" spans="20:20" x14ac:dyDescent="0.35">
      <c r="T221" t="str">
        <f t="shared" si="3"/>
        <v/>
      </c>
    </row>
    <row r="222" spans="20:20" x14ac:dyDescent="0.35">
      <c r="T222" t="str">
        <f t="shared" si="3"/>
        <v/>
      </c>
    </row>
    <row r="223" spans="20:20" x14ac:dyDescent="0.35">
      <c r="T223" t="str">
        <f t="shared" si="3"/>
        <v/>
      </c>
    </row>
    <row r="224" spans="20:20" x14ac:dyDescent="0.35">
      <c r="T224" t="str">
        <f t="shared" si="3"/>
        <v/>
      </c>
    </row>
    <row r="225" spans="20:20" x14ac:dyDescent="0.35">
      <c r="T225" t="str">
        <f t="shared" si="3"/>
        <v/>
      </c>
    </row>
    <row r="226" spans="20:20" x14ac:dyDescent="0.35">
      <c r="T226" t="str">
        <f t="shared" si="3"/>
        <v/>
      </c>
    </row>
    <row r="227" spans="20:20" x14ac:dyDescent="0.35">
      <c r="T227" t="str">
        <f t="shared" si="3"/>
        <v/>
      </c>
    </row>
    <row r="228" spans="20:20" x14ac:dyDescent="0.35">
      <c r="T228" t="str">
        <f t="shared" si="3"/>
        <v/>
      </c>
    </row>
    <row r="229" spans="20:20" x14ac:dyDescent="0.35">
      <c r="T229" t="str">
        <f t="shared" si="3"/>
        <v/>
      </c>
    </row>
    <row r="230" spans="20:20" x14ac:dyDescent="0.35">
      <c r="T230" t="str">
        <f t="shared" si="3"/>
        <v/>
      </c>
    </row>
    <row r="231" spans="20:20" x14ac:dyDescent="0.35">
      <c r="T231" t="str">
        <f t="shared" si="3"/>
        <v/>
      </c>
    </row>
    <row r="232" spans="20:20" x14ac:dyDescent="0.35">
      <c r="T232" t="str">
        <f t="shared" si="3"/>
        <v/>
      </c>
    </row>
    <row r="233" spans="20:20" x14ac:dyDescent="0.35">
      <c r="T233" t="str">
        <f t="shared" si="3"/>
        <v/>
      </c>
    </row>
    <row r="234" spans="20:20" x14ac:dyDescent="0.35">
      <c r="T234" t="str">
        <f t="shared" si="3"/>
        <v/>
      </c>
    </row>
    <row r="235" spans="20:20" x14ac:dyDescent="0.35">
      <c r="T235" t="str">
        <f t="shared" si="3"/>
        <v/>
      </c>
    </row>
    <row r="236" spans="20:20" x14ac:dyDescent="0.35">
      <c r="T236" t="str">
        <f t="shared" si="3"/>
        <v/>
      </c>
    </row>
    <row r="237" spans="20:20" x14ac:dyDescent="0.35">
      <c r="T237" t="str">
        <f t="shared" si="3"/>
        <v/>
      </c>
    </row>
    <row r="238" spans="20:20" x14ac:dyDescent="0.35">
      <c r="T238" t="str">
        <f t="shared" si="3"/>
        <v/>
      </c>
    </row>
    <row r="239" spans="20:20" x14ac:dyDescent="0.35">
      <c r="T239" t="str">
        <f t="shared" si="3"/>
        <v/>
      </c>
    </row>
    <row r="240" spans="20:20" x14ac:dyDescent="0.35">
      <c r="T240" t="str">
        <f t="shared" si="3"/>
        <v/>
      </c>
    </row>
    <row r="241" spans="20:20" x14ac:dyDescent="0.35">
      <c r="T241" t="str">
        <f t="shared" si="3"/>
        <v/>
      </c>
    </row>
    <row r="242" spans="20:20" x14ac:dyDescent="0.35">
      <c r="T242" t="str">
        <f t="shared" si="3"/>
        <v/>
      </c>
    </row>
    <row r="243" spans="20:20" x14ac:dyDescent="0.35">
      <c r="T243" t="str">
        <f t="shared" si="3"/>
        <v/>
      </c>
    </row>
    <row r="244" spans="20:20" x14ac:dyDescent="0.35">
      <c r="T244" t="str">
        <f t="shared" si="3"/>
        <v/>
      </c>
    </row>
    <row r="245" spans="20:20" x14ac:dyDescent="0.35">
      <c r="T245" t="str">
        <f t="shared" si="3"/>
        <v/>
      </c>
    </row>
    <row r="246" spans="20:20" x14ac:dyDescent="0.35">
      <c r="T246" t="str">
        <f t="shared" si="3"/>
        <v/>
      </c>
    </row>
    <row r="247" spans="20:20" x14ac:dyDescent="0.35">
      <c r="T247" t="str">
        <f t="shared" si="3"/>
        <v/>
      </c>
    </row>
    <row r="248" spans="20:20" x14ac:dyDescent="0.35">
      <c r="T248" t="str">
        <f t="shared" si="3"/>
        <v/>
      </c>
    </row>
    <row r="249" spans="20:20" x14ac:dyDescent="0.35">
      <c r="T249" t="str">
        <f t="shared" si="3"/>
        <v/>
      </c>
    </row>
    <row r="250" spans="20:20" x14ac:dyDescent="0.35">
      <c r="T250" t="str">
        <f t="shared" si="3"/>
        <v/>
      </c>
    </row>
    <row r="251" spans="20:20" x14ac:dyDescent="0.35">
      <c r="T251" t="str">
        <f t="shared" si="3"/>
        <v/>
      </c>
    </row>
    <row r="252" spans="20:20" x14ac:dyDescent="0.35">
      <c r="T252" t="str">
        <f t="shared" si="3"/>
        <v/>
      </c>
    </row>
    <row r="253" spans="20:20" x14ac:dyDescent="0.35">
      <c r="T253" t="str">
        <f t="shared" si="3"/>
        <v/>
      </c>
    </row>
    <row r="254" spans="20:20" x14ac:dyDescent="0.35">
      <c r="T254" t="str">
        <f t="shared" si="3"/>
        <v/>
      </c>
    </row>
    <row r="255" spans="20:20" x14ac:dyDescent="0.35">
      <c r="T255" t="str">
        <f t="shared" si="3"/>
        <v/>
      </c>
    </row>
    <row r="256" spans="20:20" x14ac:dyDescent="0.35">
      <c r="T256" t="str">
        <f t="shared" si="3"/>
        <v/>
      </c>
    </row>
    <row r="257" spans="20:20" x14ac:dyDescent="0.35">
      <c r="T257" t="str">
        <f t="shared" si="3"/>
        <v/>
      </c>
    </row>
    <row r="258" spans="20:20" x14ac:dyDescent="0.35">
      <c r="T258" t="str">
        <f t="shared" ref="T258:T321" si="4">IF(P258="","",YEAR(P258))</f>
        <v/>
      </c>
    </row>
    <row r="259" spans="20:20" x14ac:dyDescent="0.35">
      <c r="T259" t="str">
        <f t="shared" si="4"/>
        <v/>
      </c>
    </row>
    <row r="260" spans="20:20" x14ac:dyDescent="0.35">
      <c r="T260" t="str">
        <f t="shared" si="4"/>
        <v/>
      </c>
    </row>
    <row r="261" spans="20:20" x14ac:dyDescent="0.35">
      <c r="T261" t="str">
        <f t="shared" si="4"/>
        <v/>
      </c>
    </row>
    <row r="262" spans="20:20" x14ac:dyDescent="0.35">
      <c r="T262" t="str">
        <f t="shared" si="4"/>
        <v/>
      </c>
    </row>
    <row r="263" spans="20:20" x14ac:dyDescent="0.35">
      <c r="T263" t="str">
        <f t="shared" si="4"/>
        <v/>
      </c>
    </row>
    <row r="264" spans="20:20" x14ac:dyDescent="0.35">
      <c r="T264" t="str">
        <f t="shared" si="4"/>
        <v/>
      </c>
    </row>
    <row r="265" spans="20:20" x14ac:dyDescent="0.35">
      <c r="T265" t="str">
        <f t="shared" si="4"/>
        <v/>
      </c>
    </row>
    <row r="266" spans="20:20" x14ac:dyDescent="0.35">
      <c r="T266" t="str">
        <f t="shared" si="4"/>
        <v/>
      </c>
    </row>
    <row r="267" spans="20:20" x14ac:dyDescent="0.35">
      <c r="T267" t="str">
        <f t="shared" si="4"/>
        <v/>
      </c>
    </row>
    <row r="268" spans="20:20" x14ac:dyDescent="0.35">
      <c r="T268" t="str">
        <f t="shared" si="4"/>
        <v/>
      </c>
    </row>
    <row r="269" spans="20:20" x14ac:dyDescent="0.35">
      <c r="T269" t="str">
        <f t="shared" si="4"/>
        <v/>
      </c>
    </row>
    <row r="270" spans="20:20" x14ac:dyDescent="0.35">
      <c r="T270" t="str">
        <f t="shared" si="4"/>
        <v/>
      </c>
    </row>
    <row r="271" spans="20:20" x14ac:dyDescent="0.35">
      <c r="T271" t="str">
        <f t="shared" si="4"/>
        <v/>
      </c>
    </row>
    <row r="272" spans="20:20" x14ac:dyDescent="0.35">
      <c r="T272" t="str">
        <f t="shared" si="4"/>
        <v/>
      </c>
    </row>
    <row r="273" spans="20:20" x14ac:dyDescent="0.35">
      <c r="T273" t="str">
        <f t="shared" si="4"/>
        <v/>
      </c>
    </row>
    <row r="274" spans="20:20" x14ac:dyDescent="0.35">
      <c r="T274" t="str">
        <f t="shared" si="4"/>
        <v/>
      </c>
    </row>
    <row r="275" spans="20:20" x14ac:dyDescent="0.35">
      <c r="T275" t="str">
        <f t="shared" si="4"/>
        <v/>
      </c>
    </row>
    <row r="276" spans="20:20" x14ac:dyDescent="0.35">
      <c r="T276" t="str">
        <f t="shared" si="4"/>
        <v/>
      </c>
    </row>
    <row r="277" spans="20:20" x14ac:dyDescent="0.35">
      <c r="T277" t="str">
        <f t="shared" si="4"/>
        <v/>
      </c>
    </row>
    <row r="278" spans="20:20" x14ac:dyDescent="0.35">
      <c r="T278" t="str">
        <f t="shared" si="4"/>
        <v/>
      </c>
    </row>
    <row r="279" spans="20:20" x14ac:dyDescent="0.35">
      <c r="T279" t="str">
        <f t="shared" si="4"/>
        <v/>
      </c>
    </row>
    <row r="280" spans="20:20" x14ac:dyDescent="0.35">
      <c r="T280" t="str">
        <f t="shared" si="4"/>
        <v/>
      </c>
    </row>
    <row r="281" spans="20:20" x14ac:dyDescent="0.35">
      <c r="T281" t="str">
        <f t="shared" si="4"/>
        <v/>
      </c>
    </row>
    <row r="282" spans="20:20" x14ac:dyDescent="0.35">
      <c r="T282" t="str">
        <f t="shared" si="4"/>
        <v/>
      </c>
    </row>
    <row r="283" spans="20:20" x14ac:dyDescent="0.35">
      <c r="T283" t="str">
        <f t="shared" si="4"/>
        <v/>
      </c>
    </row>
    <row r="284" spans="20:20" x14ac:dyDescent="0.35">
      <c r="T284" t="str">
        <f t="shared" si="4"/>
        <v/>
      </c>
    </row>
    <row r="285" spans="20:20" x14ac:dyDescent="0.35">
      <c r="T285" t="str">
        <f t="shared" si="4"/>
        <v/>
      </c>
    </row>
    <row r="286" spans="20:20" x14ac:dyDescent="0.35">
      <c r="T286" t="str">
        <f t="shared" si="4"/>
        <v/>
      </c>
    </row>
    <row r="287" spans="20:20" x14ac:dyDescent="0.35">
      <c r="T287" t="str">
        <f t="shared" si="4"/>
        <v/>
      </c>
    </row>
    <row r="288" spans="20:20" x14ac:dyDescent="0.35">
      <c r="T288" t="str">
        <f t="shared" si="4"/>
        <v/>
      </c>
    </row>
    <row r="289" spans="20:20" x14ac:dyDescent="0.35">
      <c r="T289" t="str">
        <f t="shared" si="4"/>
        <v/>
      </c>
    </row>
    <row r="290" spans="20:20" x14ac:dyDescent="0.35">
      <c r="T290" t="str">
        <f t="shared" si="4"/>
        <v/>
      </c>
    </row>
    <row r="291" spans="20:20" x14ac:dyDescent="0.35">
      <c r="T291" t="str">
        <f t="shared" si="4"/>
        <v/>
      </c>
    </row>
    <row r="292" spans="20:20" x14ac:dyDescent="0.35">
      <c r="T292" t="str">
        <f t="shared" si="4"/>
        <v/>
      </c>
    </row>
    <row r="293" spans="20:20" x14ac:dyDescent="0.35">
      <c r="T293" t="str">
        <f t="shared" si="4"/>
        <v/>
      </c>
    </row>
    <row r="294" spans="20:20" x14ac:dyDescent="0.35">
      <c r="T294" t="str">
        <f t="shared" si="4"/>
        <v/>
      </c>
    </row>
    <row r="295" spans="20:20" x14ac:dyDescent="0.35">
      <c r="T295" t="str">
        <f t="shared" si="4"/>
        <v/>
      </c>
    </row>
    <row r="296" spans="20:20" x14ac:dyDescent="0.35">
      <c r="T296" t="str">
        <f t="shared" si="4"/>
        <v/>
      </c>
    </row>
    <row r="297" spans="20:20" x14ac:dyDescent="0.35">
      <c r="T297" t="str">
        <f t="shared" si="4"/>
        <v/>
      </c>
    </row>
    <row r="298" spans="20:20" x14ac:dyDescent="0.35">
      <c r="T298" t="str">
        <f t="shared" si="4"/>
        <v/>
      </c>
    </row>
    <row r="299" spans="20:20" x14ac:dyDescent="0.35">
      <c r="T299" t="str">
        <f t="shared" si="4"/>
        <v/>
      </c>
    </row>
    <row r="300" spans="20:20" x14ac:dyDescent="0.35">
      <c r="T300" t="str">
        <f t="shared" si="4"/>
        <v/>
      </c>
    </row>
    <row r="301" spans="20:20" x14ac:dyDescent="0.35">
      <c r="T301" t="str">
        <f t="shared" si="4"/>
        <v/>
      </c>
    </row>
    <row r="302" spans="20:20" x14ac:dyDescent="0.35">
      <c r="T302" t="str">
        <f t="shared" si="4"/>
        <v/>
      </c>
    </row>
    <row r="303" spans="20:20" x14ac:dyDescent="0.35">
      <c r="T303" t="str">
        <f t="shared" si="4"/>
        <v/>
      </c>
    </row>
    <row r="304" spans="20:20" x14ac:dyDescent="0.35">
      <c r="T304" t="str">
        <f t="shared" si="4"/>
        <v/>
      </c>
    </row>
    <row r="305" spans="20:20" x14ac:dyDescent="0.35">
      <c r="T305" t="str">
        <f t="shared" si="4"/>
        <v/>
      </c>
    </row>
    <row r="306" spans="20:20" x14ac:dyDescent="0.35">
      <c r="T306" t="str">
        <f t="shared" si="4"/>
        <v/>
      </c>
    </row>
    <row r="307" spans="20:20" x14ac:dyDescent="0.35">
      <c r="T307" t="str">
        <f t="shared" si="4"/>
        <v/>
      </c>
    </row>
    <row r="308" spans="20:20" x14ac:dyDescent="0.35">
      <c r="T308" t="str">
        <f t="shared" si="4"/>
        <v/>
      </c>
    </row>
    <row r="309" spans="20:20" x14ac:dyDescent="0.35">
      <c r="T309" t="str">
        <f t="shared" si="4"/>
        <v/>
      </c>
    </row>
    <row r="310" spans="20:20" x14ac:dyDescent="0.35">
      <c r="T310" t="str">
        <f t="shared" si="4"/>
        <v/>
      </c>
    </row>
    <row r="311" spans="20:20" x14ac:dyDescent="0.35">
      <c r="T311" t="str">
        <f t="shared" si="4"/>
        <v/>
      </c>
    </row>
    <row r="312" spans="20:20" x14ac:dyDescent="0.35">
      <c r="T312" t="str">
        <f t="shared" si="4"/>
        <v/>
      </c>
    </row>
    <row r="313" spans="20:20" x14ac:dyDescent="0.35">
      <c r="T313" t="str">
        <f t="shared" si="4"/>
        <v/>
      </c>
    </row>
    <row r="314" spans="20:20" x14ac:dyDescent="0.35">
      <c r="T314" t="str">
        <f t="shared" si="4"/>
        <v/>
      </c>
    </row>
    <row r="315" spans="20:20" x14ac:dyDescent="0.35">
      <c r="T315" t="str">
        <f t="shared" si="4"/>
        <v/>
      </c>
    </row>
    <row r="316" spans="20:20" x14ac:dyDescent="0.35">
      <c r="T316" t="str">
        <f t="shared" si="4"/>
        <v/>
      </c>
    </row>
    <row r="317" spans="20:20" x14ac:dyDescent="0.35">
      <c r="T317" t="str">
        <f t="shared" si="4"/>
        <v/>
      </c>
    </row>
    <row r="318" spans="20:20" x14ac:dyDescent="0.35">
      <c r="T318" t="str">
        <f t="shared" si="4"/>
        <v/>
      </c>
    </row>
    <row r="319" spans="20:20" x14ac:dyDescent="0.35">
      <c r="T319" t="str">
        <f t="shared" si="4"/>
        <v/>
      </c>
    </row>
    <row r="320" spans="20:20" x14ac:dyDescent="0.35">
      <c r="T320" t="str">
        <f t="shared" si="4"/>
        <v/>
      </c>
    </row>
    <row r="321" spans="20:20" x14ac:dyDescent="0.35">
      <c r="T321" t="str">
        <f t="shared" si="4"/>
        <v/>
      </c>
    </row>
    <row r="322" spans="20:20" x14ac:dyDescent="0.35">
      <c r="T322" t="str">
        <f t="shared" ref="T322:T385" si="5">IF(P322="","",YEAR(P322))</f>
        <v/>
      </c>
    </row>
    <row r="323" spans="20:20" x14ac:dyDescent="0.35">
      <c r="T323" t="str">
        <f t="shared" si="5"/>
        <v/>
      </c>
    </row>
    <row r="324" spans="20:20" x14ac:dyDescent="0.35">
      <c r="T324" t="str">
        <f t="shared" si="5"/>
        <v/>
      </c>
    </row>
    <row r="325" spans="20:20" x14ac:dyDescent="0.35">
      <c r="T325" t="str">
        <f t="shared" si="5"/>
        <v/>
      </c>
    </row>
    <row r="326" spans="20:20" x14ac:dyDescent="0.35">
      <c r="T326" t="str">
        <f t="shared" si="5"/>
        <v/>
      </c>
    </row>
    <row r="327" spans="20:20" x14ac:dyDescent="0.35">
      <c r="T327" t="str">
        <f t="shared" si="5"/>
        <v/>
      </c>
    </row>
    <row r="328" spans="20:20" x14ac:dyDescent="0.35">
      <c r="T328" t="str">
        <f t="shared" si="5"/>
        <v/>
      </c>
    </row>
    <row r="329" spans="20:20" x14ac:dyDescent="0.35">
      <c r="T329" t="str">
        <f t="shared" si="5"/>
        <v/>
      </c>
    </row>
    <row r="330" spans="20:20" x14ac:dyDescent="0.35">
      <c r="T330" t="str">
        <f t="shared" si="5"/>
        <v/>
      </c>
    </row>
    <row r="331" spans="20:20" x14ac:dyDescent="0.35">
      <c r="T331" t="str">
        <f t="shared" si="5"/>
        <v/>
      </c>
    </row>
    <row r="332" spans="20:20" x14ac:dyDescent="0.35">
      <c r="T332" t="str">
        <f t="shared" si="5"/>
        <v/>
      </c>
    </row>
    <row r="333" spans="20:20" x14ac:dyDescent="0.35">
      <c r="T333" t="str">
        <f t="shared" si="5"/>
        <v/>
      </c>
    </row>
    <row r="334" spans="20:20" x14ac:dyDescent="0.35">
      <c r="T334" t="str">
        <f t="shared" si="5"/>
        <v/>
      </c>
    </row>
    <row r="335" spans="20:20" x14ac:dyDescent="0.35">
      <c r="T335" t="str">
        <f t="shared" si="5"/>
        <v/>
      </c>
    </row>
    <row r="336" spans="20:20" x14ac:dyDescent="0.35">
      <c r="T336" t="str">
        <f t="shared" si="5"/>
        <v/>
      </c>
    </row>
    <row r="337" spans="20:20" x14ac:dyDescent="0.35">
      <c r="T337" t="str">
        <f t="shared" si="5"/>
        <v/>
      </c>
    </row>
    <row r="338" spans="20:20" x14ac:dyDescent="0.35">
      <c r="T338" t="str">
        <f t="shared" si="5"/>
        <v/>
      </c>
    </row>
    <row r="339" spans="20:20" x14ac:dyDescent="0.35">
      <c r="T339" t="str">
        <f t="shared" si="5"/>
        <v/>
      </c>
    </row>
    <row r="340" spans="20:20" x14ac:dyDescent="0.35">
      <c r="T340" t="str">
        <f t="shared" si="5"/>
        <v/>
      </c>
    </row>
    <row r="341" spans="20:20" x14ac:dyDescent="0.35">
      <c r="T341" t="str">
        <f t="shared" si="5"/>
        <v/>
      </c>
    </row>
    <row r="342" spans="20:20" x14ac:dyDescent="0.35">
      <c r="T342" t="str">
        <f t="shared" si="5"/>
        <v/>
      </c>
    </row>
    <row r="343" spans="20:20" x14ac:dyDescent="0.35">
      <c r="T343" t="str">
        <f t="shared" si="5"/>
        <v/>
      </c>
    </row>
    <row r="344" spans="20:20" x14ac:dyDescent="0.35">
      <c r="T344" t="str">
        <f t="shared" si="5"/>
        <v/>
      </c>
    </row>
    <row r="345" spans="20:20" x14ac:dyDescent="0.35">
      <c r="T345" t="str">
        <f t="shared" si="5"/>
        <v/>
      </c>
    </row>
    <row r="346" spans="20:20" x14ac:dyDescent="0.35">
      <c r="T346" t="str">
        <f t="shared" si="5"/>
        <v/>
      </c>
    </row>
    <row r="347" spans="20:20" x14ac:dyDescent="0.35">
      <c r="T347" t="str">
        <f t="shared" si="5"/>
        <v/>
      </c>
    </row>
    <row r="348" spans="20:20" x14ac:dyDescent="0.35">
      <c r="T348" t="str">
        <f t="shared" si="5"/>
        <v/>
      </c>
    </row>
    <row r="349" spans="20:20" x14ac:dyDescent="0.35">
      <c r="T349" t="str">
        <f t="shared" si="5"/>
        <v/>
      </c>
    </row>
    <row r="350" spans="20:20" x14ac:dyDescent="0.35">
      <c r="T350" t="str">
        <f t="shared" si="5"/>
        <v/>
      </c>
    </row>
    <row r="351" spans="20:20" x14ac:dyDescent="0.35">
      <c r="T351" t="str">
        <f t="shared" si="5"/>
        <v/>
      </c>
    </row>
    <row r="352" spans="20:20" x14ac:dyDescent="0.35">
      <c r="T352" t="str">
        <f t="shared" si="5"/>
        <v/>
      </c>
    </row>
    <row r="353" spans="20:20" x14ac:dyDescent="0.35">
      <c r="T353" t="str">
        <f t="shared" si="5"/>
        <v/>
      </c>
    </row>
    <row r="354" spans="20:20" x14ac:dyDescent="0.35">
      <c r="T354" t="str">
        <f t="shared" si="5"/>
        <v/>
      </c>
    </row>
    <row r="355" spans="20:20" x14ac:dyDescent="0.35">
      <c r="T355" t="str">
        <f t="shared" si="5"/>
        <v/>
      </c>
    </row>
    <row r="356" spans="20:20" x14ac:dyDescent="0.35">
      <c r="T356" t="str">
        <f t="shared" si="5"/>
        <v/>
      </c>
    </row>
    <row r="357" spans="20:20" x14ac:dyDescent="0.35">
      <c r="T357" t="str">
        <f t="shared" si="5"/>
        <v/>
      </c>
    </row>
    <row r="358" spans="20:20" x14ac:dyDescent="0.35">
      <c r="T358" t="str">
        <f t="shared" si="5"/>
        <v/>
      </c>
    </row>
    <row r="359" spans="20:20" x14ac:dyDescent="0.35">
      <c r="T359" t="str">
        <f t="shared" si="5"/>
        <v/>
      </c>
    </row>
    <row r="360" spans="20:20" x14ac:dyDescent="0.35">
      <c r="T360" t="str">
        <f t="shared" si="5"/>
        <v/>
      </c>
    </row>
    <row r="361" spans="20:20" x14ac:dyDescent="0.35">
      <c r="T361" t="str">
        <f t="shared" si="5"/>
        <v/>
      </c>
    </row>
    <row r="362" spans="20:20" x14ac:dyDescent="0.35">
      <c r="T362" t="str">
        <f t="shared" si="5"/>
        <v/>
      </c>
    </row>
    <row r="363" spans="20:20" x14ac:dyDescent="0.35">
      <c r="T363" t="str">
        <f t="shared" si="5"/>
        <v/>
      </c>
    </row>
    <row r="364" spans="20:20" x14ac:dyDescent="0.35">
      <c r="T364" t="str">
        <f t="shared" si="5"/>
        <v/>
      </c>
    </row>
    <row r="365" spans="20:20" x14ac:dyDescent="0.35">
      <c r="T365" t="str">
        <f t="shared" si="5"/>
        <v/>
      </c>
    </row>
    <row r="366" spans="20:20" x14ac:dyDescent="0.35">
      <c r="T366" t="str">
        <f t="shared" si="5"/>
        <v/>
      </c>
    </row>
    <row r="367" spans="20:20" x14ac:dyDescent="0.35">
      <c r="T367" t="str">
        <f t="shared" si="5"/>
        <v/>
      </c>
    </row>
    <row r="368" spans="20:20" x14ac:dyDescent="0.35">
      <c r="T368" t="str">
        <f t="shared" si="5"/>
        <v/>
      </c>
    </row>
    <row r="369" spans="20:20" x14ac:dyDescent="0.35">
      <c r="T369" t="str">
        <f t="shared" si="5"/>
        <v/>
      </c>
    </row>
    <row r="370" spans="20:20" x14ac:dyDescent="0.35">
      <c r="T370" t="str">
        <f t="shared" si="5"/>
        <v/>
      </c>
    </row>
    <row r="371" spans="20:20" x14ac:dyDescent="0.35">
      <c r="T371" t="str">
        <f t="shared" si="5"/>
        <v/>
      </c>
    </row>
    <row r="372" spans="20:20" x14ac:dyDescent="0.35">
      <c r="T372" t="str">
        <f t="shared" si="5"/>
        <v/>
      </c>
    </row>
    <row r="373" spans="20:20" x14ac:dyDescent="0.35">
      <c r="T373" t="str">
        <f t="shared" si="5"/>
        <v/>
      </c>
    </row>
    <row r="374" spans="20:20" x14ac:dyDescent="0.35">
      <c r="T374" t="str">
        <f t="shared" si="5"/>
        <v/>
      </c>
    </row>
    <row r="375" spans="20:20" x14ac:dyDescent="0.35">
      <c r="T375" t="str">
        <f t="shared" si="5"/>
        <v/>
      </c>
    </row>
    <row r="376" spans="20:20" x14ac:dyDescent="0.35">
      <c r="T376" t="str">
        <f t="shared" si="5"/>
        <v/>
      </c>
    </row>
    <row r="377" spans="20:20" x14ac:dyDescent="0.35">
      <c r="T377" t="str">
        <f t="shared" si="5"/>
        <v/>
      </c>
    </row>
    <row r="378" spans="20:20" x14ac:dyDescent="0.35">
      <c r="T378" t="str">
        <f t="shared" si="5"/>
        <v/>
      </c>
    </row>
    <row r="379" spans="20:20" x14ac:dyDescent="0.35">
      <c r="T379" t="str">
        <f t="shared" si="5"/>
        <v/>
      </c>
    </row>
    <row r="380" spans="20:20" x14ac:dyDescent="0.35">
      <c r="T380" t="str">
        <f t="shared" si="5"/>
        <v/>
      </c>
    </row>
    <row r="381" spans="20:20" x14ac:dyDescent="0.35">
      <c r="T381" t="str">
        <f t="shared" si="5"/>
        <v/>
      </c>
    </row>
    <row r="382" spans="20:20" x14ac:dyDescent="0.35">
      <c r="T382" t="str">
        <f t="shared" si="5"/>
        <v/>
      </c>
    </row>
    <row r="383" spans="20:20" x14ac:dyDescent="0.35">
      <c r="T383" t="str">
        <f t="shared" si="5"/>
        <v/>
      </c>
    </row>
    <row r="384" spans="20:20" x14ac:dyDescent="0.35">
      <c r="T384" t="str">
        <f t="shared" si="5"/>
        <v/>
      </c>
    </row>
    <row r="385" spans="20:20" x14ac:dyDescent="0.35">
      <c r="T385" t="str">
        <f t="shared" si="5"/>
        <v/>
      </c>
    </row>
    <row r="386" spans="20:20" x14ac:dyDescent="0.35">
      <c r="T386" t="str">
        <f t="shared" ref="T386:T449" si="6">IF(P386="","",YEAR(P386))</f>
        <v/>
      </c>
    </row>
    <row r="387" spans="20:20" x14ac:dyDescent="0.35">
      <c r="T387" t="str">
        <f t="shared" si="6"/>
        <v/>
      </c>
    </row>
    <row r="388" spans="20:20" x14ac:dyDescent="0.35">
      <c r="T388" t="str">
        <f t="shared" si="6"/>
        <v/>
      </c>
    </row>
    <row r="389" spans="20:20" x14ac:dyDescent="0.35">
      <c r="T389" t="str">
        <f t="shared" si="6"/>
        <v/>
      </c>
    </row>
    <row r="390" spans="20:20" x14ac:dyDescent="0.35">
      <c r="T390" t="str">
        <f t="shared" si="6"/>
        <v/>
      </c>
    </row>
    <row r="391" spans="20:20" x14ac:dyDescent="0.35">
      <c r="T391" t="str">
        <f t="shared" si="6"/>
        <v/>
      </c>
    </row>
    <row r="392" spans="20:20" x14ac:dyDescent="0.35">
      <c r="T392" t="str">
        <f t="shared" si="6"/>
        <v/>
      </c>
    </row>
    <row r="393" spans="20:20" x14ac:dyDescent="0.35">
      <c r="T393" t="str">
        <f t="shared" si="6"/>
        <v/>
      </c>
    </row>
    <row r="394" spans="20:20" x14ac:dyDescent="0.35">
      <c r="T394" t="str">
        <f t="shared" si="6"/>
        <v/>
      </c>
    </row>
    <row r="395" spans="20:20" x14ac:dyDescent="0.35">
      <c r="T395" t="str">
        <f t="shared" si="6"/>
        <v/>
      </c>
    </row>
    <row r="396" spans="20:20" x14ac:dyDescent="0.35">
      <c r="T396" t="str">
        <f t="shared" si="6"/>
        <v/>
      </c>
    </row>
    <row r="397" spans="20:20" x14ac:dyDescent="0.35">
      <c r="T397" t="str">
        <f t="shared" si="6"/>
        <v/>
      </c>
    </row>
    <row r="398" spans="20:20" x14ac:dyDescent="0.35">
      <c r="T398" t="str">
        <f t="shared" si="6"/>
        <v/>
      </c>
    </row>
    <row r="399" spans="20:20" x14ac:dyDescent="0.35">
      <c r="T399" t="str">
        <f t="shared" si="6"/>
        <v/>
      </c>
    </row>
    <row r="400" spans="20:20" x14ac:dyDescent="0.35">
      <c r="T400" t="str">
        <f t="shared" si="6"/>
        <v/>
      </c>
    </row>
    <row r="401" spans="20:20" x14ac:dyDescent="0.35">
      <c r="T401" t="str">
        <f t="shared" si="6"/>
        <v/>
      </c>
    </row>
    <row r="402" spans="20:20" x14ac:dyDescent="0.35">
      <c r="T402" t="str">
        <f t="shared" si="6"/>
        <v/>
      </c>
    </row>
    <row r="403" spans="20:20" x14ac:dyDescent="0.35">
      <c r="T403" t="str">
        <f t="shared" si="6"/>
        <v/>
      </c>
    </row>
    <row r="404" spans="20:20" x14ac:dyDescent="0.35">
      <c r="T404" t="str">
        <f t="shared" si="6"/>
        <v/>
      </c>
    </row>
    <row r="405" spans="20:20" x14ac:dyDescent="0.35">
      <c r="T405" t="str">
        <f t="shared" si="6"/>
        <v/>
      </c>
    </row>
    <row r="406" spans="20:20" x14ac:dyDescent="0.35">
      <c r="T406" t="str">
        <f t="shared" si="6"/>
        <v/>
      </c>
    </row>
    <row r="407" spans="20:20" x14ac:dyDescent="0.35">
      <c r="T407" t="str">
        <f t="shared" si="6"/>
        <v/>
      </c>
    </row>
    <row r="408" spans="20:20" x14ac:dyDescent="0.35">
      <c r="T408" t="str">
        <f t="shared" si="6"/>
        <v/>
      </c>
    </row>
    <row r="409" spans="20:20" x14ac:dyDescent="0.35">
      <c r="T409" t="str">
        <f t="shared" si="6"/>
        <v/>
      </c>
    </row>
    <row r="410" spans="20:20" x14ac:dyDescent="0.35">
      <c r="T410" t="str">
        <f t="shared" si="6"/>
        <v/>
      </c>
    </row>
    <row r="411" spans="20:20" x14ac:dyDescent="0.35">
      <c r="T411" t="str">
        <f t="shared" si="6"/>
        <v/>
      </c>
    </row>
    <row r="412" spans="20:20" x14ac:dyDescent="0.35">
      <c r="T412" t="str">
        <f t="shared" si="6"/>
        <v/>
      </c>
    </row>
    <row r="413" spans="20:20" x14ac:dyDescent="0.35">
      <c r="T413" t="str">
        <f t="shared" si="6"/>
        <v/>
      </c>
    </row>
    <row r="414" spans="20:20" x14ac:dyDescent="0.35">
      <c r="T414" t="str">
        <f t="shared" si="6"/>
        <v/>
      </c>
    </row>
    <row r="415" spans="20:20" x14ac:dyDescent="0.35">
      <c r="T415" t="str">
        <f t="shared" si="6"/>
        <v/>
      </c>
    </row>
    <row r="416" spans="20:20" x14ac:dyDescent="0.35">
      <c r="T416" t="str">
        <f t="shared" si="6"/>
        <v/>
      </c>
    </row>
    <row r="417" spans="20:20" x14ac:dyDescent="0.35">
      <c r="T417" t="str">
        <f t="shared" si="6"/>
        <v/>
      </c>
    </row>
    <row r="418" spans="20:20" x14ac:dyDescent="0.35">
      <c r="T418" t="str">
        <f t="shared" si="6"/>
        <v/>
      </c>
    </row>
    <row r="419" spans="20:20" x14ac:dyDescent="0.35">
      <c r="T419" t="str">
        <f t="shared" si="6"/>
        <v/>
      </c>
    </row>
    <row r="420" spans="20:20" x14ac:dyDescent="0.35">
      <c r="T420" t="str">
        <f t="shared" si="6"/>
        <v/>
      </c>
    </row>
    <row r="421" spans="20:20" x14ac:dyDescent="0.35">
      <c r="T421" t="str">
        <f t="shared" si="6"/>
        <v/>
      </c>
    </row>
    <row r="422" spans="20:20" x14ac:dyDescent="0.35">
      <c r="T422" t="str">
        <f t="shared" si="6"/>
        <v/>
      </c>
    </row>
    <row r="423" spans="20:20" x14ac:dyDescent="0.35">
      <c r="T423" t="str">
        <f t="shared" si="6"/>
        <v/>
      </c>
    </row>
    <row r="424" spans="20:20" x14ac:dyDescent="0.35">
      <c r="T424" t="str">
        <f t="shared" si="6"/>
        <v/>
      </c>
    </row>
    <row r="425" spans="20:20" x14ac:dyDescent="0.35">
      <c r="T425" t="str">
        <f t="shared" si="6"/>
        <v/>
      </c>
    </row>
    <row r="426" spans="20:20" x14ac:dyDescent="0.35">
      <c r="T426" t="str">
        <f t="shared" si="6"/>
        <v/>
      </c>
    </row>
    <row r="427" spans="20:20" x14ac:dyDescent="0.35">
      <c r="T427" t="str">
        <f t="shared" si="6"/>
        <v/>
      </c>
    </row>
    <row r="428" spans="20:20" x14ac:dyDescent="0.35">
      <c r="T428" t="str">
        <f t="shared" si="6"/>
        <v/>
      </c>
    </row>
    <row r="429" spans="20:20" x14ac:dyDescent="0.35">
      <c r="T429" t="str">
        <f t="shared" si="6"/>
        <v/>
      </c>
    </row>
    <row r="430" spans="20:20" x14ac:dyDescent="0.35">
      <c r="T430" t="str">
        <f t="shared" si="6"/>
        <v/>
      </c>
    </row>
    <row r="431" spans="20:20" x14ac:dyDescent="0.35">
      <c r="T431" t="str">
        <f t="shared" si="6"/>
        <v/>
      </c>
    </row>
    <row r="432" spans="20:20" x14ac:dyDescent="0.35">
      <c r="T432" t="str">
        <f t="shared" si="6"/>
        <v/>
      </c>
    </row>
    <row r="433" spans="20:20" x14ac:dyDescent="0.35">
      <c r="T433" t="str">
        <f t="shared" si="6"/>
        <v/>
      </c>
    </row>
    <row r="434" spans="20:20" x14ac:dyDescent="0.35">
      <c r="T434" t="str">
        <f t="shared" si="6"/>
        <v/>
      </c>
    </row>
    <row r="435" spans="20:20" x14ac:dyDescent="0.35">
      <c r="T435" t="str">
        <f t="shared" si="6"/>
        <v/>
      </c>
    </row>
    <row r="436" spans="20:20" x14ac:dyDescent="0.35">
      <c r="T436" t="str">
        <f t="shared" si="6"/>
        <v/>
      </c>
    </row>
    <row r="437" spans="20:20" x14ac:dyDescent="0.35">
      <c r="T437" t="str">
        <f t="shared" si="6"/>
        <v/>
      </c>
    </row>
    <row r="438" spans="20:20" x14ac:dyDescent="0.35">
      <c r="T438" t="str">
        <f t="shared" si="6"/>
        <v/>
      </c>
    </row>
    <row r="439" spans="20:20" x14ac:dyDescent="0.35">
      <c r="T439" t="str">
        <f t="shared" si="6"/>
        <v/>
      </c>
    </row>
    <row r="440" spans="20:20" x14ac:dyDescent="0.35">
      <c r="T440" t="str">
        <f t="shared" si="6"/>
        <v/>
      </c>
    </row>
    <row r="441" spans="20:20" x14ac:dyDescent="0.35">
      <c r="T441" t="str">
        <f t="shared" si="6"/>
        <v/>
      </c>
    </row>
    <row r="442" spans="20:20" x14ac:dyDescent="0.35">
      <c r="T442" t="str">
        <f t="shared" si="6"/>
        <v/>
      </c>
    </row>
    <row r="443" spans="20:20" x14ac:dyDescent="0.35">
      <c r="T443" t="str">
        <f t="shared" si="6"/>
        <v/>
      </c>
    </row>
    <row r="444" spans="20:20" x14ac:dyDescent="0.35">
      <c r="T444" t="str">
        <f t="shared" si="6"/>
        <v/>
      </c>
    </row>
    <row r="445" spans="20:20" x14ac:dyDescent="0.35">
      <c r="T445" t="str">
        <f t="shared" si="6"/>
        <v/>
      </c>
    </row>
    <row r="446" spans="20:20" x14ac:dyDescent="0.35">
      <c r="T446" t="str">
        <f t="shared" si="6"/>
        <v/>
      </c>
    </row>
    <row r="447" spans="20:20" x14ac:dyDescent="0.35">
      <c r="T447" t="str">
        <f t="shared" si="6"/>
        <v/>
      </c>
    </row>
    <row r="448" spans="20:20" x14ac:dyDescent="0.35">
      <c r="T448" t="str">
        <f t="shared" si="6"/>
        <v/>
      </c>
    </row>
    <row r="449" spans="20:20" x14ac:dyDescent="0.35">
      <c r="T449" t="str">
        <f t="shared" si="6"/>
        <v/>
      </c>
    </row>
    <row r="450" spans="20:20" x14ac:dyDescent="0.35">
      <c r="T450" t="str">
        <f t="shared" ref="T450:T513" si="7">IF(P450="","",YEAR(P450))</f>
        <v/>
      </c>
    </row>
    <row r="451" spans="20:20" x14ac:dyDescent="0.35">
      <c r="T451" t="str">
        <f t="shared" si="7"/>
        <v/>
      </c>
    </row>
    <row r="452" spans="20:20" x14ac:dyDescent="0.35">
      <c r="T452" t="str">
        <f t="shared" si="7"/>
        <v/>
      </c>
    </row>
    <row r="453" spans="20:20" x14ac:dyDescent="0.35">
      <c r="T453" t="str">
        <f t="shared" si="7"/>
        <v/>
      </c>
    </row>
    <row r="454" spans="20:20" x14ac:dyDescent="0.35">
      <c r="T454" t="str">
        <f t="shared" si="7"/>
        <v/>
      </c>
    </row>
    <row r="455" spans="20:20" x14ac:dyDescent="0.35">
      <c r="T455" t="str">
        <f t="shared" si="7"/>
        <v/>
      </c>
    </row>
    <row r="456" spans="20:20" x14ac:dyDescent="0.35">
      <c r="T456" t="str">
        <f t="shared" si="7"/>
        <v/>
      </c>
    </row>
    <row r="457" spans="20:20" x14ac:dyDescent="0.35">
      <c r="T457" t="str">
        <f t="shared" si="7"/>
        <v/>
      </c>
    </row>
    <row r="458" spans="20:20" x14ac:dyDescent="0.35">
      <c r="T458" t="str">
        <f t="shared" si="7"/>
        <v/>
      </c>
    </row>
    <row r="459" spans="20:20" x14ac:dyDescent="0.35">
      <c r="T459" t="str">
        <f t="shared" si="7"/>
        <v/>
      </c>
    </row>
    <row r="460" spans="20:20" x14ac:dyDescent="0.35">
      <c r="T460" t="str">
        <f t="shared" si="7"/>
        <v/>
      </c>
    </row>
    <row r="461" spans="20:20" x14ac:dyDescent="0.35">
      <c r="T461" t="str">
        <f t="shared" si="7"/>
        <v/>
      </c>
    </row>
    <row r="462" spans="20:20" x14ac:dyDescent="0.35">
      <c r="T462" t="str">
        <f t="shared" si="7"/>
        <v/>
      </c>
    </row>
    <row r="463" spans="20:20" x14ac:dyDescent="0.35">
      <c r="T463" t="str">
        <f t="shared" si="7"/>
        <v/>
      </c>
    </row>
    <row r="464" spans="20:20" x14ac:dyDescent="0.35">
      <c r="T464" t="str">
        <f t="shared" si="7"/>
        <v/>
      </c>
    </row>
    <row r="465" spans="20:20" x14ac:dyDescent="0.35">
      <c r="T465" t="str">
        <f t="shared" si="7"/>
        <v/>
      </c>
    </row>
    <row r="466" spans="20:20" x14ac:dyDescent="0.35">
      <c r="T466" t="str">
        <f t="shared" si="7"/>
        <v/>
      </c>
    </row>
    <row r="467" spans="20:20" x14ac:dyDescent="0.35">
      <c r="T467" t="str">
        <f t="shared" si="7"/>
        <v/>
      </c>
    </row>
    <row r="468" spans="20:20" x14ac:dyDescent="0.35">
      <c r="T468" t="str">
        <f t="shared" si="7"/>
        <v/>
      </c>
    </row>
    <row r="469" spans="20:20" x14ac:dyDescent="0.35">
      <c r="T469" t="str">
        <f t="shared" si="7"/>
        <v/>
      </c>
    </row>
    <row r="470" spans="20:20" x14ac:dyDescent="0.35">
      <c r="T470" t="str">
        <f t="shared" si="7"/>
        <v/>
      </c>
    </row>
    <row r="471" spans="20:20" x14ac:dyDescent="0.35">
      <c r="T471" t="str">
        <f t="shared" si="7"/>
        <v/>
      </c>
    </row>
    <row r="472" spans="20:20" x14ac:dyDescent="0.35">
      <c r="T472" t="str">
        <f t="shared" si="7"/>
        <v/>
      </c>
    </row>
    <row r="473" spans="20:20" x14ac:dyDescent="0.35">
      <c r="T473" t="str">
        <f t="shared" si="7"/>
        <v/>
      </c>
    </row>
    <row r="474" spans="20:20" x14ac:dyDescent="0.35">
      <c r="T474" t="str">
        <f t="shared" si="7"/>
        <v/>
      </c>
    </row>
    <row r="475" spans="20:20" x14ac:dyDescent="0.35">
      <c r="T475" t="str">
        <f t="shared" si="7"/>
        <v/>
      </c>
    </row>
    <row r="476" spans="20:20" x14ac:dyDescent="0.35">
      <c r="T476" t="str">
        <f t="shared" si="7"/>
        <v/>
      </c>
    </row>
    <row r="477" spans="20:20" x14ac:dyDescent="0.35">
      <c r="T477" t="str">
        <f t="shared" si="7"/>
        <v/>
      </c>
    </row>
    <row r="478" spans="20:20" x14ac:dyDescent="0.35">
      <c r="T478" t="str">
        <f t="shared" si="7"/>
        <v/>
      </c>
    </row>
    <row r="479" spans="20:20" x14ac:dyDescent="0.35">
      <c r="T479" t="str">
        <f t="shared" si="7"/>
        <v/>
      </c>
    </row>
    <row r="480" spans="20:20" x14ac:dyDescent="0.35">
      <c r="T480" t="str">
        <f t="shared" si="7"/>
        <v/>
      </c>
    </row>
    <row r="481" spans="20:20" x14ac:dyDescent="0.35">
      <c r="T481" t="str">
        <f t="shared" si="7"/>
        <v/>
      </c>
    </row>
    <row r="482" spans="20:20" x14ac:dyDescent="0.35">
      <c r="T482" t="str">
        <f t="shared" si="7"/>
        <v/>
      </c>
    </row>
    <row r="483" spans="20:20" x14ac:dyDescent="0.35">
      <c r="T483" t="str">
        <f t="shared" si="7"/>
        <v/>
      </c>
    </row>
    <row r="484" spans="20:20" x14ac:dyDescent="0.35">
      <c r="T484" t="str">
        <f t="shared" si="7"/>
        <v/>
      </c>
    </row>
    <row r="485" spans="20:20" x14ac:dyDescent="0.35">
      <c r="T485" t="str">
        <f t="shared" si="7"/>
        <v/>
      </c>
    </row>
    <row r="486" spans="20:20" x14ac:dyDescent="0.35">
      <c r="T486" t="str">
        <f t="shared" si="7"/>
        <v/>
      </c>
    </row>
    <row r="487" spans="20:20" x14ac:dyDescent="0.35">
      <c r="T487" t="str">
        <f t="shared" si="7"/>
        <v/>
      </c>
    </row>
    <row r="488" spans="20:20" x14ac:dyDescent="0.35">
      <c r="T488" t="str">
        <f t="shared" si="7"/>
        <v/>
      </c>
    </row>
    <row r="489" spans="20:20" x14ac:dyDescent="0.35">
      <c r="T489" t="str">
        <f t="shared" si="7"/>
        <v/>
      </c>
    </row>
    <row r="490" spans="20:20" x14ac:dyDescent="0.35">
      <c r="T490" t="str">
        <f t="shared" si="7"/>
        <v/>
      </c>
    </row>
    <row r="491" spans="20:20" x14ac:dyDescent="0.35">
      <c r="T491" t="str">
        <f t="shared" si="7"/>
        <v/>
      </c>
    </row>
    <row r="492" spans="20:20" x14ac:dyDescent="0.35">
      <c r="T492" t="str">
        <f t="shared" si="7"/>
        <v/>
      </c>
    </row>
    <row r="493" spans="20:20" x14ac:dyDescent="0.35">
      <c r="T493" t="str">
        <f t="shared" si="7"/>
        <v/>
      </c>
    </row>
    <row r="494" spans="20:20" x14ac:dyDescent="0.35">
      <c r="T494" t="str">
        <f t="shared" si="7"/>
        <v/>
      </c>
    </row>
    <row r="495" spans="20:20" x14ac:dyDescent="0.35">
      <c r="T495" t="str">
        <f t="shared" si="7"/>
        <v/>
      </c>
    </row>
    <row r="496" spans="20:20" x14ac:dyDescent="0.35">
      <c r="T496" t="str">
        <f t="shared" si="7"/>
        <v/>
      </c>
    </row>
    <row r="497" spans="20:20" x14ac:dyDescent="0.35">
      <c r="T497" t="str">
        <f t="shared" si="7"/>
        <v/>
      </c>
    </row>
    <row r="498" spans="20:20" x14ac:dyDescent="0.35">
      <c r="T498" t="str">
        <f t="shared" si="7"/>
        <v/>
      </c>
    </row>
    <row r="499" spans="20:20" x14ac:dyDescent="0.35">
      <c r="T499" t="str">
        <f t="shared" si="7"/>
        <v/>
      </c>
    </row>
    <row r="500" spans="20:20" x14ac:dyDescent="0.35">
      <c r="T500" t="str">
        <f t="shared" si="7"/>
        <v/>
      </c>
    </row>
    <row r="501" spans="20:20" x14ac:dyDescent="0.35">
      <c r="T501" t="str">
        <f t="shared" si="7"/>
        <v/>
      </c>
    </row>
    <row r="502" spans="20:20" x14ac:dyDescent="0.35">
      <c r="T502" t="str">
        <f t="shared" si="7"/>
        <v/>
      </c>
    </row>
    <row r="503" spans="20:20" x14ac:dyDescent="0.35">
      <c r="T503" t="str">
        <f t="shared" si="7"/>
        <v/>
      </c>
    </row>
    <row r="504" spans="20:20" x14ac:dyDescent="0.35">
      <c r="T504" t="str">
        <f t="shared" si="7"/>
        <v/>
      </c>
    </row>
    <row r="505" spans="20:20" x14ac:dyDescent="0.35">
      <c r="T505" t="str">
        <f t="shared" si="7"/>
        <v/>
      </c>
    </row>
    <row r="506" spans="20:20" x14ac:dyDescent="0.35">
      <c r="T506" t="str">
        <f t="shared" si="7"/>
        <v/>
      </c>
    </row>
    <row r="507" spans="20:20" x14ac:dyDescent="0.35">
      <c r="T507" t="str">
        <f t="shared" si="7"/>
        <v/>
      </c>
    </row>
    <row r="508" spans="20:20" x14ac:dyDescent="0.35">
      <c r="T508" t="str">
        <f t="shared" si="7"/>
        <v/>
      </c>
    </row>
    <row r="509" spans="20:20" x14ac:dyDescent="0.35">
      <c r="T509" t="str">
        <f t="shared" si="7"/>
        <v/>
      </c>
    </row>
    <row r="510" spans="20:20" x14ac:dyDescent="0.35">
      <c r="T510" t="str">
        <f t="shared" si="7"/>
        <v/>
      </c>
    </row>
    <row r="511" spans="20:20" x14ac:dyDescent="0.35">
      <c r="T511" t="str">
        <f t="shared" si="7"/>
        <v/>
      </c>
    </row>
    <row r="512" spans="20:20" x14ac:dyDescent="0.35">
      <c r="T512" t="str">
        <f t="shared" si="7"/>
        <v/>
      </c>
    </row>
    <row r="513" spans="20:20" x14ac:dyDescent="0.35">
      <c r="T513" t="str">
        <f t="shared" si="7"/>
        <v/>
      </c>
    </row>
    <row r="514" spans="20:20" x14ac:dyDescent="0.35">
      <c r="T514" t="str">
        <f t="shared" ref="T514:T577" si="8">IF(P514="","",YEAR(P514))</f>
        <v/>
      </c>
    </row>
    <row r="515" spans="20:20" x14ac:dyDescent="0.35">
      <c r="T515" t="str">
        <f t="shared" si="8"/>
        <v/>
      </c>
    </row>
    <row r="516" spans="20:20" x14ac:dyDescent="0.35">
      <c r="T516" t="str">
        <f t="shared" si="8"/>
        <v/>
      </c>
    </row>
    <row r="517" spans="20:20" x14ac:dyDescent="0.35">
      <c r="T517" t="str">
        <f t="shared" si="8"/>
        <v/>
      </c>
    </row>
    <row r="518" spans="20:20" x14ac:dyDescent="0.35">
      <c r="T518" t="str">
        <f t="shared" si="8"/>
        <v/>
      </c>
    </row>
    <row r="519" spans="20:20" x14ac:dyDescent="0.35">
      <c r="T519" t="str">
        <f t="shared" si="8"/>
        <v/>
      </c>
    </row>
    <row r="520" spans="20:20" x14ac:dyDescent="0.35">
      <c r="T520" t="str">
        <f t="shared" si="8"/>
        <v/>
      </c>
    </row>
    <row r="521" spans="20:20" x14ac:dyDescent="0.35">
      <c r="T521" t="str">
        <f t="shared" si="8"/>
        <v/>
      </c>
    </row>
    <row r="522" spans="20:20" x14ac:dyDescent="0.35">
      <c r="T522" t="str">
        <f t="shared" si="8"/>
        <v/>
      </c>
    </row>
    <row r="523" spans="20:20" x14ac:dyDescent="0.35">
      <c r="T523" t="str">
        <f t="shared" si="8"/>
        <v/>
      </c>
    </row>
    <row r="524" spans="20:20" x14ac:dyDescent="0.35">
      <c r="T524" t="str">
        <f t="shared" si="8"/>
        <v/>
      </c>
    </row>
    <row r="525" spans="20:20" x14ac:dyDescent="0.35">
      <c r="T525" t="str">
        <f t="shared" si="8"/>
        <v/>
      </c>
    </row>
    <row r="526" spans="20:20" x14ac:dyDescent="0.35">
      <c r="T526" t="str">
        <f t="shared" si="8"/>
        <v/>
      </c>
    </row>
    <row r="527" spans="20:20" x14ac:dyDescent="0.35">
      <c r="T527" t="str">
        <f t="shared" si="8"/>
        <v/>
      </c>
    </row>
    <row r="528" spans="20:20" x14ac:dyDescent="0.35">
      <c r="T528" t="str">
        <f t="shared" si="8"/>
        <v/>
      </c>
    </row>
    <row r="529" spans="20:20" x14ac:dyDescent="0.35">
      <c r="T529" t="str">
        <f t="shared" si="8"/>
        <v/>
      </c>
    </row>
    <row r="530" spans="20:20" x14ac:dyDescent="0.35">
      <c r="T530" t="str">
        <f t="shared" si="8"/>
        <v/>
      </c>
    </row>
    <row r="531" spans="20:20" x14ac:dyDescent="0.35">
      <c r="T531" t="str">
        <f t="shared" si="8"/>
        <v/>
      </c>
    </row>
    <row r="532" spans="20:20" x14ac:dyDescent="0.35">
      <c r="T532" t="str">
        <f t="shared" si="8"/>
        <v/>
      </c>
    </row>
    <row r="533" spans="20:20" x14ac:dyDescent="0.35">
      <c r="T533" t="str">
        <f t="shared" si="8"/>
        <v/>
      </c>
    </row>
    <row r="534" spans="20:20" x14ac:dyDescent="0.35">
      <c r="T534" t="str">
        <f t="shared" si="8"/>
        <v/>
      </c>
    </row>
    <row r="535" spans="20:20" x14ac:dyDescent="0.35">
      <c r="T535" t="str">
        <f t="shared" si="8"/>
        <v/>
      </c>
    </row>
    <row r="536" spans="20:20" x14ac:dyDescent="0.35">
      <c r="T536" t="str">
        <f t="shared" si="8"/>
        <v/>
      </c>
    </row>
    <row r="537" spans="20:20" x14ac:dyDescent="0.35">
      <c r="T537" t="str">
        <f t="shared" si="8"/>
        <v/>
      </c>
    </row>
    <row r="538" spans="20:20" x14ac:dyDescent="0.35">
      <c r="T538" t="str">
        <f t="shared" si="8"/>
        <v/>
      </c>
    </row>
    <row r="539" spans="20:20" x14ac:dyDescent="0.35">
      <c r="T539" t="str">
        <f t="shared" si="8"/>
        <v/>
      </c>
    </row>
    <row r="540" spans="20:20" x14ac:dyDescent="0.35">
      <c r="T540" t="str">
        <f t="shared" si="8"/>
        <v/>
      </c>
    </row>
    <row r="541" spans="20:20" x14ac:dyDescent="0.35">
      <c r="T541" t="str">
        <f t="shared" si="8"/>
        <v/>
      </c>
    </row>
    <row r="542" spans="20:20" x14ac:dyDescent="0.35">
      <c r="T542" t="str">
        <f t="shared" si="8"/>
        <v/>
      </c>
    </row>
    <row r="543" spans="20:20" x14ac:dyDescent="0.35">
      <c r="T543" t="str">
        <f t="shared" si="8"/>
        <v/>
      </c>
    </row>
    <row r="544" spans="20:20" x14ac:dyDescent="0.35">
      <c r="T544" t="str">
        <f t="shared" si="8"/>
        <v/>
      </c>
    </row>
    <row r="545" spans="20:20" x14ac:dyDescent="0.35">
      <c r="T545" t="str">
        <f t="shared" si="8"/>
        <v/>
      </c>
    </row>
    <row r="546" spans="20:20" x14ac:dyDescent="0.35">
      <c r="T546" t="str">
        <f t="shared" si="8"/>
        <v/>
      </c>
    </row>
    <row r="547" spans="20:20" x14ac:dyDescent="0.35">
      <c r="T547" t="str">
        <f t="shared" si="8"/>
        <v/>
      </c>
    </row>
    <row r="548" spans="20:20" x14ac:dyDescent="0.35">
      <c r="T548" t="str">
        <f t="shared" si="8"/>
        <v/>
      </c>
    </row>
    <row r="549" spans="20:20" x14ac:dyDescent="0.35">
      <c r="T549" t="str">
        <f t="shared" si="8"/>
        <v/>
      </c>
    </row>
    <row r="550" spans="20:20" x14ac:dyDescent="0.35">
      <c r="T550" t="str">
        <f t="shared" si="8"/>
        <v/>
      </c>
    </row>
    <row r="551" spans="20:20" x14ac:dyDescent="0.35">
      <c r="T551" t="str">
        <f t="shared" si="8"/>
        <v/>
      </c>
    </row>
    <row r="552" spans="20:20" x14ac:dyDescent="0.35">
      <c r="T552" t="str">
        <f t="shared" si="8"/>
        <v/>
      </c>
    </row>
    <row r="553" spans="20:20" x14ac:dyDescent="0.35">
      <c r="T553" t="str">
        <f t="shared" si="8"/>
        <v/>
      </c>
    </row>
    <row r="554" spans="20:20" x14ac:dyDescent="0.35">
      <c r="T554" t="str">
        <f t="shared" si="8"/>
        <v/>
      </c>
    </row>
    <row r="555" spans="20:20" x14ac:dyDescent="0.35">
      <c r="T555" t="str">
        <f t="shared" si="8"/>
        <v/>
      </c>
    </row>
    <row r="556" spans="20:20" x14ac:dyDescent="0.35">
      <c r="T556" t="str">
        <f t="shared" si="8"/>
        <v/>
      </c>
    </row>
    <row r="557" spans="20:20" x14ac:dyDescent="0.35">
      <c r="T557" t="str">
        <f t="shared" si="8"/>
        <v/>
      </c>
    </row>
    <row r="558" spans="20:20" x14ac:dyDescent="0.35">
      <c r="T558" t="str">
        <f t="shared" si="8"/>
        <v/>
      </c>
    </row>
    <row r="559" spans="20:20" x14ac:dyDescent="0.35">
      <c r="T559" t="str">
        <f t="shared" si="8"/>
        <v/>
      </c>
    </row>
    <row r="560" spans="20:20" x14ac:dyDescent="0.35">
      <c r="T560" t="str">
        <f t="shared" si="8"/>
        <v/>
      </c>
    </row>
    <row r="561" spans="20:20" x14ac:dyDescent="0.35">
      <c r="T561" t="str">
        <f t="shared" si="8"/>
        <v/>
      </c>
    </row>
    <row r="562" spans="20:20" x14ac:dyDescent="0.35">
      <c r="T562" t="str">
        <f t="shared" si="8"/>
        <v/>
      </c>
    </row>
    <row r="563" spans="20:20" x14ac:dyDescent="0.35">
      <c r="T563" t="str">
        <f t="shared" si="8"/>
        <v/>
      </c>
    </row>
    <row r="564" spans="20:20" x14ac:dyDescent="0.35">
      <c r="T564" t="str">
        <f t="shared" si="8"/>
        <v/>
      </c>
    </row>
    <row r="565" spans="20:20" x14ac:dyDescent="0.35">
      <c r="T565" t="str">
        <f t="shared" si="8"/>
        <v/>
      </c>
    </row>
    <row r="566" spans="20:20" x14ac:dyDescent="0.35">
      <c r="T566" t="str">
        <f t="shared" si="8"/>
        <v/>
      </c>
    </row>
    <row r="567" spans="20:20" x14ac:dyDescent="0.35">
      <c r="T567" t="str">
        <f t="shared" si="8"/>
        <v/>
      </c>
    </row>
    <row r="568" spans="20:20" x14ac:dyDescent="0.35">
      <c r="T568" t="str">
        <f t="shared" si="8"/>
        <v/>
      </c>
    </row>
    <row r="569" spans="20:20" x14ac:dyDescent="0.35">
      <c r="T569" t="str">
        <f t="shared" si="8"/>
        <v/>
      </c>
    </row>
    <row r="570" spans="20:20" x14ac:dyDescent="0.35">
      <c r="T570" t="str">
        <f t="shared" si="8"/>
        <v/>
      </c>
    </row>
    <row r="571" spans="20:20" x14ac:dyDescent="0.35">
      <c r="T571" t="str">
        <f t="shared" si="8"/>
        <v/>
      </c>
    </row>
    <row r="572" spans="20:20" x14ac:dyDescent="0.35">
      <c r="T572" t="str">
        <f t="shared" si="8"/>
        <v/>
      </c>
    </row>
    <row r="573" spans="20:20" x14ac:dyDescent="0.35">
      <c r="T573" t="str">
        <f t="shared" si="8"/>
        <v/>
      </c>
    </row>
    <row r="574" spans="20:20" x14ac:dyDescent="0.35">
      <c r="T574" t="str">
        <f t="shared" si="8"/>
        <v/>
      </c>
    </row>
    <row r="575" spans="20:20" x14ac:dyDescent="0.35">
      <c r="T575" t="str">
        <f t="shared" si="8"/>
        <v/>
      </c>
    </row>
    <row r="576" spans="20:20" x14ac:dyDescent="0.35">
      <c r="T576" t="str">
        <f t="shared" si="8"/>
        <v/>
      </c>
    </row>
    <row r="577" spans="20:20" x14ac:dyDescent="0.35">
      <c r="T577" t="str">
        <f t="shared" si="8"/>
        <v/>
      </c>
    </row>
    <row r="578" spans="20:20" x14ac:dyDescent="0.35">
      <c r="T578" t="str">
        <f t="shared" ref="T578:T641" si="9">IF(P578="","",YEAR(P578))</f>
        <v/>
      </c>
    </row>
    <row r="579" spans="20:20" x14ac:dyDescent="0.35">
      <c r="T579" t="str">
        <f t="shared" si="9"/>
        <v/>
      </c>
    </row>
    <row r="580" spans="20:20" x14ac:dyDescent="0.35">
      <c r="T580" t="str">
        <f t="shared" si="9"/>
        <v/>
      </c>
    </row>
    <row r="581" spans="20:20" x14ac:dyDescent="0.35">
      <c r="T581" t="str">
        <f t="shared" si="9"/>
        <v/>
      </c>
    </row>
    <row r="582" spans="20:20" x14ac:dyDescent="0.35">
      <c r="T582" t="str">
        <f t="shared" si="9"/>
        <v/>
      </c>
    </row>
    <row r="583" spans="20:20" x14ac:dyDescent="0.35">
      <c r="T583" t="str">
        <f t="shared" si="9"/>
        <v/>
      </c>
    </row>
    <row r="584" spans="20:20" x14ac:dyDescent="0.35">
      <c r="T584" t="str">
        <f t="shared" si="9"/>
        <v/>
      </c>
    </row>
    <row r="585" spans="20:20" x14ac:dyDescent="0.35">
      <c r="T585" t="str">
        <f t="shared" si="9"/>
        <v/>
      </c>
    </row>
    <row r="586" spans="20:20" x14ac:dyDescent="0.35">
      <c r="T586" t="str">
        <f t="shared" si="9"/>
        <v/>
      </c>
    </row>
    <row r="587" spans="20:20" x14ac:dyDescent="0.35">
      <c r="T587" t="str">
        <f t="shared" si="9"/>
        <v/>
      </c>
    </row>
    <row r="588" spans="20:20" x14ac:dyDescent="0.35">
      <c r="T588" t="str">
        <f t="shared" si="9"/>
        <v/>
      </c>
    </row>
    <row r="589" spans="20:20" x14ac:dyDescent="0.35">
      <c r="T589" t="str">
        <f t="shared" si="9"/>
        <v/>
      </c>
    </row>
    <row r="590" spans="20:20" x14ac:dyDescent="0.35">
      <c r="T590" t="str">
        <f t="shared" si="9"/>
        <v/>
      </c>
    </row>
    <row r="591" spans="20:20" x14ac:dyDescent="0.35">
      <c r="T591" t="str">
        <f t="shared" si="9"/>
        <v/>
      </c>
    </row>
    <row r="592" spans="20:20" x14ac:dyDescent="0.35">
      <c r="T592" t="str">
        <f t="shared" si="9"/>
        <v/>
      </c>
    </row>
    <row r="593" spans="20:20" x14ac:dyDescent="0.35">
      <c r="T593" t="str">
        <f t="shared" si="9"/>
        <v/>
      </c>
    </row>
    <row r="594" spans="20:20" x14ac:dyDescent="0.35">
      <c r="T594" t="str">
        <f t="shared" si="9"/>
        <v/>
      </c>
    </row>
    <row r="595" spans="20:20" x14ac:dyDescent="0.35">
      <c r="T595" t="str">
        <f t="shared" si="9"/>
        <v/>
      </c>
    </row>
    <row r="596" spans="20:20" x14ac:dyDescent="0.35">
      <c r="T596" t="str">
        <f t="shared" si="9"/>
        <v/>
      </c>
    </row>
    <row r="597" spans="20:20" x14ac:dyDescent="0.35">
      <c r="T597" t="str">
        <f t="shared" si="9"/>
        <v/>
      </c>
    </row>
    <row r="598" spans="20:20" x14ac:dyDescent="0.35">
      <c r="T598" t="str">
        <f t="shared" si="9"/>
        <v/>
      </c>
    </row>
    <row r="599" spans="20:20" x14ac:dyDescent="0.35">
      <c r="T599" t="str">
        <f t="shared" si="9"/>
        <v/>
      </c>
    </row>
    <row r="600" spans="20:20" x14ac:dyDescent="0.35">
      <c r="T600" t="str">
        <f t="shared" si="9"/>
        <v/>
      </c>
    </row>
    <row r="601" spans="20:20" x14ac:dyDescent="0.35">
      <c r="T601" t="str">
        <f t="shared" si="9"/>
        <v/>
      </c>
    </row>
    <row r="602" spans="20:20" x14ac:dyDescent="0.35">
      <c r="T602" t="str">
        <f t="shared" si="9"/>
        <v/>
      </c>
    </row>
    <row r="603" spans="20:20" x14ac:dyDescent="0.35">
      <c r="T603" t="str">
        <f t="shared" si="9"/>
        <v/>
      </c>
    </row>
    <row r="604" spans="20:20" x14ac:dyDescent="0.35">
      <c r="T604" t="str">
        <f t="shared" si="9"/>
        <v/>
      </c>
    </row>
    <row r="605" spans="20:20" x14ac:dyDescent="0.35">
      <c r="T605" t="str">
        <f t="shared" si="9"/>
        <v/>
      </c>
    </row>
    <row r="606" spans="20:20" x14ac:dyDescent="0.35">
      <c r="T606" t="str">
        <f t="shared" si="9"/>
        <v/>
      </c>
    </row>
    <row r="607" spans="20:20" x14ac:dyDescent="0.35">
      <c r="T607" t="str">
        <f t="shared" si="9"/>
        <v/>
      </c>
    </row>
    <row r="608" spans="20:20" x14ac:dyDescent="0.35">
      <c r="T608" t="str">
        <f t="shared" si="9"/>
        <v/>
      </c>
    </row>
    <row r="609" spans="20:20" x14ac:dyDescent="0.35">
      <c r="T609" t="str">
        <f t="shared" si="9"/>
        <v/>
      </c>
    </row>
    <row r="610" spans="20:20" x14ac:dyDescent="0.35">
      <c r="T610" t="str">
        <f t="shared" si="9"/>
        <v/>
      </c>
    </row>
    <row r="611" spans="20:20" x14ac:dyDescent="0.35">
      <c r="T611" t="str">
        <f t="shared" si="9"/>
        <v/>
      </c>
    </row>
    <row r="612" spans="20:20" x14ac:dyDescent="0.35">
      <c r="T612" t="str">
        <f t="shared" si="9"/>
        <v/>
      </c>
    </row>
    <row r="613" spans="20:20" x14ac:dyDescent="0.35">
      <c r="T613" t="str">
        <f t="shared" si="9"/>
        <v/>
      </c>
    </row>
    <row r="614" spans="20:20" x14ac:dyDescent="0.35">
      <c r="T614" t="str">
        <f t="shared" si="9"/>
        <v/>
      </c>
    </row>
    <row r="615" spans="20:20" x14ac:dyDescent="0.35">
      <c r="T615" t="str">
        <f t="shared" si="9"/>
        <v/>
      </c>
    </row>
    <row r="616" spans="20:20" x14ac:dyDescent="0.35">
      <c r="T616" t="str">
        <f t="shared" si="9"/>
        <v/>
      </c>
    </row>
    <row r="617" spans="20:20" x14ac:dyDescent="0.35">
      <c r="T617" t="str">
        <f t="shared" si="9"/>
        <v/>
      </c>
    </row>
    <row r="618" spans="20:20" x14ac:dyDescent="0.35">
      <c r="T618" t="str">
        <f t="shared" si="9"/>
        <v/>
      </c>
    </row>
    <row r="619" spans="20:20" x14ac:dyDescent="0.35">
      <c r="T619" t="str">
        <f t="shared" si="9"/>
        <v/>
      </c>
    </row>
    <row r="620" spans="20:20" x14ac:dyDescent="0.35">
      <c r="T620" t="str">
        <f t="shared" si="9"/>
        <v/>
      </c>
    </row>
    <row r="621" spans="20:20" x14ac:dyDescent="0.35">
      <c r="T621" t="str">
        <f t="shared" si="9"/>
        <v/>
      </c>
    </row>
    <row r="622" spans="20:20" x14ac:dyDescent="0.35">
      <c r="T622" t="str">
        <f t="shared" si="9"/>
        <v/>
      </c>
    </row>
    <row r="623" spans="20:20" x14ac:dyDescent="0.35">
      <c r="T623" t="str">
        <f t="shared" si="9"/>
        <v/>
      </c>
    </row>
    <row r="624" spans="20:20" x14ac:dyDescent="0.35">
      <c r="T624" t="str">
        <f t="shared" si="9"/>
        <v/>
      </c>
    </row>
    <row r="625" spans="20:20" x14ac:dyDescent="0.35">
      <c r="T625" t="str">
        <f t="shared" si="9"/>
        <v/>
      </c>
    </row>
    <row r="626" spans="20:20" x14ac:dyDescent="0.35">
      <c r="T626" t="str">
        <f t="shared" si="9"/>
        <v/>
      </c>
    </row>
    <row r="627" spans="20:20" x14ac:dyDescent="0.35">
      <c r="T627" t="str">
        <f t="shared" si="9"/>
        <v/>
      </c>
    </row>
    <row r="628" spans="20:20" x14ac:dyDescent="0.35">
      <c r="T628" t="str">
        <f t="shared" si="9"/>
        <v/>
      </c>
    </row>
    <row r="629" spans="20:20" x14ac:dyDescent="0.35">
      <c r="T629" t="str">
        <f t="shared" si="9"/>
        <v/>
      </c>
    </row>
    <row r="630" spans="20:20" x14ac:dyDescent="0.35">
      <c r="T630" t="str">
        <f t="shared" si="9"/>
        <v/>
      </c>
    </row>
    <row r="631" spans="20:20" x14ac:dyDescent="0.35">
      <c r="T631" t="str">
        <f t="shared" si="9"/>
        <v/>
      </c>
    </row>
    <row r="632" spans="20:20" x14ac:dyDescent="0.35">
      <c r="T632" t="str">
        <f t="shared" si="9"/>
        <v/>
      </c>
    </row>
    <row r="633" spans="20:20" x14ac:dyDescent="0.35">
      <c r="T633" t="str">
        <f t="shared" si="9"/>
        <v/>
      </c>
    </row>
    <row r="634" spans="20:20" x14ac:dyDescent="0.35">
      <c r="T634" t="str">
        <f t="shared" si="9"/>
        <v/>
      </c>
    </row>
    <row r="635" spans="20:20" x14ac:dyDescent="0.35">
      <c r="T635" t="str">
        <f t="shared" si="9"/>
        <v/>
      </c>
    </row>
    <row r="636" spans="20:20" x14ac:dyDescent="0.35">
      <c r="T636" t="str">
        <f t="shared" si="9"/>
        <v/>
      </c>
    </row>
    <row r="637" spans="20:20" x14ac:dyDescent="0.35">
      <c r="T637" t="str">
        <f t="shared" si="9"/>
        <v/>
      </c>
    </row>
    <row r="638" spans="20:20" x14ac:dyDescent="0.35">
      <c r="T638" t="str">
        <f t="shared" si="9"/>
        <v/>
      </c>
    </row>
    <row r="639" spans="20:20" x14ac:dyDescent="0.35">
      <c r="T639" t="str">
        <f t="shared" si="9"/>
        <v/>
      </c>
    </row>
    <row r="640" spans="20:20" x14ac:dyDescent="0.35">
      <c r="T640" t="str">
        <f t="shared" si="9"/>
        <v/>
      </c>
    </row>
    <row r="641" spans="20:20" x14ac:dyDescent="0.35">
      <c r="T641" t="str">
        <f t="shared" si="9"/>
        <v/>
      </c>
    </row>
    <row r="642" spans="20:20" x14ac:dyDescent="0.35">
      <c r="T642" t="str">
        <f t="shared" ref="T642:T705" si="10">IF(P642="","",YEAR(P642))</f>
        <v/>
      </c>
    </row>
    <row r="643" spans="20:20" x14ac:dyDescent="0.35">
      <c r="T643" t="str">
        <f t="shared" si="10"/>
        <v/>
      </c>
    </row>
    <row r="644" spans="20:20" x14ac:dyDescent="0.35">
      <c r="T644" t="str">
        <f t="shared" si="10"/>
        <v/>
      </c>
    </row>
    <row r="645" spans="20:20" x14ac:dyDescent="0.35">
      <c r="T645" t="str">
        <f t="shared" si="10"/>
        <v/>
      </c>
    </row>
    <row r="646" spans="20:20" x14ac:dyDescent="0.35">
      <c r="T646" t="str">
        <f t="shared" si="10"/>
        <v/>
      </c>
    </row>
    <row r="647" spans="20:20" x14ac:dyDescent="0.35">
      <c r="T647" t="str">
        <f t="shared" si="10"/>
        <v/>
      </c>
    </row>
    <row r="648" spans="20:20" x14ac:dyDescent="0.35">
      <c r="T648" t="str">
        <f t="shared" si="10"/>
        <v/>
      </c>
    </row>
    <row r="649" spans="20:20" x14ac:dyDescent="0.35">
      <c r="T649" t="str">
        <f t="shared" si="10"/>
        <v/>
      </c>
    </row>
    <row r="650" spans="20:20" x14ac:dyDescent="0.35">
      <c r="T650" t="str">
        <f t="shared" si="10"/>
        <v/>
      </c>
    </row>
    <row r="651" spans="20:20" x14ac:dyDescent="0.35">
      <c r="T651" t="str">
        <f t="shared" si="10"/>
        <v/>
      </c>
    </row>
    <row r="652" spans="20:20" x14ac:dyDescent="0.35">
      <c r="T652" t="str">
        <f t="shared" si="10"/>
        <v/>
      </c>
    </row>
    <row r="653" spans="20:20" x14ac:dyDescent="0.35">
      <c r="T653" t="str">
        <f t="shared" si="10"/>
        <v/>
      </c>
    </row>
    <row r="654" spans="20:20" x14ac:dyDescent="0.35">
      <c r="T654" t="str">
        <f t="shared" si="10"/>
        <v/>
      </c>
    </row>
    <row r="655" spans="20:20" x14ac:dyDescent="0.35">
      <c r="T655" t="str">
        <f t="shared" si="10"/>
        <v/>
      </c>
    </row>
    <row r="656" spans="20:20" x14ac:dyDescent="0.35">
      <c r="T656" t="str">
        <f t="shared" si="10"/>
        <v/>
      </c>
    </row>
    <row r="657" spans="20:20" x14ac:dyDescent="0.35">
      <c r="T657" t="str">
        <f t="shared" si="10"/>
        <v/>
      </c>
    </row>
    <row r="658" spans="20:20" x14ac:dyDescent="0.35">
      <c r="T658" t="str">
        <f t="shared" si="10"/>
        <v/>
      </c>
    </row>
    <row r="659" spans="20:20" x14ac:dyDescent="0.35">
      <c r="T659" t="str">
        <f t="shared" si="10"/>
        <v/>
      </c>
    </row>
    <row r="660" spans="20:20" x14ac:dyDescent="0.35">
      <c r="T660" t="str">
        <f t="shared" si="10"/>
        <v/>
      </c>
    </row>
    <row r="661" spans="20:20" x14ac:dyDescent="0.35">
      <c r="T661" t="str">
        <f t="shared" si="10"/>
        <v/>
      </c>
    </row>
    <row r="662" spans="20:20" x14ac:dyDescent="0.35">
      <c r="T662" t="str">
        <f t="shared" si="10"/>
        <v/>
      </c>
    </row>
    <row r="663" spans="20:20" x14ac:dyDescent="0.35">
      <c r="T663" t="str">
        <f t="shared" si="10"/>
        <v/>
      </c>
    </row>
    <row r="664" spans="20:20" x14ac:dyDescent="0.35">
      <c r="T664" t="str">
        <f t="shared" si="10"/>
        <v/>
      </c>
    </row>
    <row r="665" spans="20:20" x14ac:dyDescent="0.35">
      <c r="T665" t="str">
        <f t="shared" si="10"/>
        <v/>
      </c>
    </row>
    <row r="666" spans="20:20" x14ac:dyDescent="0.35">
      <c r="T666" t="str">
        <f t="shared" si="10"/>
        <v/>
      </c>
    </row>
    <row r="667" spans="20:20" x14ac:dyDescent="0.35">
      <c r="T667" t="str">
        <f t="shared" si="10"/>
        <v/>
      </c>
    </row>
    <row r="668" spans="20:20" x14ac:dyDescent="0.35">
      <c r="T668" t="str">
        <f t="shared" si="10"/>
        <v/>
      </c>
    </row>
    <row r="669" spans="20:20" x14ac:dyDescent="0.35">
      <c r="T669" t="str">
        <f t="shared" si="10"/>
        <v/>
      </c>
    </row>
    <row r="670" spans="20:20" x14ac:dyDescent="0.35">
      <c r="T670" t="str">
        <f t="shared" si="10"/>
        <v/>
      </c>
    </row>
    <row r="671" spans="20:20" x14ac:dyDescent="0.35">
      <c r="T671" t="str">
        <f t="shared" si="10"/>
        <v/>
      </c>
    </row>
    <row r="672" spans="20:20" x14ac:dyDescent="0.35">
      <c r="T672" t="str">
        <f t="shared" si="10"/>
        <v/>
      </c>
    </row>
    <row r="673" spans="20:20" x14ac:dyDescent="0.35">
      <c r="T673" t="str">
        <f t="shared" si="10"/>
        <v/>
      </c>
    </row>
    <row r="674" spans="20:20" x14ac:dyDescent="0.35">
      <c r="T674" t="str">
        <f t="shared" si="10"/>
        <v/>
      </c>
    </row>
    <row r="675" spans="20:20" x14ac:dyDescent="0.35">
      <c r="T675" t="str">
        <f t="shared" si="10"/>
        <v/>
      </c>
    </row>
    <row r="676" spans="20:20" x14ac:dyDescent="0.35">
      <c r="T676" t="str">
        <f t="shared" si="10"/>
        <v/>
      </c>
    </row>
    <row r="677" spans="20:20" x14ac:dyDescent="0.35">
      <c r="T677" t="str">
        <f t="shared" si="10"/>
        <v/>
      </c>
    </row>
    <row r="678" spans="20:20" x14ac:dyDescent="0.35">
      <c r="T678" t="str">
        <f t="shared" si="10"/>
        <v/>
      </c>
    </row>
    <row r="679" spans="20:20" x14ac:dyDescent="0.35">
      <c r="T679" t="str">
        <f t="shared" si="10"/>
        <v/>
      </c>
    </row>
    <row r="680" spans="20:20" x14ac:dyDescent="0.35">
      <c r="T680" t="str">
        <f t="shared" si="10"/>
        <v/>
      </c>
    </row>
    <row r="681" spans="20:20" x14ac:dyDescent="0.35">
      <c r="T681" t="str">
        <f t="shared" si="10"/>
        <v/>
      </c>
    </row>
    <row r="682" spans="20:20" x14ac:dyDescent="0.35">
      <c r="T682" t="str">
        <f t="shared" si="10"/>
        <v/>
      </c>
    </row>
    <row r="683" spans="20:20" x14ac:dyDescent="0.35">
      <c r="T683" t="str">
        <f t="shared" si="10"/>
        <v/>
      </c>
    </row>
    <row r="684" spans="20:20" x14ac:dyDescent="0.35">
      <c r="T684" t="str">
        <f t="shared" si="10"/>
        <v/>
      </c>
    </row>
    <row r="685" spans="20:20" x14ac:dyDescent="0.35">
      <c r="T685" t="str">
        <f t="shared" si="10"/>
        <v/>
      </c>
    </row>
    <row r="686" spans="20:20" x14ac:dyDescent="0.35">
      <c r="T686" t="str">
        <f t="shared" si="10"/>
        <v/>
      </c>
    </row>
    <row r="687" spans="20:20" x14ac:dyDescent="0.35">
      <c r="T687" t="str">
        <f t="shared" si="10"/>
        <v/>
      </c>
    </row>
    <row r="688" spans="20:20" x14ac:dyDescent="0.35">
      <c r="T688" t="str">
        <f t="shared" si="10"/>
        <v/>
      </c>
    </row>
    <row r="689" spans="20:20" x14ac:dyDescent="0.35">
      <c r="T689" t="str">
        <f t="shared" si="10"/>
        <v/>
      </c>
    </row>
    <row r="690" spans="20:20" x14ac:dyDescent="0.35">
      <c r="T690" t="str">
        <f t="shared" si="10"/>
        <v/>
      </c>
    </row>
    <row r="691" spans="20:20" x14ac:dyDescent="0.35">
      <c r="T691" t="str">
        <f t="shared" si="10"/>
        <v/>
      </c>
    </row>
    <row r="692" spans="20:20" x14ac:dyDescent="0.35">
      <c r="T692" t="str">
        <f t="shared" si="10"/>
        <v/>
      </c>
    </row>
    <row r="693" spans="20:20" x14ac:dyDescent="0.35">
      <c r="T693" t="str">
        <f t="shared" si="10"/>
        <v/>
      </c>
    </row>
    <row r="694" spans="20:20" x14ac:dyDescent="0.35">
      <c r="T694" t="str">
        <f t="shared" si="10"/>
        <v/>
      </c>
    </row>
    <row r="695" spans="20:20" x14ac:dyDescent="0.35">
      <c r="T695" t="str">
        <f t="shared" si="10"/>
        <v/>
      </c>
    </row>
    <row r="696" spans="20:20" x14ac:dyDescent="0.35">
      <c r="T696" t="str">
        <f t="shared" si="10"/>
        <v/>
      </c>
    </row>
    <row r="697" spans="20:20" x14ac:dyDescent="0.35">
      <c r="T697" t="str">
        <f t="shared" si="10"/>
        <v/>
      </c>
    </row>
    <row r="698" spans="20:20" x14ac:dyDescent="0.35">
      <c r="T698" t="str">
        <f t="shared" si="10"/>
        <v/>
      </c>
    </row>
    <row r="699" spans="20:20" x14ac:dyDescent="0.35">
      <c r="T699" t="str">
        <f t="shared" si="10"/>
        <v/>
      </c>
    </row>
    <row r="700" spans="20:20" x14ac:dyDescent="0.35">
      <c r="T700" t="str">
        <f t="shared" si="10"/>
        <v/>
      </c>
    </row>
    <row r="701" spans="20:20" x14ac:dyDescent="0.35">
      <c r="T701" t="str">
        <f t="shared" si="10"/>
        <v/>
      </c>
    </row>
    <row r="702" spans="20:20" x14ac:dyDescent="0.35">
      <c r="T702" t="str">
        <f t="shared" si="10"/>
        <v/>
      </c>
    </row>
    <row r="703" spans="20:20" x14ac:dyDescent="0.35">
      <c r="T703" t="str">
        <f t="shared" si="10"/>
        <v/>
      </c>
    </row>
    <row r="704" spans="20:20" x14ac:dyDescent="0.35">
      <c r="T704" t="str">
        <f t="shared" si="10"/>
        <v/>
      </c>
    </row>
    <row r="705" spans="20:20" x14ac:dyDescent="0.35">
      <c r="T705" t="str">
        <f t="shared" si="10"/>
        <v/>
      </c>
    </row>
    <row r="706" spans="20:20" x14ac:dyDescent="0.35">
      <c r="T706" t="str">
        <f t="shared" ref="T706:T769" si="11">IF(P706="","",YEAR(P706))</f>
        <v/>
      </c>
    </row>
    <row r="707" spans="20:20" x14ac:dyDescent="0.35">
      <c r="T707" t="str">
        <f t="shared" si="11"/>
        <v/>
      </c>
    </row>
    <row r="708" spans="20:20" x14ac:dyDescent="0.35">
      <c r="T708" t="str">
        <f t="shared" si="11"/>
        <v/>
      </c>
    </row>
    <row r="709" spans="20:20" x14ac:dyDescent="0.35">
      <c r="T709" t="str">
        <f t="shared" si="11"/>
        <v/>
      </c>
    </row>
    <row r="710" spans="20:20" x14ac:dyDescent="0.35">
      <c r="T710" t="str">
        <f t="shared" si="11"/>
        <v/>
      </c>
    </row>
    <row r="711" spans="20:20" x14ac:dyDescent="0.35">
      <c r="T711" t="str">
        <f t="shared" si="11"/>
        <v/>
      </c>
    </row>
    <row r="712" spans="20:20" x14ac:dyDescent="0.35">
      <c r="T712" t="str">
        <f t="shared" si="11"/>
        <v/>
      </c>
    </row>
    <row r="713" spans="20:20" x14ac:dyDescent="0.35">
      <c r="T713" t="str">
        <f t="shared" si="11"/>
        <v/>
      </c>
    </row>
    <row r="714" spans="20:20" x14ac:dyDescent="0.35">
      <c r="T714" t="str">
        <f t="shared" si="11"/>
        <v/>
      </c>
    </row>
    <row r="715" spans="20:20" x14ac:dyDescent="0.35">
      <c r="T715" t="str">
        <f t="shared" si="11"/>
        <v/>
      </c>
    </row>
    <row r="716" spans="20:20" x14ac:dyDescent="0.35">
      <c r="T716" t="str">
        <f t="shared" si="11"/>
        <v/>
      </c>
    </row>
    <row r="717" spans="20:20" x14ac:dyDescent="0.35">
      <c r="T717" t="str">
        <f t="shared" si="11"/>
        <v/>
      </c>
    </row>
    <row r="718" spans="20:20" x14ac:dyDescent="0.35">
      <c r="T718" t="str">
        <f t="shared" si="11"/>
        <v/>
      </c>
    </row>
    <row r="719" spans="20:20" x14ac:dyDescent="0.35">
      <c r="T719" t="str">
        <f t="shared" si="11"/>
        <v/>
      </c>
    </row>
    <row r="720" spans="20:20" x14ac:dyDescent="0.35">
      <c r="T720" t="str">
        <f t="shared" si="11"/>
        <v/>
      </c>
    </row>
    <row r="721" spans="20:20" x14ac:dyDescent="0.35">
      <c r="T721" t="str">
        <f t="shared" si="11"/>
        <v/>
      </c>
    </row>
    <row r="722" spans="20:20" x14ac:dyDescent="0.35">
      <c r="T722" t="str">
        <f t="shared" si="11"/>
        <v/>
      </c>
    </row>
    <row r="723" spans="20:20" x14ac:dyDescent="0.35">
      <c r="T723" t="str">
        <f t="shared" si="11"/>
        <v/>
      </c>
    </row>
    <row r="724" spans="20:20" x14ac:dyDescent="0.35">
      <c r="T724" t="str">
        <f t="shared" si="11"/>
        <v/>
      </c>
    </row>
    <row r="725" spans="20:20" x14ac:dyDescent="0.35">
      <c r="T725" t="str">
        <f t="shared" si="11"/>
        <v/>
      </c>
    </row>
    <row r="726" spans="20:20" x14ac:dyDescent="0.35">
      <c r="T726" t="str">
        <f t="shared" si="11"/>
        <v/>
      </c>
    </row>
    <row r="727" spans="20:20" x14ac:dyDescent="0.35">
      <c r="T727" t="str">
        <f t="shared" si="11"/>
        <v/>
      </c>
    </row>
    <row r="728" spans="20:20" x14ac:dyDescent="0.35">
      <c r="T728" t="str">
        <f t="shared" si="11"/>
        <v/>
      </c>
    </row>
    <row r="729" spans="20:20" x14ac:dyDescent="0.35">
      <c r="T729" t="str">
        <f t="shared" si="11"/>
        <v/>
      </c>
    </row>
    <row r="730" spans="20:20" x14ac:dyDescent="0.35">
      <c r="T730" t="str">
        <f t="shared" si="11"/>
        <v/>
      </c>
    </row>
    <row r="731" spans="20:20" x14ac:dyDescent="0.35">
      <c r="T731" t="str">
        <f t="shared" si="11"/>
        <v/>
      </c>
    </row>
    <row r="732" spans="20:20" x14ac:dyDescent="0.35">
      <c r="T732" t="str">
        <f t="shared" si="11"/>
        <v/>
      </c>
    </row>
    <row r="733" spans="20:20" x14ac:dyDescent="0.35">
      <c r="T733" t="str">
        <f t="shared" si="11"/>
        <v/>
      </c>
    </row>
    <row r="734" spans="20:20" x14ac:dyDescent="0.35">
      <c r="T734" t="str">
        <f t="shared" si="11"/>
        <v/>
      </c>
    </row>
    <row r="735" spans="20:20" x14ac:dyDescent="0.35">
      <c r="T735" t="str">
        <f t="shared" si="11"/>
        <v/>
      </c>
    </row>
    <row r="736" spans="20:20" x14ac:dyDescent="0.35">
      <c r="T736" t="str">
        <f t="shared" si="11"/>
        <v/>
      </c>
    </row>
    <row r="737" spans="20:20" x14ac:dyDescent="0.35">
      <c r="T737" t="str">
        <f t="shared" si="11"/>
        <v/>
      </c>
    </row>
    <row r="738" spans="20:20" x14ac:dyDescent="0.35">
      <c r="T738" t="str">
        <f t="shared" si="11"/>
        <v/>
      </c>
    </row>
    <row r="739" spans="20:20" x14ac:dyDescent="0.35">
      <c r="T739" t="str">
        <f t="shared" si="11"/>
        <v/>
      </c>
    </row>
    <row r="740" spans="20:20" x14ac:dyDescent="0.35">
      <c r="T740" t="str">
        <f t="shared" si="11"/>
        <v/>
      </c>
    </row>
    <row r="741" spans="20:20" x14ac:dyDescent="0.35">
      <c r="T741" t="str">
        <f t="shared" si="11"/>
        <v/>
      </c>
    </row>
    <row r="742" spans="20:20" x14ac:dyDescent="0.35">
      <c r="T742" t="str">
        <f t="shared" si="11"/>
        <v/>
      </c>
    </row>
    <row r="743" spans="20:20" x14ac:dyDescent="0.35">
      <c r="T743" t="str">
        <f t="shared" si="11"/>
        <v/>
      </c>
    </row>
    <row r="744" spans="20:20" x14ac:dyDescent="0.35">
      <c r="T744" t="str">
        <f t="shared" si="11"/>
        <v/>
      </c>
    </row>
    <row r="745" spans="20:20" x14ac:dyDescent="0.35">
      <c r="T745" t="str">
        <f t="shared" si="11"/>
        <v/>
      </c>
    </row>
    <row r="746" spans="20:20" x14ac:dyDescent="0.35">
      <c r="T746" t="str">
        <f t="shared" si="11"/>
        <v/>
      </c>
    </row>
    <row r="747" spans="20:20" x14ac:dyDescent="0.35">
      <c r="T747" t="str">
        <f t="shared" si="11"/>
        <v/>
      </c>
    </row>
    <row r="748" spans="20:20" x14ac:dyDescent="0.35">
      <c r="T748" t="str">
        <f t="shared" si="11"/>
        <v/>
      </c>
    </row>
    <row r="749" spans="20:20" x14ac:dyDescent="0.35">
      <c r="T749" t="str">
        <f t="shared" si="11"/>
        <v/>
      </c>
    </row>
    <row r="750" spans="20:20" x14ac:dyDescent="0.35">
      <c r="T750" t="str">
        <f t="shared" si="11"/>
        <v/>
      </c>
    </row>
    <row r="751" spans="20:20" x14ac:dyDescent="0.35">
      <c r="T751" t="str">
        <f t="shared" si="11"/>
        <v/>
      </c>
    </row>
    <row r="752" spans="20:20" x14ac:dyDescent="0.35">
      <c r="T752" t="str">
        <f t="shared" si="11"/>
        <v/>
      </c>
    </row>
    <row r="753" spans="20:20" x14ac:dyDescent="0.35">
      <c r="T753" t="str">
        <f t="shared" si="11"/>
        <v/>
      </c>
    </row>
    <row r="754" spans="20:20" x14ac:dyDescent="0.35">
      <c r="T754" t="str">
        <f t="shared" si="11"/>
        <v/>
      </c>
    </row>
    <row r="755" spans="20:20" x14ac:dyDescent="0.35">
      <c r="T755" t="str">
        <f t="shared" si="11"/>
        <v/>
      </c>
    </row>
    <row r="756" spans="20:20" x14ac:dyDescent="0.35">
      <c r="T756" t="str">
        <f t="shared" si="11"/>
        <v/>
      </c>
    </row>
    <row r="757" spans="20:20" x14ac:dyDescent="0.35">
      <c r="T757" t="str">
        <f t="shared" si="11"/>
        <v/>
      </c>
    </row>
    <row r="758" spans="20:20" x14ac:dyDescent="0.35">
      <c r="T758" t="str">
        <f t="shared" si="11"/>
        <v/>
      </c>
    </row>
    <row r="759" spans="20:20" x14ac:dyDescent="0.35">
      <c r="T759" t="str">
        <f t="shared" si="11"/>
        <v/>
      </c>
    </row>
    <row r="760" spans="20:20" x14ac:dyDescent="0.35">
      <c r="T760" t="str">
        <f t="shared" si="11"/>
        <v/>
      </c>
    </row>
    <row r="761" spans="20:20" x14ac:dyDescent="0.35">
      <c r="T761" t="str">
        <f t="shared" si="11"/>
        <v/>
      </c>
    </row>
    <row r="762" spans="20:20" x14ac:dyDescent="0.35">
      <c r="T762" t="str">
        <f t="shared" si="11"/>
        <v/>
      </c>
    </row>
    <row r="763" spans="20:20" x14ac:dyDescent="0.35">
      <c r="T763" t="str">
        <f t="shared" si="11"/>
        <v/>
      </c>
    </row>
    <row r="764" spans="20:20" x14ac:dyDescent="0.35">
      <c r="T764" t="str">
        <f t="shared" si="11"/>
        <v/>
      </c>
    </row>
    <row r="765" spans="20:20" x14ac:dyDescent="0.35">
      <c r="T765" t="str">
        <f t="shared" si="11"/>
        <v/>
      </c>
    </row>
    <row r="766" spans="20:20" x14ac:dyDescent="0.35">
      <c r="T766" t="str">
        <f t="shared" si="11"/>
        <v/>
      </c>
    </row>
    <row r="767" spans="20:20" x14ac:dyDescent="0.35">
      <c r="T767" t="str">
        <f t="shared" si="11"/>
        <v/>
      </c>
    </row>
    <row r="768" spans="20:20" x14ac:dyDescent="0.35">
      <c r="T768" t="str">
        <f t="shared" si="11"/>
        <v/>
      </c>
    </row>
    <row r="769" spans="20:20" x14ac:dyDescent="0.35">
      <c r="T769" t="str">
        <f t="shared" si="11"/>
        <v/>
      </c>
    </row>
    <row r="770" spans="20:20" x14ac:dyDescent="0.35">
      <c r="T770" t="str">
        <f t="shared" ref="T770:T833" si="12">IF(P770="","",YEAR(P770))</f>
        <v/>
      </c>
    </row>
    <row r="771" spans="20:20" x14ac:dyDescent="0.35">
      <c r="T771" t="str">
        <f t="shared" si="12"/>
        <v/>
      </c>
    </row>
    <row r="772" spans="20:20" x14ac:dyDescent="0.35">
      <c r="T772" t="str">
        <f t="shared" si="12"/>
        <v/>
      </c>
    </row>
    <row r="773" spans="20:20" x14ac:dyDescent="0.35">
      <c r="T773" t="str">
        <f t="shared" si="12"/>
        <v/>
      </c>
    </row>
    <row r="774" spans="20:20" x14ac:dyDescent="0.35">
      <c r="T774" t="str">
        <f t="shared" si="12"/>
        <v/>
      </c>
    </row>
    <row r="775" spans="20:20" x14ac:dyDescent="0.35">
      <c r="T775" t="str">
        <f t="shared" si="12"/>
        <v/>
      </c>
    </row>
    <row r="776" spans="20:20" x14ac:dyDescent="0.35">
      <c r="T776" t="str">
        <f t="shared" si="12"/>
        <v/>
      </c>
    </row>
    <row r="777" spans="20:20" x14ac:dyDescent="0.35">
      <c r="T777" t="str">
        <f t="shared" si="12"/>
        <v/>
      </c>
    </row>
    <row r="778" spans="20:20" x14ac:dyDescent="0.35">
      <c r="T778" t="str">
        <f t="shared" si="12"/>
        <v/>
      </c>
    </row>
    <row r="779" spans="20:20" x14ac:dyDescent="0.35">
      <c r="T779" t="str">
        <f t="shared" si="12"/>
        <v/>
      </c>
    </row>
    <row r="780" spans="20:20" x14ac:dyDescent="0.35">
      <c r="T780" t="str">
        <f t="shared" si="12"/>
        <v/>
      </c>
    </row>
    <row r="781" spans="20:20" x14ac:dyDescent="0.35">
      <c r="T781" t="str">
        <f t="shared" si="12"/>
        <v/>
      </c>
    </row>
    <row r="782" spans="20:20" x14ac:dyDescent="0.35">
      <c r="T782" t="str">
        <f t="shared" si="12"/>
        <v/>
      </c>
    </row>
    <row r="783" spans="20:20" x14ac:dyDescent="0.35">
      <c r="T783" t="str">
        <f t="shared" si="12"/>
        <v/>
      </c>
    </row>
    <row r="784" spans="20:20" x14ac:dyDescent="0.35">
      <c r="T784" t="str">
        <f t="shared" si="12"/>
        <v/>
      </c>
    </row>
    <row r="785" spans="20:20" x14ac:dyDescent="0.35">
      <c r="T785" t="str">
        <f t="shared" si="12"/>
        <v/>
      </c>
    </row>
    <row r="786" spans="20:20" x14ac:dyDescent="0.35">
      <c r="T786" t="str">
        <f t="shared" si="12"/>
        <v/>
      </c>
    </row>
    <row r="787" spans="20:20" x14ac:dyDescent="0.35">
      <c r="T787" t="str">
        <f t="shared" si="12"/>
        <v/>
      </c>
    </row>
    <row r="788" spans="20:20" x14ac:dyDescent="0.35">
      <c r="T788" t="str">
        <f t="shared" si="12"/>
        <v/>
      </c>
    </row>
    <row r="789" spans="20:20" x14ac:dyDescent="0.35">
      <c r="T789" t="str">
        <f t="shared" si="12"/>
        <v/>
      </c>
    </row>
    <row r="790" spans="20:20" x14ac:dyDescent="0.35">
      <c r="T790" t="str">
        <f t="shared" si="12"/>
        <v/>
      </c>
    </row>
    <row r="791" spans="20:20" x14ac:dyDescent="0.35">
      <c r="T791" t="str">
        <f t="shared" si="12"/>
        <v/>
      </c>
    </row>
    <row r="792" spans="20:20" x14ac:dyDescent="0.35">
      <c r="T792" t="str">
        <f t="shared" si="12"/>
        <v/>
      </c>
    </row>
    <row r="793" spans="20:20" x14ac:dyDescent="0.35">
      <c r="T793" t="str">
        <f t="shared" si="12"/>
        <v/>
      </c>
    </row>
    <row r="794" spans="20:20" x14ac:dyDescent="0.35">
      <c r="T794" t="str">
        <f t="shared" si="12"/>
        <v/>
      </c>
    </row>
    <row r="795" spans="20:20" x14ac:dyDescent="0.35">
      <c r="T795" t="str">
        <f t="shared" si="12"/>
        <v/>
      </c>
    </row>
    <row r="796" spans="20:20" x14ac:dyDescent="0.35">
      <c r="T796" t="str">
        <f t="shared" si="12"/>
        <v/>
      </c>
    </row>
    <row r="797" spans="20:20" x14ac:dyDescent="0.35">
      <c r="T797" t="str">
        <f t="shared" si="12"/>
        <v/>
      </c>
    </row>
    <row r="798" spans="20:20" x14ac:dyDescent="0.35">
      <c r="T798" t="str">
        <f t="shared" si="12"/>
        <v/>
      </c>
    </row>
    <row r="799" spans="20:20" x14ac:dyDescent="0.35">
      <c r="T799" t="str">
        <f t="shared" si="12"/>
        <v/>
      </c>
    </row>
    <row r="800" spans="20:20" x14ac:dyDescent="0.35">
      <c r="T800" t="str">
        <f t="shared" si="12"/>
        <v/>
      </c>
    </row>
    <row r="801" spans="20:20" x14ac:dyDescent="0.35">
      <c r="T801" t="str">
        <f t="shared" si="12"/>
        <v/>
      </c>
    </row>
    <row r="802" spans="20:20" x14ac:dyDescent="0.35">
      <c r="T802" t="str">
        <f t="shared" si="12"/>
        <v/>
      </c>
    </row>
    <row r="803" spans="20:20" x14ac:dyDescent="0.35">
      <c r="T803" t="str">
        <f t="shared" si="12"/>
        <v/>
      </c>
    </row>
    <row r="804" spans="20:20" x14ac:dyDescent="0.35">
      <c r="T804" t="str">
        <f t="shared" si="12"/>
        <v/>
      </c>
    </row>
    <row r="805" spans="20:20" x14ac:dyDescent="0.35">
      <c r="T805" t="str">
        <f t="shared" si="12"/>
        <v/>
      </c>
    </row>
    <row r="806" spans="20:20" x14ac:dyDescent="0.35">
      <c r="T806" t="str">
        <f t="shared" si="12"/>
        <v/>
      </c>
    </row>
    <row r="807" spans="20:20" x14ac:dyDescent="0.35">
      <c r="T807" t="str">
        <f t="shared" si="12"/>
        <v/>
      </c>
    </row>
    <row r="808" spans="20:20" x14ac:dyDescent="0.35">
      <c r="T808" t="str">
        <f t="shared" si="12"/>
        <v/>
      </c>
    </row>
    <row r="809" spans="20:20" x14ac:dyDescent="0.35">
      <c r="T809" t="str">
        <f t="shared" si="12"/>
        <v/>
      </c>
    </row>
    <row r="810" spans="20:20" x14ac:dyDescent="0.35">
      <c r="T810" t="str">
        <f t="shared" si="12"/>
        <v/>
      </c>
    </row>
    <row r="811" spans="20:20" x14ac:dyDescent="0.35">
      <c r="T811" t="str">
        <f t="shared" si="12"/>
        <v/>
      </c>
    </row>
    <row r="812" spans="20:20" x14ac:dyDescent="0.35">
      <c r="T812" t="str">
        <f t="shared" si="12"/>
        <v/>
      </c>
    </row>
    <row r="813" spans="20:20" x14ac:dyDescent="0.35">
      <c r="T813" t="str">
        <f t="shared" si="12"/>
        <v/>
      </c>
    </row>
    <row r="814" spans="20:20" x14ac:dyDescent="0.35">
      <c r="T814" t="str">
        <f t="shared" si="12"/>
        <v/>
      </c>
    </row>
    <row r="815" spans="20:20" x14ac:dyDescent="0.35">
      <c r="T815" t="str">
        <f t="shared" si="12"/>
        <v/>
      </c>
    </row>
    <row r="816" spans="20:20" x14ac:dyDescent="0.35">
      <c r="T816" t="str">
        <f t="shared" si="12"/>
        <v/>
      </c>
    </row>
    <row r="817" spans="20:20" x14ac:dyDescent="0.35">
      <c r="T817" t="str">
        <f t="shared" si="12"/>
        <v/>
      </c>
    </row>
    <row r="818" spans="20:20" x14ac:dyDescent="0.35">
      <c r="T818" t="str">
        <f t="shared" si="12"/>
        <v/>
      </c>
    </row>
    <row r="819" spans="20:20" x14ac:dyDescent="0.35">
      <c r="T819" t="str">
        <f t="shared" si="12"/>
        <v/>
      </c>
    </row>
    <row r="820" spans="20:20" x14ac:dyDescent="0.35">
      <c r="T820" t="str">
        <f t="shared" si="12"/>
        <v/>
      </c>
    </row>
    <row r="821" spans="20:20" x14ac:dyDescent="0.35">
      <c r="T821" t="str">
        <f t="shared" si="12"/>
        <v/>
      </c>
    </row>
    <row r="822" spans="20:20" x14ac:dyDescent="0.35">
      <c r="T822" t="str">
        <f t="shared" si="12"/>
        <v/>
      </c>
    </row>
    <row r="823" spans="20:20" x14ac:dyDescent="0.35">
      <c r="T823" t="str">
        <f t="shared" si="12"/>
        <v/>
      </c>
    </row>
    <row r="824" spans="20:20" x14ac:dyDescent="0.35">
      <c r="T824" t="str">
        <f t="shared" si="12"/>
        <v/>
      </c>
    </row>
    <row r="825" spans="20:20" x14ac:dyDescent="0.35">
      <c r="T825" t="str">
        <f t="shared" si="12"/>
        <v/>
      </c>
    </row>
    <row r="826" spans="20:20" x14ac:dyDescent="0.35">
      <c r="T826" t="str">
        <f t="shared" si="12"/>
        <v/>
      </c>
    </row>
    <row r="827" spans="20:20" x14ac:dyDescent="0.35">
      <c r="T827" t="str">
        <f t="shared" si="12"/>
        <v/>
      </c>
    </row>
    <row r="828" spans="20:20" x14ac:dyDescent="0.35">
      <c r="T828" t="str">
        <f t="shared" si="12"/>
        <v/>
      </c>
    </row>
    <row r="829" spans="20:20" x14ac:dyDescent="0.35">
      <c r="T829" t="str">
        <f t="shared" si="12"/>
        <v/>
      </c>
    </row>
    <row r="830" spans="20:20" x14ac:dyDescent="0.35">
      <c r="T830" t="str">
        <f t="shared" si="12"/>
        <v/>
      </c>
    </row>
    <row r="831" spans="20:20" x14ac:dyDescent="0.35">
      <c r="T831" t="str">
        <f t="shared" si="12"/>
        <v/>
      </c>
    </row>
    <row r="832" spans="20:20" x14ac:dyDescent="0.35">
      <c r="T832" t="str">
        <f t="shared" si="12"/>
        <v/>
      </c>
    </row>
    <row r="833" spans="20:20" x14ac:dyDescent="0.35">
      <c r="T833" t="str">
        <f t="shared" si="12"/>
        <v/>
      </c>
    </row>
    <row r="834" spans="20:20" x14ac:dyDescent="0.35">
      <c r="T834" t="str">
        <f t="shared" ref="T834:T897" si="13">IF(P834="","",YEAR(P834))</f>
        <v/>
      </c>
    </row>
    <row r="835" spans="20:20" x14ac:dyDescent="0.35">
      <c r="T835" t="str">
        <f t="shared" si="13"/>
        <v/>
      </c>
    </row>
    <row r="836" spans="20:20" x14ac:dyDescent="0.35">
      <c r="T836" t="str">
        <f t="shared" si="13"/>
        <v/>
      </c>
    </row>
    <row r="837" spans="20:20" x14ac:dyDescent="0.35">
      <c r="T837" t="str">
        <f t="shared" si="13"/>
        <v/>
      </c>
    </row>
    <row r="838" spans="20:20" x14ac:dyDescent="0.35">
      <c r="T838" t="str">
        <f t="shared" si="13"/>
        <v/>
      </c>
    </row>
    <row r="839" spans="20:20" x14ac:dyDescent="0.35">
      <c r="T839" t="str">
        <f t="shared" si="13"/>
        <v/>
      </c>
    </row>
    <row r="840" spans="20:20" x14ac:dyDescent="0.35">
      <c r="T840" t="str">
        <f t="shared" si="13"/>
        <v/>
      </c>
    </row>
    <row r="841" spans="20:20" x14ac:dyDescent="0.35">
      <c r="T841" t="str">
        <f t="shared" si="13"/>
        <v/>
      </c>
    </row>
    <row r="842" spans="20:20" x14ac:dyDescent="0.35">
      <c r="T842" t="str">
        <f t="shared" si="13"/>
        <v/>
      </c>
    </row>
    <row r="843" spans="20:20" x14ac:dyDescent="0.35">
      <c r="T843" t="str">
        <f t="shared" si="13"/>
        <v/>
      </c>
    </row>
    <row r="844" spans="20:20" x14ac:dyDescent="0.35">
      <c r="T844" t="str">
        <f t="shared" si="13"/>
        <v/>
      </c>
    </row>
    <row r="845" spans="20:20" x14ac:dyDescent="0.35">
      <c r="T845" t="str">
        <f t="shared" si="13"/>
        <v/>
      </c>
    </row>
    <row r="846" spans="20:20" x14ac:dyDescent="0.35">
      <c r="T846" t="str">
        <f t="shared" si="13"/>
        <v/>
      </c>
    </row>
    <row r="847" spans="20:20" x14ac:dyDescent="0.35">
      <c r="T847" t="str">
        <f t="shared" si="13"/>
        <v/>
      </c>
    </row>
    <row r="848" spans="20:20" x14ac:dyDescent="0.35">
      <c r="T848" t="str">
        <f t="shared" si="13"/>
        <v/>
      </c>
    </row>
    <row r="849" spans="20:20" x14ac:dyDescent="0.35">
      <c r="T849" t="str">
        <f t="shared" si="13"/>
        <v/>
      </c>
    </row>
    <row r="850" spans="20:20" x14ac:dyDescent="0.35">
      <c r="T850" t="str">
        <f t="shared" si="13"/>
        <v/>
      </c>
    </row>
    <row r="851" spans="20:20" x14ac:dyDescent="0.35">
      <c r="T851" t="str">
        <f t="shared" si="13"/>
        <v/>
      </c>
    </row>
    <row r="852" spans="20:20" x14ac:dyDescent="0.35">
      <c r="T852" t="str">
        <f t="shared" si="13"/>
        <v/>
      </c>
    </row>
    <row r="853" spans="20:20" x14ac:dyDescent="0.35">
      <c r="T853" t="str">
        <f t="shared" si="13"/>
        <v/>
      </c>
    </row>
    <row r="854" spans="20:20" x14ac:dyDescent="0.35">
      <c r="T854" t="str">
        <f t="shared" si="13"/>
        <v/>
      </c>
    </row>
    <row r="855" spans="20:20" x14ac:dyDescent="0.35">
      <c r="T855" t="str">
        <f t="shared" si="13"/>
        <v/>
      </c>
    </row>
    <row r="856" spans="20:20" x14ac:dyDescent="0.35">
      <c r="T856" t="str">
        <f t="shared" si="13"/>
        <v/>
      </c>
    </row>
    <row r="857" spans="20:20" x14ac:dyDescent="0.35">
      <c r="T857" t="str">
        <f t="shared" si="13"/>
        <v/>
      </c>
    </row>
    <row r="858" spans="20:20" x14ac:dyDescent="0.35">
      <c r="T858" t="str">
        <f t="shared" si="13"/>
        <v/>
      </c>
    </row>
    <row r="859" spans="20:20" x14ac:dyDescent="0.35">
      <c r="T859" t="str">
        <f t="shared" si="13"/>
        <v/>
      </c>
    </row>
    <row r="860" spans="20:20" x14ac:dyDescent="0.35">
      <c r="T860" t="str">
        <f t="shared" si="13"/>
        <v/>
      </c>
    </row>
    <row r="861" spans="20:20" x14ac:dyDescent="0.35">
      <c r="T861" t="str">
        <f t="shared" si="13"/>
        <v/>
      </c>
    </row>
    <row r="862" spans="20:20" x14ac:dyDescent="0.35">
      <c r="T862" t="str">
        <f t="shared" si="13"/>
        <v/>
      </c>
    </row>
    <row r="863" spans="20:20" x14ac:dyDescent="0.35">
      <c r="T863" t="str">
        <f t="shared" si="13"/>
        <v/>
      </c>
    </row>
    <row r="864" spans="20:20" x14ac:dyDescent="0.35">
      <c r="T864" t="str">
        <f t="shared" si="13"/>
        <v/>
      </c>
    </row>
    <row r="865" spans="20:20" x14ac:dyDescent="0.35">
      <c r="T865" t="str">
        <f t="shared" si="13"/>
        <v/>
      </c>
    </row>
    <row r="866" spans="20:20" x14ac:dyDescent="0.35">
      <c r="T866" t="str">
        <f t="shared" si="13"/>
        <v/>
      </c>
    </row>
    <row r="867" spans="20:20" x14ac:dyDescent="0.35">
      <c r="T867" t="str">
        <f t="shared" si="13"/>
        <v/>
      </c>
    </row>
    <row r="868" spans="20:20" x14ac:dyDescent="0.35">
      <c r="T868" t="str">
        <f t="shared" si="13"/>
        <v/>
      </c>
    </row>
    <row r="869" spans="20:20" x14ac:dyDescent="0.35">
      <c r="T869" t="str">
        <f t="shared" si="13"/>
        <v/>
      </c>
    </row>
    <row r="870" spans="20:20" x14ac:dyDescent="0.35">
      <c r="T870" t="str">
        <f t="shared" si="13"/>
        <v/>
      </c>
    </row>
    <row r="871" spans="20:20" x14ac:dyDescent="0.35">
      <c r="T871" t="str">
        <f t="shared" si="13"/>
        <v/>
      </c>
    </row>
    <row r="872" spans="20:20" x14ac:dyDescent="0.35">
      <c r="T872" t="str">
        <f t="shared" si="13"/>
        <v/>
      </c>
    </row>
    <row r="873" spans="20:20" x14ac:dyDescent="0.35">
      <c r="T873" t="str">
        <f t="shared" si="13"/>
        <v/>
      </c>
    </row>
    <row r="874" spans="20:20" x14ac:dyDescent="0.35">
      <c r="T874" t="str">
        <f t="shared" si="13"/>
        <v/>
      </c>
    </row>
    <row r="875" spans="20:20" x14ac:dyDescent="0.35">
      <c r="T875" t="str">
        <f t="shared" si="13"/>
        <v/>
      </c>
    </row>
    <row r="876" spans="20:20" x14ac:dyDescent="0.35">
      <c r="T876" t="str">
        <f t="shared" si="13"/>
        <v/>
      </c>
    </row>
    <row r="877" spans="20:20" x14ac:dyDescent="0.35">
      <c r="T877" t="str">
        <f t="shared" si="13"/>
        <v/>
      </c>
    </row>
    <row r="878" spans="20:20" x14ac:dyDescent="0.35">
      <c r="T878" t="str">
        <f t="shared" si="13"/>
        <v/>
      </c>
    </row>
    <row r="879" spans="20:20" x14ac:dyDescent="0.35">
      <c r="T879" t="str">
        <f t="shared" si="13"/>
        <v/>
      </c>
    </row>
    <row r="880" spans="20:20" x14ac:dyDescent="0.35">
      <c r="T880" t="str">
        <f t="shared" si="13"/>
        <v/>
      </c>
    </row>
    <row r="881" spans="20:20" x14ac:dyDescent="0.35">
      <c r="T881" t="str">
        <f t="shared" si="13"/>
        <v/>
      </c>
    </row>
    <row r="882" spans="20:20" x14ac:dyDescent="0.35">
      <c r="T882" t="str">
        <f t="shared" si="13"/>
        <v/>
      </c>
    </row>
    <row r="883" spans="20:20" x14ac:dyDescent="0.35">
      <c r="T883" t="str">
        <f t="shared" si="13"/>
        <v/>
      </c>
    </row>
    <row r="884" spans="20:20" x14ac:dyDescent="0.35">
      <c r="T884" t="str">
        <f t="shared" si="13"/>
        <v/>
      </c>
    </row>
    <row r="885" spans="20:20" x14ac:dyDescent="0.35">
      <c r="T885" t="str">
        <f t="shared" si="13"/>
        <v/>
      </c>
    </row>
    <row r="886" spans="20:20" x14ac:dyDescent="0.35">
      <c r="T886" t="str">
        <f t="shared" si="13"/>
        <v/>
      </c>
    </row>
    <row r="887" spans="20:20" x14ac:dyDescent="0.35">
      <c r="T887" t="str">
        <f t="shared" si="13"/>
        <v/>
      </c>
    </row>
    <row r="888" spans="20:20" x14ac:dyDescent="0.35">
      <c r="T888" t="str">
        <f t="shared" si="13"/>
        <v/>
      </c>
    </row>
    <row r="889" spans="20:20" x14ac:dyDescent="0.35">
      <c r="T889" t="str">
        <f t="shared" si="13"/>
        <v/>
      </c>
    </row>
    <row r="890" spans="20:20" x14ac:dyDescent="0.35">
      <c r="T890" t="str">
        <f t="shared" si="13"/>
        <v/>
      </c>
    </row>
    <row r="891" spans="20:20" x14ac:dyDescent="0.35">
      <c r="T891" t="str">
        <f t="shared" si="13"/>
        <v/>
      </c>
    </row>
    <row r="892" spans="20:20" x14ac:dyDescent="0.35">
      <c r="T892" t="str">
        <f t="shared" si="13"/>
        <v/>
      </c>
    </row>
    <row r="893" spans="20:20" x14ac:dyDescent="0.35">
      <c r="T893" t="str">
        <f t="shared" si="13"/>
        <v/>
      </c>
    </row>
    <row r="894" spans="20:20" x14ac:dyDescent="0.35">
      <c r="T894" t="str">
        <f t="shared" si="13"/>
        <v/>
      </c>
    </row>
    <row r="895" spans="20:20" x14ac:dyDescent="0.35">
      <c r="T895" t="str">
        <f t="shared" si="13"/>
        <v/>
      </c>
    </row>
    <row r="896" spans="20:20" x14ac:dyDescent="0.35">
      <c r="T896" t="str">
        <f t="shared" si="13"/>
        <v/>
      </c>
    </row>
    <row r="897" spans="20:20" x14ac:dyDescent="0.35">
      <c r="T897" t="str">
        <f t="shared" si="13"/>
        <v/>
      </c>
    </row>
    <row r="898" spans="20:20" x14ac:dyDescent="0.35">
      <c r="T898" t="str">
        <f t="shared" ref="T898:T961" si="14">IF(P898="","",YEAR(P898))</f>
        <v/>
      </c>
    </row>
    <row r="899" spans="20:20" x14ac:dyDescent="0.35">
      <c r="T899" t="str">
        <f t="shared" si="14"/>
        <v/>
      </c>
    </row>
    <row r="900" spans="20:20" x14ac:dyDescent="0.35">
      <c r="T900" t="str">
        <f t="shared" si="14"/>
        <v/>
      </c>
    </row>
    <row r="901" spans="20:20" x14ac:dyDescent="0.35">
      <c r="T901" t="str">
        <f t="shared" si="14"/>
        <v/>
      </c>
    </row>
    <row r="902" spans="20:20" x14ac:dyDescent="0.35">
      <c r="T902" t="str">
        <f t="shared" si="14"/>
        <v/>
      </c>
    </row>
    <row r="903" spans="20:20" x14ac:dyDescent="0.35">
      <c r="T903" t="str">
        <f t="shared" si="14"/>
        <v/>
      </c>
    </row>
    <row r="904" spans="20:20" x14ac:dyDescent="0.35">
      <c r="T904" t="str">
        <f t="shared" si="14"/>
        <v/>
      </c>
    </row>
    <row r="905" spans="20:20" x14ac:dyDescent="0.35">
      <c r="T905" t="str">
        <f t="shared" si="14"/>
        <v/>
      </c>
    </row>
    <row r="906" spans="20:20" x14ac:dyDescent="0.35">
      <c r="T906" t="str">
        <f t="shared" si="14"/>
        <v/>
      </c>
    </row>
    <row r="907" spans="20:20" x14ac:dyDescent="0.35">
      <c r="T907" t="str">
        <f t="shared" si="14"/>
        <v/>
      </c>
    </row>
    <row r="908" spans="20:20" x14ac:dyDescent="0.35">
      <c r="T908" t="str">
        <f t="shared" si="14"/>
        <v/>
      </c>
    </row>
    <row r="909" spans="20:20" x14ac:dyDescent="0.35">
      <c r="T909" t="str">
        <f t="shared" si="14"/>
        <v/>
      </c>
    </row>
    <row r="910" spans="20:20" x14ac:dyDescent="0.35">
      <c r="T910" t="str">
        <f t="shared" si="14"/>
        <v/>
      </c>
    </row>
    <row r="911" spans="20:20" x14ac:dyDescent="0.35">
      <c r="T911" t="str">
        <f t="shared" si="14"/>
        <v/>
      </c>
    </row>
    <row r="912" spans="20:20" x14ac:dyDescent="0.35">
      <c r="T912" t="str">
        <f t="shared" si="14"/>
        <v/>
      </c>
    </row>
    <row r="913" spans="20:20" x14ac:dyDescent="0.35">
      <c r="T913" t="str">
        <f t="shared" si="14"/>
        <v/>
      </c>
    </row>
    <row r="914" spans="20:20" x14ac:dyDescent="0.35">
      <c r="T914" t="str">
        <f t="shared" si="14"/>
        <v/>
      </c>
    </row>
    <row r="915" spans="20:20" x14ac:dyDescent="0.35">
      <c r="T915" t="str">
        <f t="shared" si="14"/>
        <v/>
      </c>
    </row>
    <row r="916" spans="20:20" x14ac:dyDescent="0.35">
      <c r="T916" t="str">
        <f t="shared" si="14"/>
        <v/>
      </c>
    </row>
    <row r="917" spans="20:20" x14ac:dyDescent="0.35">
      <c r="T917" t="str">
        <f t="shared" si="14"/>
        <v/>
      </c>
    </row>
    <row r="918" spans="20:20" x14ac:dyDescent="0.35">
      <c r="T918" t="str">
        <f t="shared" si="14"/>
        <v/>
      </c>
    </row>
    <row r="919" spans="20:20" x14ac:dyDescent="0.35">
      <c r="T919" t="str">
        <f t="shared" si="14"/>
        <v/>
      </c>
    </row>
    <row r="920" spans="20:20" x14ac:dyDescent="0.35">
      <c r="T920" t="str">
        <f t="shared" si="14"/>
        <v/>
      </c>
    </row>
    <row r="921" spans="20:20" x14ac:dyDescent="0.35">
      <c r="T921" t="str">
        <f t="shared" si="14"/>
        <v/>
      </c>
    </row>
    <row r="922" spans="20:20" x14ac:dyDescent="0.35">
      <c r="T922" t="str">
        <f t="shared" si="14"/>
        <v/>
      </c>
    </row>
    <row r="923" spans="20:20" x14ac:dyDescent="0.35">
      <c r="T923" t="str">
        <f t="shared" si="14"/>
        <v/>
      </c>
    </row>
    <row r="924" spans="20:20" x14ac:dyDescent="0.35">
      <c r="T924" t="str">
        <f t="shared" si="14"/>
        <v/>
      </c>
    </row>
    <row r="925" spans="20:20" x14ac:dyDescent="0.35">
      <c r="T925" t="str">
        <f t="shared" si="14"/>
        <v/>
      </c>
    </row>
    <row r="926" spans="20:20" x14ac:dyDescent="0.35">
      <c r="T926" t="str">
        <f t="shared" si="14"/>
        <v/>
      </c>
    </row>
    <row r="927" spans="20:20" x14ac:dyDescent="0.35">
      <c r="T927" t="str">
        <f t="shared" si="14"/>
        <v/>
      </c>
    </row>
    <row r="928" spans="20:20" x14ac:dyDescent="0.35">
      <c r="T928" t="str">
        <f t="shared" si="14"/>
        <v/>
      </c>
    </row>
    <row r="929" spans="20:20" x14ac:dyDescent="0.35">
      <c r="T929" t="str">
        <f t="shared" si="14"/>
        <v/>
      </c>
    </row>
    <row r="930" spans="20:20" x14ac:dyDescent="0.35">
      <c r="T930" t="str">
        <f t="shared" si="14"/>
        <v/>
      </c>
    </row>
    <row r="931" spans="20:20" x14ac:dyDescent="0.35">
      <c r="T931" t="str">
        <f t="shared" si="14"/>
        <v/>
      </c>
    </row>
    <row r="932" spans="20:20" x14ac:dyDescent="0.35">
      <c r="T932" t="str">
        <f t="shared" si="14"/>
        <v/>
      </c>
    </row>
    <row r="933" spans="20:20" x14ac:dyDescent="0.35">
      <c r="T933" t="str">
        <f t="shared" si="14"/>
        <v/>
      </c>
    </row>
    <row r="934" spans="20:20" x14ac:dyDescent="0.35">
      <c r="T934" t="str">
        <f t="shared" si="14"/>
        <v/>
      </c>
    </row>
    <row r="935" spans="20:20" x14ac:dyDescent="0.35">
      <c r="T935" t="str">
        <f t="shared" si="14"/>
        <v/>
      </c>
    </row>
    <row r="936" spans="20:20" x14ac:dyDescent="0.35">
      <c r="T936" t="str">
        <f t="shared" si="14"/>
        <v/>
      </c>
    </row>
    <row r="937" spans="20:20" x14ac:dyDescent="0.35">
      <c r="T937" t="str">
        <f t="shared" si="14"/>
        <v/>
      </c>
    </row>
    <row r="938" spans="20:20" x14ac:dyDescent="0.35">
      <c r="T938" t="str">
        <f t="shared" si="14"/>
        <v/>
      </c>
    </row>
    <row r="939" spans="20:20" x14ac:dyDescent="0.35">
      <c r="T939" t="str">
        <f t="shared" si="14"/>
        <v/>
      </c>
    </row>
    <row r="940" spans="20:20" x14ac:dyDescent="0.35">
      <c r="T940" t="str">
        <f t="shared" si="14"/>
        <v/>
      </c>
    </row>
    <row r="941" spans="20:20" x14ac:dyDescent="0.35">
      <c r="T941" t="str">
        <f t="shared" si="14"/>
        <v/>
      </c>
    </row>
    <row r="942" spans="20:20" x14ac:dyDescent="0.35">
      <c r="T942" t="str">
        <f t="shared" si="14"/>
        <v/>
      </c>
    </row>
    <row r="943" spans="20:20" x14ac:dyDescent="0.35">
      <c r="T943" t="str">
        <f t="shared" si="14"/>
        <v/>
      </c>
    </row>
    <row r="944" spans="20:20" x14ac:dyDescent="0.35">
      <c r="T944" t="str">
        <f t="shared" si="14"/>
        <v/>
      </c>
    </row>
    <row r="945" spans="20:20" x14ac:dyDescent="0.35">
      <c r="T945" t="str">
        <f t="shared" si="14"/>
        <v/>
      </c>
    </row>
    <row r="946" spans="20:20" x14ac:dyDescent="0.35">
      <c r="T946" t="str">
        <f t="shared" si="14"/>
        <v/>
      </c>
    </row>
    <row r="947" spans="20:20" x14ac:dyDescent="0.35">
      <c r="T947" t="str">
        <f t="shared" si="14"/>
        <v/>
      </c>
    </row>
    <row r="948" spans="20:20" x14ac:dyDescent="0.35">
      <c r="T948" t="str">
        <f t="shared" si="14"/>
        <v/>
      </c>
    </row>
    <row r="949" spans="20:20" x14ac:dyDescent="0.35">
      <c r="T949" t="str">
        <f t="shared" si="14"/>
        <v/>
      </c>
    </row>
    <row r="950" spans="20:20" x14ac:dyDescent="0.35">
      <c r="T950" t="str">
        <f t="shared" si="14"/>
        <v/>
      </c>
    </row>
    <row r="951" spans="20:20" x14ac:dyDescent="0.35">
      <c r="T951" t="str">
        <f t="shared" si="14"/>
        <v/>
      </c>
    </row>
    <row r="952" spans="20:20" x14ac:dyDescent="0.35">
      <c r="T952" t="str">
        <f t="shared" si="14"/>
        <v/>
      </c>
    </row>
    <row r="953" spans="20:20" x14ac:dyDescent="0.35">
      <c r="T953" t="str">
        <f t="shared" si="14"/>
        <v/>
      </c>
    </row>
    <row r="954" spans="20:20" x14ac:dyDescent="0.35">
      <c r="T954" t="str">
        <f t="shared" si="14"/>
        <v/>
      </c>
    </row>
    <row r="955" spans="20:20" x14ac:dyDescent="0.35">
      <c r="T955" t="str">
        <f t="shared" si="14"/>
        <v/>
      </c>
    </row>
    <row r="956" spans="20:20" x14ac:dyDescent="0.35">
      <c r="T956" t="str">
        <f t="shared" si="14"/>
        <v/>
      </c>
    </row>
    <row r="957" spans="20:20" x14ac:dyDescent="0.35">
      <c r="T957" t="str">
        <f t="shared" si="14"/>
        <v/>
      </c>
    </row>
    <row r="958" spans="20:20" x14ac:dyDescent="0.35">
      <c r="T958" t="str">
        <f t="shared" si="14"/>
        <v/>
      </c>
    </row>
    <row r="959" spans="20:20" x14ac:dyDescent="0.35">
      <c r="T959" t="str">
        <f t="shared" si="14"/>
        <v/>
      </c>
    </row>
    <row r="960" spans="20:20" x14ac:dyDescent="0.35">
      <c r="T960" t="str">
        <f t="shared" si="14"/>
        <v/>
      </c>
    </row>
    <row r="961" spans="20:20" x14ac:dyDescent="0.35">
      <c r="T961" t="str">
        <f t="shared" si="14"/>
        <v/>
      </c>
    </row>
    <row r="962" spans="20:20" x14ac:dyDescent="0.35">
      <c r="T962" t="str">
        <f t="shared" ref="T962:T1000" si="15">IF(P962="","",YEAR(P962))</f>
        <v/>
      </c>
    </row>
    <row r="963" spans="20:20" x14ac:dyDescent="0.35">
      <c r="T963" t="str">
        <f t="shared" si="15"/>
        <v/>
      </c>
    </row>
    <row r="964" spans="20:20" x14ac:dyDescent="0.35">
      <c r="T964" t="str">
        <f t="shared" si="15"/>
        <v/>
      </c>
    </row>
    <row r="965" spans="20:20" x14ac:dyDescent="0.35">
      <c r="T965" t="str">
        <f t="shared" si="15"/>
        <v/>
      </c>
    </row>
    <row r="966" spans="20:20" x14ac:dyDescent="0.35">
      <c r="T966" t="str">
        <f t="shared" si="15"/>
        <v/>
      </c>
    </row>
    <row r="967" spans="20:20" x14ac:dyDescent="0.35">
      <c r="T967" t="str">
        <f t="shared" si="15"/>
        <v/>
      </c>
    </row>
    <row r="968" spans="20:20" x14ac:dyDescent="0.35">
      <c r="T968" t="str">
        <f t="shared" si="15"/>
        <v/>
      </c>
    </row>
    <row r="969" spans="20:20" x14ac:dyDescent="0.35">
      <c r="T969" t="str">
        <f t="shared" si="15"/>
        <v/>
      </c>
    </row>
    <row r="970" spans="20:20" x14ac:dyDescent="0.35">
      <c r="T970" t="str">
        <f t="shared" si="15"/>
        <v/>
      </c>
    </row>
    <row r="971" spans="20:20" x14ac:dyDescent="0.35">
      <c r="T971" t="str">
        <f t="shared" si="15"/>
        <v/>
      </c>
    </row>
    <row r="972" spans="20:20" x14ac:dyDescent="0.35">
      <c r="T972" t="str">
        <f t="shared" si="15"/>
        <v/>
      </c>
    </row>
    <row r="973" spans="20:20" x14ac:dyDescent="0.35">
      <c r="T973" t="str">
        <f t="shared" si="15"/>
        <v/>
      </c>
    </row>
    <row r="974" spans="20:20" x14ac:dyDescent="0.35">
      <c r="T974" t="str">
        <f t="shared" si="15"/>
        <v/>
      </c>
    </row>
    <row r="975" spans="20:20" x14ac:dyDescent="0.35">
      <c r="T975" t="str">
        <f t="shared" si="15"/>
        <v/>
      </c>
    </row>
    <row r="976" spans="20:20" x14ac:dyDescent="0.35">
      <c r="T976" t="str">
        <f t="shared" si="15"/>
        <v/>
      </c>
    </row>
    <row r="977" spans="20:20" x14ac:dyDescent="0.35">
      <c r="T977" t="str">
        <f t="shared" si="15"/>
        <v/>
      </c>
    </row>
    <row r="978" spans="20:20" x14ac:dyDescent="0.35">
      <c r="T978" t="str">
        <f t="shared" si="15"/>
        <v/>
      </c>
    </row>
    <row r="979" spans="20:20" x14ac:dyDescent="0.35">
      <c r="T979" t="str">
        <f t="shared" si="15"/>
        <v/>
      </c>
    </row>
    <row r="980" spans="20:20" x14ac:dyDescent="0.35">
      <c r="T980" t="str">
        <f t="shared" si="15"/>
        <v/>
      </c>
    </row>
    <row r="981" spans="20:20" x14ac:dyDescent="0.35">
      <c r="T981" t="str">
        <f t="shared" si="15"/>
        <v/>
      </c>
    </row>
    <row r="982" spans="20:20" x14ac:dyDescent="0.35">
      <c r="T982" t="str">
        <f t="shared" si="15"/>
        <v/>
      </c>
    </row>
    <row r="983" spans="20:20" x14ac:dyDescent="0.35">
      <c r="T983" t="str">
        <f t="shared" si="15"/>
        <v/>
      </c>
    </row>
    <row r="984" spans="20:20" x14ac:dyDescent="0.35">
      <c r="T984" t="str">
        <f t="shared" si="15"/>
        <v/>
      </c>
    </row>
    <row r="985" spans="20:20" x14ac:dyDescent="0.35">
      <c r="T985" t="str">
        <f t="shared" si="15"/>
        <v/>
      </c>
    </row>
    <row r="986" spans="20:20" x14ac:dyDescent="0.35">
      <c r="T986" t="str">
        <f t="shared" si="15"/>
        <v/>
      </c>
    </row>
    <row r="987" spans="20:20" x14ac:dyDescent="0.35">
      <c r="T987" t="str">
        <f t="shared" si="15"/>
        <v/>
      </c>
    </row>
    <row r="988" spans="20:20" x14ac:dyDescent="0.35">
      <c r="T988" t="str">
        <f t="shared" si="15"/>
        <v/>
      </c>
    </row>
    <row r="989" spans="20:20" x14ac:dyDescent="0.35">
      <c r="T989" t="str">
        <f t="shared" si="15"/>
        <v/>
      </c>
    </row>
    <row r="990" spans="20:20" x14ac:dyDescent="0.35">
      <c r="T990" t="str">
        <f t="shared" si="15"/>
        <v/>
      </c>
    </row>
    <row r="991" spans="20:20" x14ac:dyDescent="0.35">
      <c r="T991" t="str">
        <f t="shared" si="15"/>
        <v/>
      </c>
    </row>
    <row r="992" spans="20:20" x14ac:dyDescent="0.35">
      <c r="T992" t="str">
        <f t="shared" si="15"/>
        <v/>
      </c>
    </row>
    <row r="993" spans="20:20" x14ac:dyDescent="0.35">
      <c r="T993" t="str">
        <f t="shared" si="15"/>
        <v/>
      </c>
    </row>
    <row r="994" spans="20:20" x14ac:dyDescent="0.35">
      <c r="T994" t="str">
        <f t="shared" si="15"/>
        <v/>
      </c>
    </row>
    <row r="995" spans="20:20" x14ac:dyDescent="0.35">
      <c r="T995" t="str">
        <f t="shared" si="15"/>
        <v/>
      </c>
    </row>
    <row r="996" spans="20:20" x14ac:dyDescent="0.35">
      <c r="T996" t="str">
        <f t="shared" si="15"/>
        <v/>
      </c>
    </row>
    <row r="997" spans="20:20" x14ac:dyDescent="0.35">
      <c r="T997" t="str">
        <f t="shared" si="15"/>
        <v/>
      </c>
    </row>
    <row r="998" spans="20:20" x14ac:dyDescent="0.35">
      <c r="T998" t="str">
        <f t="shared" si="15"/>
        <v/>
      </c>
    </row>
    <row r="999" spans="20:20" x14ac:dyDescent="0.35">
      <c r="T999" t="str">
        <f t="shared" si="15"/>
        <v/>
      </c>
    </row>
    <row r="1000" spans="20:20" x14ac:dyDescent="0.35">
      <c r="T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300-000000000000}">
          <x14:formula1>
            <xm:f>DB_Lookups!$A$2:$A$20</xm:f>
          </x14:formula1>
          <xm:sqref>M2:M1000</xm:sqref>
        </x14:dataValidation>
        <x14:dataValidation type="list" allowBlank="1" xr:uid="{00000000-0002-0000-0300-000001000000}">
          <x14:formula1>
            <xm:f>DB_Lookups!$D$2:$D$10</xm:f>
          </x14:formula1>
          <xm:sqref>T2:T1000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000"/>
  <sheetViews>
    <sheetView rightToLeft="1" topLeftCell="B1" workbookViewId="0">
      <selection activeCell="M1" sqref="M1:M1048576"/>
    </sheetView>
  </sheetViews>
  <sheetFormatPr defaultRowHeight="16.8" x14ac:dyDescent="0.35"/>
  <cols>
    <col min="1" max="1" width="7.5546875" bestFit="1" customWidth="1"/>
    <col min="2" max="2" width="11" bestFit="1" customWidth="1"/>
    <col min="3" max="3" width="13.44140625" bestFit="1" customWidth="1"/>
    <col min="4" max="4" width="22.109375" bestFit="1" customWidth="1"/>
    <col min="5" max="6" width="16" bestFit="1" customWidth="1"/>
    <col min="7" max="7" width="12.44140625" bestFit="1" customWidth="1"/>
    <col min="8" max="8" width="26.33203125" bestFit="1" customWidth="1"/>
    <col min="9" max="9" width="10.5546875" bestFit="1" customWidth="1"/>
    <col min="10" max="10" width="17.44140625" bestFit="1" customWidth="1"/>
    <col min="11" max="11" width="18.5546875" bestFit="1" customWidth="1"/>
    <col min="12" max="12" width="11" bestFit="1" customWidth="1"/>
    <col min="13" max="13" width="20.33203125" style="12" bestFit="1" customWidth="1"/>
    <col min="14" max="14" width="13.44140625" bestFit="1" customWidth="1"/>
    <col min="15" max="15" width="8.88671875" bestFit="1" customWidth="1"/>
    <col min="16" max="16" width="14.5546875" bestFit="1" customWidth="1"/>
    <col min="17" max="17" width="9.109375" bestFit="1" customWidth="1"/>
    <col min="18" max="18" width="14.6640625" bestFit="1" customWidth="1"/>
    <col min="21" max="21" width="18" customWidth="1"/>
    <col min="22" max="22" width="22" customWidth="1"/>
  </cols>
  <sheetData>
    <row r="1" spans="1:22" s="7" customFormat="1" ht="18" customHeight="1" x14ac:dyDescent="0.35">
      <c r="A1" s="18" t="s">
        <v>0</v>
      </c>
      <c r="B1" s="18" t="s">
        <v>69</v>
      </c>
      <c r="C1" s="18" t="s">
        <v>4</v>
      </c>
      <c r="D1" s="18" t="s">
        <v>5</v>
      </c>
      <c r="E1" s="18" t="s">
        <v>6</v>
      </c>
      <c r="F1" s="18" t="s">
        <v>7</v>
      </c>
      <c r="G1" s="19" t="s">
        <v>38</v>
      </c>
      <c r="H1" s="7" t="s">
        <v>8</v>
      </c>
      <c r="I1" s="18" t="s">
        <v>70</v>
      </c>
      <c r="J1" s="18" t="s">
        <v>12</v>
      </c>
      <c r="K1" s="18" t="s">
        <v>71</v>
      </c>
      <c r="L1" s="18" t="s">
        <v>72</v>
      </c>
      <c r="M1" s="21" t="s">
        <v>11</v>
      </c>
      <c r="N1" s="18" t="s">
        <v>73</v>
      </c>
      <c r="O1" s="18" t="s">
        <v>13</v>
      </c>
      <c r="P1" s="18" t="s">
        <v>14</v>
      </c>
      <c r="Q1" s="18" t="s">
        <v>15</v>
      </c>
      <c r="R1" s="18" t="s">
        <v>16</v>
      </c>
      <c r="S1" s="18" t="s">
        <v>17</v>
      </c>
      <c r="T1" t="s">
        <v>18</v>
      </c>
      <c r="U1" t="s">
        <v>19</v>
      </c>
      <c r="V1" t="s">
        <v>20</v>
      </c>
    </row>
    <row r="2" spans="1:22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  <c r="P2" s="3"/>
      <c r="Q2" s="3"/>
      <c r="R2" s="3"/>
      <c r="S2" s="3"/>
      <c r="T2" t="str">
        <f t="shared" ref="T2:T65" si="0">IF(P2="","",YEAR(P2))</f>
        <v/>
      </c>
    </row>
    <row r="3" spans="1:22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N3" s="3"/>
      <c r="O3" s="3"/>
      <c r="P3" s="3"/>
      <c r="Q3" s="3"/>
      <c r="R3" s="3"/>
      <c r="S3" s="3"/>
      <c r="T3" t="str">
        <f t="shared" si="0"/>
        <v/>
      </c>
    </row>
    <row r="4" spans="1:22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 s="3"/>
      <c r="O4" s="3"/>
      <c r="P4" s="3"/>
      <c r="Q4" s="3"/>
      <c r="R4" s="3"/>
      <c r="S4" s="3"/>
      <c r="T4" t="str">
        <f t="shared" si="0"/>
        <v/>
      </c>
    </row>
    <row r="5" spans="1:22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N5" s="3"/>
      <c r="O5" s="3"/>
      <c r="P5" s="3"/>
      <c r="Q5" s="3"/>
      <c r="R5" s="3"/>
      <c r="S5" s="3"/>
      <c r="T5" t="str">
        <f t="shared" si="0"/>
        <v/>
      </c>
    </row>
    <row r="6" spans="1:22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N6" s="3"/>
      <c r="O6" s="3"/>
      <c r="P6" s="3"/>
      <c r="Q6" s="3"/>
      <c r="R6" s="3"/>
      <c r="S6" s="3"/>
      <c r="T6" t="str">
        <f t="shared" si="0"/>
        <v/>
      </c>
    </row>
    <row r="7" spans="1:22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N7" s="3"/>
      <c r="O7" s="3"/>
      <c r="P7" s="3"/>
      <c r="Q7" s="3"/>
      <c r="R7" s="3"/>
      <c r="S7" s="3"/>
      <c r="T7" t="str">
        <f t="shared" si="0"/>
        <v/>
      </c>
    </row>
    <row r="8" spans="1:22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N8" s="3"/>
      <c r="O8" s="3"/>
      <c r="P8" s="3"/>
      <c r="Q8" s="3"/>
      <c r="R8" s="3"/>
      <c r="S8" s="3"/>
      <c r="T8" t="str">
        <f t="shared" si="0"/>
        <v/>
      </c>
    </row>
    <row r="9" spans="1:2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N9" s="3"/>
      <c r="O9" s="3"/>
      <c r="P9" s="3"/>
      <c r="Q9" s="3"/>
      <c r="R9" s="3"/>
      <c r="S9" s="3"/>
      <c r="T9" t="str">
        <f t="shared" si="0"/>
        <v/>
      </c>
    </row>
    <row r="10" spans="1:22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N10" s="3"/>
      <c r="O10" s="3"/>
      <c r="P10" s="3"/>
      <c r="Q10" s="3"/>
      <c r="R10" s="3"/>
      <c r="S10" s="3"/>
      <c r="T10" t="str">
        <f t="shared" si="0"/>
        <v/>
      </c>
    </row>
    <row r="11" spans="1:22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N11" s="3"/>
      <c r="O11" s="3"/>
      <c r="P11" s="3"/>
      <c r="Q11" s="3"/>
      <c r="R11" s="3"/>
      <c r="S11" s="3"/>
      <c r="T11" t="str">
        <f t="shared" si="0"/>
        <v/>
      </c>
    </row>
    <row r="12" spans="1:22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N12" s="3"/>
      <c r="O12" s="3"/>
      <c r="P12" s="3"/>
      <c r="Q12" s="3"/>
      <c r="R12" s="3"/>
      <c r="S12" s="3"/>
      <c r="T12" t="str">
        <f t="shared" si="0"/>
        <v/>
      </c>
    </row>
    <row r="13" spans="1:22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N13" s="3"/>
      <c r="O13" s="3"/>
      <c r="P13" s="3"/>
      <c r="Q13" s="3"/>
      <c r="R13" s="3"/>
      <c r="S13" s="3"/>
      <c r="T13" t="str">
        <f t="shared" si="0"/>
        <v/>
      </c>
    </row>
    <row r="14" spans="1:22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N14" s="3"/>
      <c r="O14" s="3"/>
      <c r="P14" s="3"/>
      <c r="Q14" s="3"/>
      <c r="R14" s="3"/>
      <c r="S14" s="3"/>
      <c r="T14" t="str">
        <f t="shared" si="0"/>
        <v/>
      </c>
    </row>
    <row r="15" spans="1:22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N15" s="3"/>
      <c r="O15" s="3"/>
      <c r="P15" s="3"/>
      <c r="Q15" s="3"/>
      <c r="R15" s="3"/>
      <c r="S15" s="3"/>
      <c r="T15" t="str">
        <f t="shared" si="0"/>
        <v/>
      </c>
    </row>
    <row r="16" spans="1:22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3"/>
      <c r="O16" s="3"/>
      <c r="P16" s="3"/>
      <c r="Q16" s="3"/>
      <c r="R16" s="3"/>
      <c r="S16" s="3"/>
      <c r="T16" t="str">
        <f t="shared" si="0"/>
        <v/>
      </c>
    </row>
    <row r="17" spans="1:20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N17" s="3"/>
      <c r="O17" s="3"/>
      <c r="P17" s="3"/>
      <c r="Q17" s="3"/>
      <c r="R17" s="3"/>
      <c r="S17" s="3"/>
      <c r="T17" t="str">
        <f t="shared" si="0"/>
        <v/>
      </c>
    </row>
    <row r="18" spans="1:20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N18" s="3"/>
      <c r="O18" s="3"/>
      <c r="P18" s="3"/>
      <c r="Q18" s="3"/>
      <c r="R18" s="3"/>
      <c r="S18" s="3"/>
      <c r="T18" t="str">
        <f t="shared" si="0"/>
        <v/>
      </c>
    </row>
    <row r="19" spans="1:20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N19" s="3"/>
      <c r="O19" s="3"/>
      <c r="P19" s="3"/>
      <c r="Q19" s="3"/>
      <c r="R19" s="3"/>
      <c r="S19" s="3"/>
      <c r="T19" t="str">
        <f t="shared" si="0"/>
        <v/>
      </c>
    </row>
    <row r="20" spans="1:20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N20" s="3"/>
      <c r="O20" s="3"/>
      <c r="P20" s="3"/>
      <c r="Q20" s="3"/>
      <c r="R20" s="3"/>
      <c r="S20" s="3"/>
      <c r="T20" t="str">
        <f t="shared" si="0"/>
        <v/>
      </c>
    </row>
    <row r="21" spans="1:20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N21" s="3"/>
      <c r="O21" s="3"/>
      <c r="P21" s="3"/>
      <c r="Q21" s="3"/>
      <c r="R21" s="3"/>
      <c r="S21" s="3"/>
      <c r="T21" t="str">
        <f t="shared" si="0"/>
        <v/>
      </c>
    </row>
    <row r="22" spans="1:20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N22" s="3"/>
      <c r="O22" s="3"/>
      <c r="P22" s="3"/>
      <c r="Q22" s="3"/>
      <c r="R22" s="3"/>
      <c r="S22" s="3"/>
      <c r="T22" t="str">
        <f t="shared" si="0"/>
        <v/>
      </c>
    </row>
    <row r="23" spans="1:20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N23" s="3"/>
      <c r="O23" s="3"/>
      <c r="P23" s="3"/>
      <c r="Q23" s="3"/>
      <c r="R23" s="3"/>
      <c r="S23" s="3"/>
      <c r="T23" t="str">
        <f t="shared" si="0"/>
        <v/>
      </c>
    </row>
    <row r="24" spans="1:20" x14ac:dyDescent="0.35">
      <c r="T24" t="str">
        <f t="shared" si="0"/>
        <v/>
      </c>
    </row>
    <row r="25" spans="1:20" x14ac:dyDescent="0.35">
      <c r="T25" t="str">
        <f t="shared" si="0"/>
        <v/>
      </c>
    </row>
    <row r="26" spans="1:20" x14ac:dyDescent="0.35">
      <c r="T26" t="str">
        <f t="shared" si="0"/>
        <v/>
      </c>
    </row>
    <row r="27" spans="1:20" x14ac:dyDescent="0.35">
      <c r="T27" t="str">
        <f t="shared" si="0"/>
        <v/>
      </c>
    </row>
    <row r="28" spans="1:20" x14ac:dyDescent="0.35">
      <c r="T28" t="str">
        <f t="shared" si="0"/>
        <v/>
      </c>
    </row>
    <row r="29" spans="1:20" x14ac:dyDescent="0.35">
      <c r="T29" t="str">
        <f t="shared" si="0"/>
        <v/>
      </c>
    </row>
    <row r="30" spans="1:20" x14ac:dyDescent="0.35">
      <c r="T30" t="str">
        <f t="shared" si="0"/>
        <v/>
      </c>
    </row>
    <row r="31" spans="1:20" x14ac:dyDescent="0.35">
      <c r="T31" t="str">
        <f t="shared" si="0"/>
        <v/>
      </c>
    </row>
    <row r="32" spans="1:20" x14ac:dyDescent="0.35">
      <c r="T32" t="str">
        <f t="shared" si="0"/>
        <v/>
      </c>
    </row>
    <row r="33" spans="20:20" x14ac:dyDescent="0.35">
      <c r="T33" t="str">
        <f t="shared" si="0"/>
        <v/>
      </c>
    </row>
    <row r="34" spans="20:20" x14ac:dyDescent="0.35">
      <c r="T34" t="str">
        <f t="shared" si="0"/>
        <v/>
      </c>
    </row>
    <row r="35" spans="20:20" x14ac:dyDescent="0.35">
      <c r="T35" t="str">
        <f t="shared" si="0"/>
        <v/>
      </c>
    </row>
    <row r="36" spans="20:20" x14ac:dyDescent="0.35">
      <c r="T36" t="str">
        <f t="shared" si="0"/>
        <v/>
      </c>
    </row>
    <row r="37" spans="20:20" x14ac:dyDescent="0.35">
      <c r="T37" t="str">
        <f t="shared" si="0"/>
        <v/>
      </c>
    </row>
    <row r="38" spans="20:20" x14ac:dyDescent="0.35">
      <c r="T38" t="str">
        <f t="shared" si="0"/>
        <v/>
      </c>
    </row>
    <row r="39" spans="20:20" x14ac:dyDescent="0.35">
      <c r="T39" t="str">
        <f t="shared" si="0"/>
        <v/>
      </c>
    </row>
    <row r="40" spans="20:20" x14ac:dyDescent="0.35">
      <c r="T40" t="str">
        <f t="shared" si="0"/>
        <v/>
      </c>
    </row>
    <row r="41" spans="20:20" x14ac:dyDescent="0.35">
      <c r="T41" t="str">
        <f t="shared" si="0"/>
        <v/>
      </c>
    </row>
    <row r="42" spans="20:20" x14ac:dyDescent="0.35">
      <c r="T42" t="str">
        <f t="shared" si="0"/>
        <v/>
      </c>
    </row>
    <row r="43" spans="20:20" x14ac:dyDescent="0.35">
      <c r="T43" t="str">
        <f t="shared" si="0"/>
        <v/>
      </c>
    </row>
    <row r="44" spans="20:20" x14ac:dyDescent="0.35">
      <c r="T44" t="str">
        <f t="shared" si="0"/>
        <v/>
      </c>
    </row>
    <row r="45" spans="20:20" x14ac:dyDescent="0.35">
      <c r="T45" t="str">
        <f t="shared" si="0"/>
        <v/>
      </c>
    </row>
    <row r="46" spans="20:20" x14ac:dyDescent="0.35">
      <c r="T46" t="str">
        <f t="shared" si="0"/>
        <v/>
      </c>
    </row>
    <row r="47" spans="20:20" x14ac:dyDescent="0.35">
      <c r="T47" t="str">
        <f t="shared" si="0"/>
        <v/>
      </c>
    </row>
    <row r="48" spans="20:20" x14ac:dyDescent="0.35">
      <c r="T48" t="str">
        <f t="shared" si="0"/>
        <v/>
      </c>
    </row>
    <row r="49" spans="20:20" x14ac:dyDescent="0.35">
      <c r="T49" t="str">
        <f t="shared" si="0"/>
        <v/>
      </c>
    </row>
    <row r="50" spans="20:20" x14ac:dyDescent="0.35">
      <c r="T50" t="str">
        <f t="shared" si="0"/>
        <v/>
      </c>
    </row>
    <row r="51" spans="20:20" x14ac:dyDescent="0.35">
      <c r="T51" t="str">
        <f t="shared" si="0"/>
        <v/>
      </c>
    </row>
    <row r="52" spans="20:20" x14ac:dyDescent="0.35">
      <c r="T52" t="str">
        <f t="shared" si="0"/>
        <v/>
      </c>
    </row>
    <row r="53" spans="20:20" x14ac:dyDescent="0.35">
      <c r="T53" t="str">
        <f t="shared" si="0"/>
        <v/>
      </c>
    </row>
    <row r="54" spans="20:20" x14ac:dyDescent="0.35">
      <c r="T54" t="str">
        <f t="shared" si="0"/>
        <v/>
      </c>
    </row>
    <row r="55" spans="20:20" x14ac:dyDescent="0.35">
      <c r="T55" t="str">
        <f t="shared" si="0"/>
        <v/>
      </c>
    </row>
    <row r="56" spans="20:20" x14ac:dyDescent="0.35">
      <c r="T56" t="str">
        <f t="shared" si="0"/>
        <v/>
      </c>
    </row>
    <row r="57" spans="20:20" x14ac:dyDescent="0.35">
      <c r="T57" t="str">
        <f t="shared" si="0"/>
        <v/>
      </c>
    </row>
    <row r="58" spans="20:20" x14ac:dyDescent="0.35">
      <c r="T58" t="str">
        <f t="shared" si="0"/>
        <v/>
      </c>
    </row>
    <row r="59" spans="20:20" x14ac:dyDescent="0.35">
      <c r="T59" t="str">
        <f t="shared" si="0"/>
        <v/>
      </c>
    </row>
    <row r="60" spans="20:20" x14ac:dyDescent="0.35">
      <c r="T60" t="str">
        <f t="shared" si="0"/>
        <v/>
      </c>
    </row>
    <row r="61" spans="20:20" x14ac:dyDescent="0.35">
      <c r="T61" t="str">
        <f t="shared" si="0"/>
        <v/>
      </c>
    </row>
    <row r="62" spans="20:20" x14ac:dyDescent="0.35">
      <c r="T62" t="str">
        <f t="shared" si="0"/>
        <v/>
      </c>
    </row>
    <row r="63" spans="20:20" x14ac:dyDescent="0.35">
      <c r="T63" t="str">
        <f t="shared" si="0"/>
        <v/>
      </c>
    </row>
    <row r="64" spans="20:20" x14ac:dyDescent="0.35">
      <c r="T64" t="str">
        <f t="shared" si="0"/>
        <v/>
      </c>
    </row>
    <row r="65" spans="20:20" x14ac:dyDescent="0.35">
      <c r="T65" t="str">
        <f t="shared" si="0"/>
        <v/>
      </c>
    </row>
    <row r="66" spans="20:20" x14ac:dyDescent="0.35">
      <c r="T66" t="str">
        <f t="shared" ref="T66:T129" si="1">IF(P66="","",YEAR(P66))</f>
        <v/>
      </c>
    </row>
    <row r="67" spans="20:20" x14ac:dyDescent="0.35">
      <c r="T67" t="str">
        <f t="shared" si="1"/>
        <v/>
      </c>
    </row>
    <row r="68" spans="20:20" x14ac:dyDescent="0.35">
      <c r="T68" t="str">
        <f t="shared" si="1"/>
        <v/>
      </c>
    </row>
    <row r="69" spans="20:20" x14ac:dyDescent="0.35">
      <c r="T69" t="str">
        <f t="shared" si="1"/>
        <v/>
      </c>
    </row>
    <row r="70" spans="20:20" x14ac:dyDescent="0.35">
      <c r="T70" t="str">
        <f t="shared" si="1"/>
        <v/>
      </c>
    </row>
    <row r="71" spans="20:20" x14ac:dyDescent="0.35">
      <c r="T71" t="str">
        <f t="shared" si="1"/>
        <v/>
      </c>
    </row>
    <row r="72" spans="20:20" x14ac:dyDescent="0.35">
      <c r="T72" t="str">
        <f t="shared" si="1"/>
        <v/>
      </c>
    </row>
    <row r="73" spans="20:20" x14ac:dyDescent="0.35">
      <c r="T73" t="str">
        <f t="shared" si="1"/>
        <v/>
      </c>
    </row>
    <row r="74" spans="20:20" x14ac:dyDescent="0.35">
      <c r="T74" t="str">
        <f t="shared" si="1"/>
        <v/>
      </c>
    </row>
    <row r="75" spans="20:20" x14ac:dyDescent="0.35">
      <c r="T75" t="str">
        <f t="shared" si="1"/>
        <v/>
      </c>
    </row>
    <row r="76" spans="20:20" x14ac:dyDescent="0.35">
      <c r="T76" t="str">
        <f t="shared" si="1"/>
        <v/>
      </c>
    </row>
    <row r="77" spans="20:20" x14ac:dyDescent="0.35">
      <c r="T77" t="str">
        <f t="shared" si="1"/>
        <v/>
      </c>
    </row>
    <row r="78" spans="20:20" x14ac:dyDescent="0.35">
      <c r="T78" t="str">
        <f t="shared" si="1"/>
        <v/>
      </c>
    </row>
    <row r="79" spans="20:20" x14ac:dyDescent="0.35">
      <c r="T79" t="str">
        <f t="shared" si="1"/>
        <v/>
      </c>
    </row>
    <row r="80" spans="20:20" x14ac:dyDescent="0.35">
      <c r="T80" t="str">
        <f t="shared" si="1"/>
        <v/>
      </c>
    </row>
    <row r="81" spans="20:20" x14ac:dyDescent="0.35">
      <c r="T81" t="str">
        <f t="shared" si="1"/>
        <v/>
      </c>
    </row>
    <row r="82" spans="20:20" x14ac:dyDescent="0.35">
      <c r="T82" t="str">
        <f t="shared" si="1"/>
        <v/>
      </c>
    </row>
    <row r="83" spans="20:20" x14ac:dyDescent="0.35">
      <c r="T83" t="str">
        <f t="shared" si="1"/>
        <v/>
      </c>
    </row>
    <row r="84" spans="20:20" x14ac:dyDescent="0.35">
      <c r="T84" t="str">
        <f t="shared" si="1"/>
        <v/>
      </c>
    </row>
    <row r="85" spans="20:20" x14ac:dyDescent="0.35">
      <c r="T85" t="str">
        <f t="shared" si="1"/>
        <v/>
      </c>
    </row>
    <row r="86" spans="20:20" x14ac:dyDescent="0.35">
      <c r="T86" t="str">
        <f t="shared" si="1"/>
        <v/>
      </c>
    </row>
    <row r="87" spans="20:20" x14ac:dyDescent="0.35">
      <c r="T87" t="str">
        <f t="shared" si="1"/>
        <v/>
      </c>
    </row>
    <row r="88" spans="20:20" x14ac:dyDescent="0.35">
      <c r="T88" t="str">
        <f t="shared" si="1"/>
        <v/>
      </c>
    </row>
    <row r="89" spans="20:20" x14ac:dyDescent="0.35">
      <c r="T89" t="str">
        <f t="shared" si="1"/>
        <v/>
      </c>
    </row>
    <row r="90" spans="20:20" x14ac:dyDescent="0.35">
      <c r="T90" t="str">
        <f t="shared" si="1"/>
        <v/>
      </c>
    </row>
    <row r="91" spans="20:20" x14ac:dyDescent="0.35">
      <c r="T91" t="str">
        <f t="shared" si="1"/>
        <v/>
      </c>
    </row>
    <row r="92" spans="20:20" x14ac:dyDescent="0.35">
      <c r="T92" t="str">
        <f t="shared" si="1"/>
        <v/>
      </c>
    </row>
    <row r="93" spans="20:20" x14ac:dyDescent="0.35">
      <c r="T93" t="str">
        <f t="shared" si="1"/>
        <v/>
      </c>
    </row>
    <row r="94" spans="20:20" x14ac:dyDescent="0.35">
      <c r="T94" t="str">
        <f t="shared" si="1"/>
        <v/>
      </c>
    </row>
    <row r="95" spans="20:20" x14ac:dyDescent="0.35">
      <c r="T95" t="str">
        <f t="shared" si="1"/>
        <v/>
      </c>
    </row>
    <row r="96" spans="20:20" x14ac:dyDescent="0.35">
      <c r="T96" t="str">
        <f t="shared" si="1"/>
        <v/>
      </c>
    </row>
    <row r="97" spans="20:20" x14ac:dyDescent="0.35">
      <c r="T97" t="str">
        <f t="shared" si="1"/>
        <v/>
      </c>
    </row>
    <row r="98" spans="20:20" x14ac:dyDescent="0.35">
      <c r="T98" t="str">
        <f t="shared" si="1"/>
        <v/>
      </c>
    </row>
    <row r="99" spans="20:20" x14ac:dyDescent="0.35">
      <c r="T99" t="str">
        <f t="shared" si="1"/>
        <v/>
      </c>
    </row>
    <row r="100" spans="20:20" x14ac:dyDescent="0.35">
      <c r="T100" t="str">
        <f t="shared" si="1"/>
        <v/>
      </c>
    </row>
    <row r="101" spans="20:20" x14ac:dyDescent="0.35">
      <c r="T101" t="str">
        <f t="shared" si="1"/>
        <v/>
      </c>
    </row>
    <row r="102" spans="20:20" x14ac:dyDescent="0.35">
      <c r="T102" t="str">
        <f t="shared" si="1"/>
        <v/>
      </c>
    </row>
    <row r="103" spans="20:20" x14ac:dyDescent="0.35">
      <c r="T103" t="str">
        <f t="shared" si="1"/>
        <v/>
      </c>
    </row>
    <row r="104" spans="20:20" x14ac:dyDescent="0.35">
      <c r="T104" t="str">
        <f t="shared" si="1"/>
        <v/>
      </c>
    </row>
    <row r="105" spans="20:20" x14ac:dyDescent="0.35">
      <c r="T105" t="str">
        <f t="shared" si="1"/>
        <v/>
      </c>
    </row>
    <row r="106" spans="20:20" x14ac:dyDescent="0.35">
      <c r="T106" t="str">
        <f t="shared" si="1"/>
        <v/>
      </c>
    </row>
    <row r="107" spans="20:20" x14ac:dyDescent="0.35">
      <c r="T107" t="str">
        <f t="shared" si="1"/>
        <v/>
      </c>
    </row>
    <row r="108" spans="20:20" x14ac:dyDescent="0.35">
      <c r="T108" t="str">
        <f t="shared" si="1"/>
        <v/>
      </c>
    </row>
    <row r="109" spans="20:20" x14ac:dyDescent="0.35">
      <c r="T109" t="str">
        <f t="shared" si="1"/>
        <v/>
      </c>
    </row>
    <row r="110" spans="20:20" x14ac:dyDescent="0.35">
      <c r="T110" t="str">
        <f t="shared" si="1"/>
        <v/>
      </c>
    </row>
    <row r="111" spans="20:20" x14ac:dyDescent="0.35">
      <c r="T111" t="str">
        <f t="shared" si="1"/>
        <v/>
      </c>
    </row>
    <row r="112" spans="20:20" x14ac:dyDescent="0.35">
      <c r="T112" t="str">
        <f t="shared" si="1"/>
        <v/>
      </c>
    </row>
    <row r="113" spans="20:20" x14ac:dyDescent="0.35">
      <c r="T113" t="str">
        <f t="shared" si="1"/>
        <v/>
      </c>
    </row>
    <row r="114" spans="20:20" x14ac:dyDescent="0.35">
      <c r="T114" t="str">
        <f t="shared" si="1"/>
        <v/>
      </c>
    </row>
    <row r="115" spans="20:20" x14ac:dyDescent="0.35">
      <c r="T115" t="str">
        <f t="shared" si="1"/>
        <v/>
      </c>
    </row>
    <row r="116" spans="20:20" x14ac:dyDescent="0.35">
      <c r="T116" t="str">
        <f t="shared" si="1"/>
        <v/>
      </c>
    </row>
    <row r="117" spans="20:20" x14ac:dyDescent="0.35">
      <c r="T117" t="str">
        <f t="shared" si="1"/>
        <v/>
      </c>
    </row>
    <row r="118" spans="20:20" x14ac:dyDescent="0.35">
      <c r="T118" t="str">
        <f t="shared" si="1"/>
        <v/>
      </c>
    </row>
    <row r="119" spans="20:20" x14ac:dyDescent="0.35">
      <c r="T119" t="str">
        <f t="shared" si="1"/>
        <v/>
      </c>
    </row>
    <row r="120" spans="20:20" x14ac:dyDescent="0.35">
      <c r="T120" t="str">
        <f t="shared" si="1"/>
        <v/>
      </c>
    </row>
    <row r="121" spans="20:20" x14ac:dyDescent="0.35">
      <c r="T121" t="str">
        <f t="shared" si="1"/>
        <v/>
      </c>
    </row>
    <row r="122" spans="20:20" x14ac:dyDescent="0.35">
      <c r="T122" t="str">
        <f t="shared" si="1"/>
        <v/>
      </c>
    </row>
    <row r="123" spans="20:20" x14ac:dyDescent="0.35">
      <c r="T123" t="str">
        <f t="shared" si="1"/>
        <v/>
      </c>
    </row>
    <row r="124" spans="20:20" x14ac:dyDescent="0.35">
      <c r="T124" t="str">
        <f t="shared" si="1"/>
        <v/>
      </c>
    </row>
    <row r="125" spans="20:20" x14ac:dyDescent="0.35">
      <c r="T125" t="str">
        <f t="shared" si="1"/>
        <v/>
      </c>
    </row>
    <row r="126" spans="20:20" x14ac:dyDescent="0.35">
      <c r="T126" t="str">
        <f t="shared" si="1"/>
        <v/>
      </c>
    </row>
    <row r="127" spans="20:20" x14ac:dyDescent="0.35">
      <c r="T127" t="str">
        <f t="shared" si="1"/>
        <v/>
      </c>
    </row>
    <row r="128" spans="20:20" x14ac:dyDescent="0.35">
      <c r="T128" t="str">
        <f t="shared" si="1"/>
        <v/>
      </c>
    </row>
    <row r="129" spans="20:20" x14ac:dyDescent="0.35">
      <c r="T129" t="str">
        <f t="shared" si="1"/>
        <v/>
      </c>
    </row>
    <row r="130" spans="20:20" x14ac:dyDescent="0.35">
      <c r="T130" t="str">
        <f t="shared" ref="T130:T193" si="2">IF(P130="","",YEAR(P130))</f>
        <v/>
      </c>
    </row>
    <row r="131" spans="20:20" x14ac:dyDescent="0.35">
      <c r="T131" t="str">
        <f t="shared" si="2"/>
        <v/>
      </c>
    </row>
    <row r="132" spans="20:20" x14ac:dyDescent="0.35">
      <c r="T132" t="str">
        <f t="shared" si="2"/>
        <v/>
      </c>
    </row>
    <row r="133" spans="20:20" x14ac:dyDescent="0.35">
      <c r="T133" t="str">
        <f t="shared" si="2"/>
        <v/>
      </c>
    </row>
    <row r="134" spans="20:20" x14ac:dyDescent="0.35">
      <c r="T134" t="str">
        <f t="shared" si="2"/>
        <v/>
      </c>
    </row>
    <row r="135" spans="20:20" x14ac:dyDescent="0.35">
      <c r="T135" t="str">
        <f t="shared" si="2"/>
        <v/>
      </c>
    </row>
    <row r="136" spans="20:20" x14ac:dyDescent="0.35">
      <c r="T136" t="str">
        <f t="shared" si="2"/>
        <v/>
      </c>
    </row>
    <row r="137" spans="20:20" x14ac:dyDescent="0.35">
      <c r="T137" t="str">
        <f t="shared" si="2"/>
        <v/>
      </c>
    </row>
    <row r="138" spans="20:20" x14ac:dyDescent="0.35">
      <c r="T138" t="str">
        <f t="shared" si="2"/>
        <v/>
      </c>
    </row>
    <row r="139" spans="20:20" x14ac:dyDescent="0.35">
      <c r="T139" t="str">
        <f t="shared" si="2"/>
        <v/>
      </c>
    </row>
    <row r="140" spans="20:20" x14ac:dyDescent="0.35">
      <c r="T140" t="str">
        <f t="shared" si="2"/>
        <v/>
      </c>
    </row>
    <row r="141" spans="20:20" x14ac:dyDescent="0.35">
      <c r="T141" t="str">
        <f t="shared" si="2"/>
        <v/>
      </c>
    </row>
    <row r="142" spans="20:20" x14ac:dyDescent="0.35">
      <c r="T142" t="str">
        <f t="shared" si="2"/>
        <v/>
      </c>
    </row>
    <row r="143" spans="20:20" x14ac:dyDescent="0.35">
      <c r="T143" t="str">
        <f t="shared" si="2"/>
        <v/>
      </c>
    </row>
    <row r="144" spans="20:20" x14ac:dyDescent="0.35">
      <c r="T144" t="str">
        <f t="shared" si="2"/>
        <v/>
      </c>
    </row>
    <row r="145" spans="20:20" x14ac:dyDescent="0.35">
      <c r="T145" t="str">
        <f t="shared" si="2"/>
        <v/>
      </c>
    </row>
    <row r="146" spans="20:20" x14ac:dyDescent="0.35">
      <c r="T146" t="str">
        <f t="shared" si="2"/>
        <v/>
      </c>
    </row>
    <row r="147" spans="20:20" x14ac:dyDescent="0.35">
      <c r="T147" t="str">
        <f t="shared" si="2"/>
        <v/>
      </c>
    </row>
    <row r="148" spans="20:20" x14ac:dyDescent="0.35">
      <c r="T148" t="str">
        <f t="shared" si="2"/>
        <v/>
      </c>
    </row>
    <row r="149" spans="20:20" x14ac:dyDescent="0.35">
      <c r="T149" t="str">
        <f t="shared" si="2"/>
        <v/>
      </c>
    </row>
    <row r="150" spans="20:20" x14ac:dyDescent="0.35">
      <c r="T150" t="str">
        <f t="shared" si="2"/>
        <v/>
      </c>
    </row>
    <row r="151" spans="20:20" x14ac:dyDescent="0.35">
      <c r="T151" t="str">
        <f t="shared" si="2"/>
        <v/>
      </c>
    </row>
    <row r="152" spans="20:20" x14ac:dyDescent="0.35">
      <c r="T152" t="str">
        <f t="shared" si="2"/>
        <v/>
      </c>
    </row>
    <row r="153" spans="20:20" x14ac:dyDescent="0.35">
      <c r="T153" t="str">
        <f t="shared" si="2"/>
        <v/>
      </c>
    </row>
    <row r="154" spans="20:20" x14ac:dyDescent="0.35">
      <c r="T154" t="str">
        <f t="shared" si="2"/>
        <v/>
      </c>
    </row>
    <row r="155" spans="20:20" x14ac:dyDescent="0.35">
      <c r="T155" t="str">
        <f t="shared" si="2"/>
        <v/>
      </c>
    </row>
    <row r="156" spans="20:20" x14ac:dyDescent="0.35">
      <c r="T156" t="str">
        <f t="shared" si="2"/>
        <v/>
      </c>
    </row>
    <row r="157" spans="20:20" x14ac:dyDescent="0.35">
      <c r="T157" t="str">
        <f t="shared" si="2"/>
        <v/>
      </c>
    </row>
    <row r="158" spans="20:20" x14ac:dyDescent="0.35">
      <c r="T158" t="str">
        <f t="shared" si="2"/>
        <v/>
      </c>
    </row>
    <row r="159" spans="20:20" x14ac:dyDescent="0.35">
      <c r="T159" t="str">
        <f t="shared" si="2"/>
        <v/>
      </c>
    </row>
    <row r="160" spans="20:20" x14ac:dyDescent="0.35">
      <c r="T160" t="str">
        <f t="shared" si="2"/>
        <v/>
      </c>
    </row>
    <row r="161" spans="20:20" x14ac:dyDescent="0.35">
      <c r="T161" t="str">
        <f t="shared" si="2"/>
        <v/>
      </c>
    </row>
    <row r="162" spans="20:20" x14ac:dyDescent="0.35">
      <c r="T162" t="str">
        <f t="shared" si="2"/>
        <v/>
      </c>
    </row>
    <row r="163" spans="20:20" x14ac:dyDescent="0.35">
      <c r="T163" t="str">
        <f t="shared" si="2"/>
        <v/>
      </c>
    </row>
    <row r="164" spans="20:20" x14ac:dyDescent="0.35">
      <c r="T164" t="str">
        <f t="shared" si="2"/>
        <v/>
      </c>
    </row>
    <row r="165" spans="20:20" x14ac:dyDescent="0.35">
      <c r="T165" t="str">
        <f t="shared" si="2"/>
        <v/>
      </c>
    </row>
    <row r="166" spans="20:20" x14ac:dyDescent="0.35">
      <c r="T166" t="str">
        <f t="shared" si="2"/>
        <v/>
      </c>
    </row>
    <row r="167" spans="20:20" x14ac:dyDescent="0.35">
      <c r="T167" t="str">
        <f t="shared" si="2"/>
        <v/>
      </c>
    </row>
    <row r="168" spans="20:20" x14ac:dyDescent="0.35">
      <c r="T168" t="str">
        <f t="shared" si="2"/>
        <v/>
      </c>
    </row>
    <row r="169" spans="20:20" x14ac:dyDescent="0.35">
      <c r="T169" t="str">
        <f t="shared" si="2"/>
        <v/>
      </c>
    </row>
    <row r="170" spans="20:20" x14ac:dyDescent="0.35">
      <c r="T170" t="str">
        <f t="shared" si="2"/>
        <v/>
      </c>
    </row>
    <row r="171" spans="20:20" x14ac:dyDescent="0.35">
      <c r="T171" t="str">
        <f t="shared" si="2"/>
        <v/>
      </c>
    </row>
    <row r="172" spans="20:20" x14ac:dyDescent="0.35">
      <c r="T172" t="str">
        <f t="shared" si="2"/>
        <v/>
      </c>
    </row>
    <row r="173" spans="20:20" x14ac:dyDescent="0.35">
      <c r="T173" t="str">
        <f t="shared" si="2"/>
        <v/>
      </c>
    </row>
    <row r="174" spans="20:20" x14ac:dyDescent="0.35">
      <c r="T174" t="str">
        <f t="shared" si="2"/>
        <v/>
      </c>
    </row>
    <row r="175" spans="20:20" x14ac:dyDescent="0.35">
      <c r="T175" t="str">
        <f t="shared" si="2"/>
        <v/>
      </c>
    </row>
    <row r="176" spans="20:20" x14ac:dyDescent="0.35">
      <c r="T176" t="str">
        <f t="shared" si="2"/>
        <v/>
      </c>
    </row>
    <row r="177" spans="20:20" x14ac:dyDescent="0.35">
      <c r="T177" t="str">
        <f t="shared" si="2"/>
        <v/>
      </c>
    </row>
    <row r="178" spans="20:20" x14ac:dyDescent="0.35">
      <c r="T178" t="str">
        <f t="shared" si="2"/>
        <v/>
      </c>
    </row>
    <row r="179" spans="20:20" x14ac:dyDescent="0.35">
      <c r="T179" t="str">
        <f t="shared" si="2"/>
        <v/>
      </c>
    </row>
    <row r="180" spans="20:20" x14ac:dyDescent="0.35">
      <c r="T180" t="str">
        <f t="shared" si="2"/>
        <v/>
      </c>
    </row>
    <row r="181" spans="20:20" x14ac:dyDescent="0.35">
      <c r="T181" t="str">
        <f t="shared" si="2"/>
        <v/>
      </c>
    </row>
    <row r="182" spans="20:20" x14ac:dyDescent="0.35">
      <c r="T182" t="str">
        <f t="shared" si="2"/>
        <v/>
      </c>
    </row>
    <row r="183" spans="20:20" x14ac:dyDescent="0.35">
      <c r="T183" t="str">
        <f t="shared" si="2"/>
        <v/>
      </c>
    </row>
    <row r="184" spans="20:20" x14ac:dyDescent="0.35">
      <c r="T184" t="str">
        <f t="shared" si="2"/>
        <v/>
      </c>
    </row>
    <row r="185" spans="20:20" x14ac:dyDescent="0.35">
      <c r="T185" t="str">
        <f t="shared" si="2"/>
        <v/>
      </c>
    </row>
    <row r="186" spans="20:20" x14ac:dyDescent="0.35">
      <c r="T186" t="str">
        <f t="shared" si="2"/>
        <v/>
      </c>
    </row>
    <row r="187" spans="20:20" x14ac:dyDescent="0.35">
      <c r="T187" t="str">
        <f t="shared" si="2"/>
        <v/>
      </c>
    </row>
    <row r="188" spans="20:20" x14ac:dyDescent="0.35">
      <c r="T188" t="str">
        <f t="shared" si="2"/>
        <v/>
      </c>
    </row>
    <row r="189" spans="20:20" x14ac:dyDescent="0.35">
      <c r="T189" t="str">
        <f t="shared" si="2"/>
        <v/>
      </c>
    </row>
    <row r="190" spans="20:20" x14ac:dyDescent="0.35">
      <c r="T190" t="str">
        <f t="shared" si="2"/>
        <v/>
      </c>
    </row>
    <row r="191" spans="20:20" x14ac:dyDescent="0.35">
      <c r="T191" t="str">
        <f t="shared" si="2"/>
        <v/>
      </c>
    </row>
    <row r="192" spans="20:20" x14ac:dyDescent="0.35">
      <c r="T192" t="str">
        <f t="shared" si="2"/>
        <v/>
      </c>
    </row>
    <row r="193" spans="20:20" x14ac:dyDescent="0.35">
      <c r="T193" t="str">
        <f t="shared" si="2"/>
        <v/>
      </c>
    </row>
    <row r="194" spans="20:20" x14ac:dyDescent="0.35">
      <c r="T194" t="str">
        <f t="shared" ref="T194:T257" si="3">IF(P194="","",YEAR(P194))</f>
        <v/>
      </c>
    </row>
    <row r="195" spans="20:20" x14ac:dyDescent="0.35">
      <c r="T195" t="str">
        <f t="shared" si="3"/>
        <v/>
      </c>
    </row>
    <row r="196" spans="20:20" x14ac:dyDescent="0.35">
      <c r="T196" t="str">
        <f t="shared" si="3"/>
        <v/>
      </c>
    </row>
    <row r="197" spans="20:20" x14ac:dyDescent="0.35">
      <c r="T197" t="str">
        <f t="shared" si="3"/>
        <v/>
      </c>
    </row>
    <row r="198" spans="20:20" x14ac:dyDescent="0.35">
      <c r="T198" t="str">
        <f t="shared" si="3"/>
        <v/>
      </c>
    </row>
    <row r="199" spans="20:20" x14ac:dyDescent="0.35">
      <c r="T199" t="str">
        <f t="shared" si="3"/>
        <v/>
      </c>
    </row>
    <row r="200" spans="20:20" x14ac:dyDescent="0.35">
      <c r="T200" t="str">
        <f t="shared" si="3"/>
        <v/>
      </c>
    </row>
    <row r="201" spans="20:20" x14ac:dyDescent="0.35">
      <c r="T201" t="str">
        <f t="shared" si="3"/>
        <v/>
      </c>
    </row>
    <row r="202" spans="20:20" x14ac:dyDescent="0.35">
      <c r="T202" t="str">
        <f t="shared" si="3"/>
        <v/>
      </c>
    </row>
    <row r="203" spans="20:20" x14ac:dyDescent="0.35">
      <c r="T203" t="str">
        <f t="shared" si="3"/>
        <v/>
      </c>
    </row>
    <row r="204" spans="20:20" x14ac:dyDescent="0.35">
      <c r="T204" t="str">
        <f t="shared" si="3"/>
        <v/>
      </c>
    </row>
    <row r="205" spans="20:20" x14ac:dyDescent="0.35">
      <c r="T205" t="str">
        <f t="shared" si="3"/>
        <v/>
      </c>
    </row>
    <row r="206" spans="20:20" x14ac:dyDescent="0.35">
      <c r="T206" t="str">
        <f t="shared" si="3"/>
        <v/>
      </c>
    </row>
    <row r="207" spans="20:20" x14ac:dyDescent="0.35">
      <c r="T207" t="str">
        <f t="shared" si="3"/>
        <v/>
      </c>
    </row>
    <row r="208" spans="20:20" x14ac:dyDescent="0.35">
      <c r="T208" t="str">
        <f t="shared" si="3"/>
        <v/>
      </c>
    </row>
    <row r="209" spans="20:20" x14ac:dyDescent="0.35">
      <c r="T209" t="str">
        <f t="shared" si="3"/>
        <v/>
      </c>
    </row>
    <row r="210" spans="20:20" x14ac:dyDescent="0.35">
      <c r="T210" t="str">
        <f t="shared" si="3"/>
        <v/>
      </c>
    </row>
    <row r="211" spans="20:20" x14ac:dyDescent="0.35">
      <c r="T211" t="str">
        <f t="shared" si="3"/>
        <v/>
      </c>
    </row>
    <row r="212" spans="20:20" x14ac:dyDescent="0.35">
      <c r="T212" t="str">
        <f t="shared" si="3"/>
        <v/>
      </c>
    </row>
    <row r="213" spans="20:20" x14ac:dyDescent="0.35">
      <c r="T213" t="str">
        <f t="shared" si="3"/>
        <v/>
      </c>
    </row>
    <row r="214" spans="20:20" x14ac:dyDescent="0.35">
      <c r="T214" t="str">
        <f t="shared" si="3"/>
        <v/>
      </c>
    </row>
    <row r="215" spans="20:20" x14ac:dyDescent="0.35">
      <c r="T215" t="str">
        <f t="shared" si="3"/>
        <v/>
      </c>
    </row>
    <row r="216" spans="20:20" x14ac:dyDescent="0.35">
      <c r="T216" t="str">
        <f t="shared" si="3"/>
        <v/>
      </c>
    </row>
    <row r="217" spans="20:20" x14ac:dyDescent="0.35">
      <c r="T217" t="str">
        <f t="shared" si="3"/>
        <v/>
      </c>
    </row>
    <row r="218" spans="20:20" x14ac:dyDescent="0.35">
      <c r="T218" t="str">
        <f t="shared" si="3"/>
        <v/>
      </c>
    </row>
    <row r="219" spans="20:20" x14ac:dyDescent="0.35">
      <c r="T219" t="str">
        <f t="shared" si="3"/>
        <v/>
      </c>
    </row>
    <row r="220" spans="20:20" x14ac:dyDescent="0.35">
      <c r="T220" t="str">
        <f t="shared" si="3"/>
        <v/>
      </c>
    </row>
    <row r="221" spans="20:20" x14ac:dyDescent="0.35">
      <c r="T221" t="str">
        <f t="shared" si="3"/>
        <v/>
      </c>
    </row>
    <row r="222" spans="20:20" x14ac:dyDescent="0.35">
      <c r="T222" t="str">
        <f t="shared" si="3"/>
        <v/>
      </c>
    </row>
    <row r="223" spans="20:20" x14ac:dyDescent="0.35">
      <c r="T223" t="str">
        <f t="shared" si="3"/>
        <v/>
      </c>
    </row>
    <row r="224" spans="20:20" x14ac:dyDescent="0.35">
      <c r="T224" t="str">
        <f t="shared" si="3"/>
        <v/>
      </c>
    </row>
    <row r="225" spans="20:20" x14ac:dyDescent="0.35">
      <c r="T225" t="str">
        <f t="shared" si="3"/>
        <v/>
      </c>
    </row>
    <row r="226" spans="20:20" x14ac:dyDescent="0.35">
      <c r="T226" t="str">
        <f t="shared" si="3"/>
        <v/>
      </c>
    </row>
    <row r="227" spans="20:20" x14ac:dyDescent="0.35">
      <c r="T227" t="str">
        <f t="shared" si="3"/>
        <v/>
      </c>
    </row>
    <row r="228" spans="20:20" x14ac:dyDescent="0.35">
      <c r="T228" t="str">
        <f t="shared" si="3"/>
        <v/>
      </c>
    </row>
    <row r="229" spans="20:20" x14ac:dyDescent="0.35">
      <c r="T229" t="str">
        <f t="shared" si="3"/>
        <v/>
      </c>
    </row>
    <row r="230" spans="20:20" x14ac:dyDescent="0.35">
      <c r="T230" t="str">
        <f t="shared" si="3"/>
        <v/>
      </c>
    </row>
    <row r="231" spans="20:20" x14ac:dyDescent="0.35">
      <c r="T231" t="str">
        <f t="shared" si="3"/>
        <v/>
      </c>
    </row>
    <row r="232" spans="20:20" x14ac:dyDescent="0.35">
      <c r="T232" t="str">
        <f t="shared" si="3"/>
        <v/>
      </c>
    </row>
    <row r="233" spans="20:20" x14ac:dyDescent="0.35">
      <c r="T233" t="str">
        <f t="shared" si="3"/>
        <v/>
      </c>
    </row>
    <row r="234" spans="20:20" x14ac:dyDescent="0.35">
      <c r="T234" t="str">
        <f t="shared" si="3"/>
        <v/>
      </c>
    </row>
    <row r="235" spans="20:20" x14ac:dyDescent="0.35">
      <c r="T235" t="str">
        <f t="shared" si="3"/>
        <v/>
      </c>
    </row>
    <row r="236" spans="20:20" x14ac:dyDescent="0.35">
      <c r="T236" t="str">
        <f t="shared" si="3"/>
        <v/>
      </c>
    </row>
    <row r="237" spans="20:20" x14ac:dyDescent="0.35">
      <c r="T237" t="str">
        <f t="shared" si="3"/>
        <v/>
      </c>
    </row>
    <row r="238" spans="20:20" x14ac:dyDescent="0.35">
      <c r="T238" t="str">
        <f t="shared" si="3"/>
        <v/>
      </c>
    </row>
    <row r="239" spans="20:20" x14ac:dyDescent="0.35">
      <c r="T239" t="str">
        <f t="shared" si="3"/>
        <v/>
      </c>
    </row>
    <row r="240" spans="20:20" x14ac:dyDescent="0.35">
      <c r="T240" t="str">
        <f t="shared" si="3"/>
        <v/>
      </c>
    </row>
    <row r="241" spans="20:20" x14ac:dyDescent="0.35">
      <c r="T241" t="str">
        <f t="shared" si="3"/>
        <v/>
      </c>
    </row>
    <row r="242" spans="20:20" x14ac:dyDescent="0.35">
      <c r="T242" t="str">
        <f t="shared" si="3"/>
        <v/>
      </c>
    </row>
    <row r="243" spans="20:20" x14ac:dyDescent="0.35">
      <c r="T243" t="str">
        <f t="shared" si="3"/>
        <v/>
      </c>
    </row>
    <row r="244" spans="20:20" x14ac:dyDescent="0.35">
      <c r="T244" t="str">
        <f t="shared" si="3"/>
        <v/>
      </c>
    </row>
    <row r="245" spans="20:20" x14ac:dyDescent="0.35">
      <c r="T245" t="str">
        <f t="shared" si="3"/>
        <v/>
      </c>
    </row>
    <row r="246" spans="20:20" x14ac:dyDescent="0.35">
      <c r="T246" t="str">
        <f t="shared" si="3"/>
        <v/>
      </c>
    </row>
    <row r="247" spans="20:20" x14ac:dyDescent="0.35">
      <c r="T247" t="str">
        <f t="shared" si="3"/>
        <v/>
      </c>
    </row>
    <row r="248" spans="20:20" x14ac:dyDescent="0.35">
      <c r="T248" t="str">
        <f t="shared" si="3"/>
        <v/>
      </c>
    </row>
    <row r="249" spans="20:20" x14ac:dyDescent="0.35">
      <c r="T249" t="str">
        <f t="shared" si="3"/>
        <v/>
      </c>
    </row>
    <row r="250" spans="20:20" x14ac:dyDescent="0.35">
      <c r="T250" t="str">
        <f t="shared" si="3"/>
        <v/>
      </c>
    </row>
    <row r="251" spans="20:20" x14ac:dyDescent="0.35">
      <c r="T251" t="str">
        <f t="shared" si="3"/>
        <v/>
      </c>
    </row>
    <row r="252" spans="20:20" x14ac:dyDescent="0.35">
      <c r="T252" t="str">
        <f t="shared" si="3"/>
        <v/>
      </c>
    </row>
    <row r="253" spans="20:20" x14ac:dyDescent="0.35">
      <c r="T253" t="str">
        <f t="shared" si="3"/>
        <v/>
      </c>
    </row>
    <row r="254" spans="20:20" x14ac:dyDescent="0.35">
      <c r="T254" t="str">
        <f t="shared" si="3"/>
        <v/>
      </c>
    </row>
    <row r="255" spans="20:20" x14ac:dyDescent="0.35">
      <c r="T255" t="str">
        <f t="shared" si="3"/>
        <v/>
      </c>
    </row>
    <row r="256" spans="20:20" x14ac:dyDescent="0.35">
      <c r="T256" t="str">
        <f t="shared" si="3"/>
        <v/>
      </c>
    </row>
    <row r="257" spans="20:20" x14ac:dyDescent="0.35">
      <c r="T257" t="str">
        <f t="shared" si="3"/>
        <v/>
      </c>
    </row>
    <row r="258" spans="20:20" x14ac:dyDescent="0.35">
      <c r="T258" t="str">
        <f t="shared" ref="T258:T321" si="4">IF(P258="","",YEAR(P258))</f>
        <v/>
      </c>
    </row>
    <row r="259" spans="20:20" x14ac:dyDescent="0.35">
      <c r="T259" t="str">
        <f t="shared" si="4"/>
        <v/>
      </c>
    </row>
    <row r="260" spans="20:20" x14ac:dyDescent="0.35">
      <c r="T260" t="str">
        <f t="shared" si="4"/>
        <v/>
      </c>
    </row>
    <row r="261" spans="20:20" x14ac:dyDescent="0.35">
      <c r="T261" t="str">
        <f t="shared" si="4"/>
        <v/>
      </c>
    </row>
    <row r="262" spans="20:20" x14ac:dyDescent="0.35">
      <c r="T262" t="str">
        <f t="shared" si="4"/>
        <v/>
      </c>
    </row>
    <row r="263" spans="20:20" x14ac:dyDescent="0.35">
      <c r="T263" t="str">
        <f t="shared" si="4"/>
        <v/>
      </c>
    </row>
    <row r="264" spans="20:20" x14ac:dyDescent="0.35">
      <c r="T264" t="str">
        <f t="shared" si="4"/>
        <v/>
      </c>
    </row>
    <row r="265" spans="20:20" x14ac:dyDescent="0.35">
      <c r="T265" t="str">
        <f t="shared" si="4"/>
        <v/>
      </c>
    </row>
    <row r="266" spans="20:20" x14ac:dyDescent="0.35">
      <c r="T266" t="str">
        <f t="shared" si="4"/>
        <v/>
      </c>
    </row>
    <row r="267" spans="20:20" x14ac:dyDescent="0.35">
      <c r="T267" t="str">
        <f t="shared" si="4"/>
        <v/>
      </c>
    </row>
    <row r="268" spans="20:20" x14ac:dyDescent="0.35">
      <c r="T268" t="str">
        <f t="shared" si="4"/>
        <v/>
      </c>
    </row>
    <row r="269" spans="20:20" x14ac:dyDescent="0.35">
      <c r="T269" t="str">
        <f t="shared" si="4"/>
        <v/>
      </c>
    </row>
    <row r="270" spans="20:20" x14ac:dyDescent="0.35">
      <c r="T270" t="str">
        <f t="shared" si="4"/>
        <v/>
      </c>
    </row>
    <row r="271" spans="20:20" x14ac:dyDescent="0.35">
      <c r="T271" t="str">
        <f t="shared" si="4"/>
        <v/>
      </c>
    </row>
    <row r="272" spans="20:20" x14ac:dyDescent="0.35">
      <c r="T272" t="str">
        <f t="shared" si="4"/>
        <v/>
      </c>
    </row>
    <row r="273" spans="20:20" x14ac:dyDescent="0.35">
      <c r="T273" t="str">
        <f t="shared" si="4"/>
        <v/>
      </c>
    </row>
    <row r="274" spans="20:20" x14ac:dyDescent="0.35">
      <c r="T274" t="str">
        <f t="shared" si="4"/>
        <v/>
      </c>
    </row>
    <row r="275" spans="20:20" x14ac:dyDescent="0.35">
      <c r="T275" t="str">
        <f t="shared" si="4"/>
        <v/>
      </c>
    </row>
    <row r="276" spans="20:20" x14ac:dyDescent="0.35">
      <c r="T276" t="str">
        <f t="shared" si="4"/>
        <v/>
      </c>
    </row>
    <row r="277" spans="20:20" x14ac:dyDescent="0.35">
      <c r="T277" t="str">
        <f t="shared" si="4"/>
        <v/>
      </c>
    </row>
    <row r="278" spans="20:20" x14ac:dyDescent="0.35">
      <c r="T278" t="str">
        <f t="shared" si="4"/>
        <v/>
      </c>
    </row>
    <row r="279" spans="20:20" x14ac:dyDescent="0.35">
      <c r="T279" t="str">
        <f t="shared" si="4"/>
        <v/>
      </c>
    </row>
    <row r="280" spans="20:20" x14ac:dyDescent="0.35">
      <c r="T280" t="str">
        <f t="shared" si="4"/>
        <v/>
      </c>
    </row>
    <row r="281" spans="20:20" x14ac:dyDescent="0.35">
      <c r="T281" t="str">
        <f t="shared" si="4"/>
        <v/>
      </c>
    </row>
    <row r="282" spans="20:20" x14ac:dyDescent="0.35">
      <c r="T282" t="str">
        <f t="shared" si="4"/>
        <v/>
      </c>
    </row>
    <row r="283" spans="20:20" x14ac:dyDescent="0.35">
      <c r="T283" t="str">
        <f t="shared" si="4"/>
        <v/>
      </c>
    </row>
    <row r="284" spans="20:20" x14ac:dyDescent="0.35">
      <c r="T284" t="str">
        <f t="shared" si="4"/>
        <v/>
      </c>
    </row>
    <row r="285" spans="20:20" x14ac:dyDescent="0.35">
      <c r="T285" t="str">
        <f t="shared" si="4"/>
        <v/>
      </c>
    </row>
    <row r="286" spans="20:20" x14ac:dyDescent="0.35">
      <c r="T286" t="str">
        <f t="shared" si="4"/>
        <v/>
      </c>
    </row>
    <row r="287" spans="20:20" x14ac:dyDescent="0.35">
      <c r="T287" t="str">
        <f t="shared" si="4"/>
        <v/>
      </c>
    </row>
    <row r="288" spans="20:20" x14ac:dyDescent="0.35">
      <c r="T288" t="str">
        <f t="shared" si="4"/>
        <v/>
      </c>
    </row>
    <row r="289" spans="20:20" x14ac:dyDescent="0.35">
      <c r="T289" t="str">
        <f t="shared" si="4"/>
        <v/>
      </c>
    </row>
    <row r="290" spans="20:20" x14ac:dyDescent="0.35">
      <c r="T290" t="str">
        <f t="shared" si="4"/>
        <v/>
      </c>
    </row>
    <row r="291" spans="20:20" x14ac:dyDescent="0.35">
      <c r="T291" t="str">
        <f t="shared" si="4"/>
        <v/>
      </c>
    </row>
    <row r="292" spans="20:20" x14ac:dyDescent="0.35">
      <c r="T292" t="str">
        <f t="shared" si="4"/>
        <v/>
      </c>
    </row>
    <row r="293" spans="20:20" x14ac:dyDescent="0.35">
      <c r="T293" t="str">
        <f t="shared" si="4"/>
        <v/>
      </c>
    </row>
    <row r="294" spans="20:20" x14ac:dyDescent="0.35">
      <c r="T294" t="str">
        <f t="shared" si="4"/>
        <v/>
      </c>
    </row>
    <row r="295" spans="20:20" x14ac:dyDescent="0.35">
      <c r="T295" t="str">
        <f t="shared" si="4"/>
        <v/>
      </c>
    </row>
    <row r="296" spans="20:20" x14ac:dyDescent="0.35">
      <c r="T296" t="str">
        <f t="shared" si="4"/>
        <v/>
      </c>
    </row>
    <row r="297" spans="20:20" x14ac:dyDescent="0.35">
      <c r="T297" t="str">
        <f t="shared" si="4"/>
        <v/>
      </c>
    </row>
    <row r="298" spans="20:20" x14ac:dyDescent="0.35">
      <c r="T298" t="str">
        <f t="shared" si="4"/>
        <v/>
      </c>
    </row>
    <row r="299" spans="20:20" x14ac:dyDescent="0.35">
      <c r="T299" t="str">
        <f t="shared" si="4"/>
        <v/>
      </c>
    </row>
    <row r="300" spans="20:20" x14ac:dyDescent="0.35">
      <c r="T300" t="str">
        <f t="shared" si="4"/>
        <v/>
      </c>
    </row>
    <row r="301" spans="20:20" x14ac:dyDescent="0.35">
      <c r="T301" t="str">
        <f t="shared" si="4"/>
        <v/>
      </c>
    </row>
    <row r="302" spans="20:20" x14ac:dyDescent="0.35">
      <c r="T302" t="str">
        <f t="shared" si="4"/>
        <v/>
      </c>
    </row>
    <row r="303" spans="20:20" x14ac:dyDescent="0.35">
      <c r="T303" t="str">
        <f t="shared" si="4"/>
        <v/>
      </c>
    </row>
    <row r="304" spans="20:20" x14ac:dyDescent="0.35">
      <c r="T304" t="str">
        <f t="shared" si="4"/>
        <v/>
      </c>
    </row>
    <row r="305" spans="20:20" x14ac:dyDescent="0.35">
      <c r="T305" t="str">
        <f t="shared" si="4"/>
        <v/>
      </c>
    </row>
    <row r="306" spans="20:20" x14ac:dyDescent="0.35">
      <c r="T306" t="str">
        <f t="shared" si="4"/>
        <v/>
      </c>
    </row>
    <row r="307" spans="20:20" x14ac:dyDescent="0.35">
      <c r="T307" t="str">
        <f t="shared" si="4"/>
        <v/>
      </c>
    </row>
    <row r="308" spans="20:20" x14ac:dyDescent="0.35">
      <c r="T308" t="str">
        <f t="shared" si="4"/>
        <v/>
      </c>
    </row>
    <row r="309" spans="20:20" x14ac:dyDescent="0.35">
      <c r="T309" t="str">
        <f t="shared" si="4"/>
        <v/>
      </c>
    </row>
    <row r="310" spans="20:20" x14ac:dyDescent="0.35">
      <c r="T310" t="str">
        <f t="shared" si="4"/>
        <v/>
      </c>
    </row>
    <row r="311" spans="20:20" x14ac:dyDescent="0.35">
      <c r="T311" t="str">
        <f t="shared" si="4"/>
        <v/>
      </c>
    </row>
    <row r="312" spans="20:20" x14ac:dyDescent="0.35">
      <c r="T312" t="str">
        <f t="shared" si="4"/>
        <v/>
      </c>
    </row>
    <row r="313" spans="20:20" x14ac:dyDescent="0.35">
      <c r="T313" t="str">
        <f t="shared" si="4"/>
        <v/>
      </c>
    </row>
    <row r="314" spans="20:20" x14ac:dyDescent="0.35">
      <c r="T314" t="str">
        <f t="shared" si="4"/>
        <v/>
      </c>
    </row>
    <row r="315" spans="20:20" x14ac:dyDescent="0.35">
      <c r="T315" t="str">
        <f t="shared" si="4"/>
        <v/>
      </c>
    </row>
    <row r="316" spans="20:20" x14ac:dyDescent="0.35">
      <c r="T316" t="str">
        <f t="shared" si="4"/>
        <v/>
      </c>
    </row>
    <row r="317" spans="20:20" x14ac:dyDescent="0.35">
      <c r="T317" t="str">
        <f t="shared" si="4"/>
        <v/>
      </c>
    </row>
    <row r="318" spans="20:20" x14ac:dyDescent="0.35">
      <c r="T318" t="str">
        <f t="shared" si="4"/>
        <v/>
      </c>
    </row>
    <row r="319" spans="20:20" x14ac:dyDescent="0.35">
      <c r="T319" t="str">
        <f t="shared" si="4"/>
        <v/>
      </c>
    </row>
    <row r="320" spans="20:20" x14ac:dyDescent="0.35">
      <c r="T320" t="str">
        <f t="shared" si="4"/>
        <v/>
      </c>
    </row>
    <row r="321" spans="20:20" x14ac:dyDescent="0.35">
      <c r="T321" t="str">
        <f t="shared" si="4"/>
        <v/>
      </c>
    </row>
    <row r="322" spans="20:20" x14ac:dyDescent="0.35">
      <c r="T322" t="str">
        <f t="shared" ref="T322:T385" si="5">IF(P322="","",YEAR(P322))</f>
        <v/>
      </c>
    </row>
    <row r="323" spans="20:20" x14ac:dyDescent="0.35">
      <c r="T323" t="str">
        <f t="shared" si="5"/>
        <v/>
      </c>
    </row>
    <row r="324" spans="20:20" x14ac:dyDescent="0.35">
      <c r="T324" t="str">
        <f t="shared" si="5"/>
        <v/>
      </c>
    </row>
    <row r="325" spans="20:20" x14ac:dyDescent="0.35">
      <c r="T325" t="str">
        <f t="shared" si="5"/>
        <v/>
      </c>
    </row>
    <row r="326" spans="20:20" x14ac:dyDescent="0.35">
      <c r="T326" t="str">
        <f t="shared" si="5"/>
        <v/>
      </c>
    </row>
    <row r="327" spans="20:20" x14ac:dyDescent="0.35">
      <c r="T327" t="str">
        <f t="shared" si="5"/>
        <v/>
      </c>
    </row>
    <row r="328" spans="20:20" x14ac:dyDescent="0.35">
      <c r="T328" t="str">
        <f t="shared" si="5"/>
        <v/>
      </c>
    </row>
    <row r="329" spans="20:20" x14ac:dyDescent="0.35">
      <c r="T329" t="str">
        <f t="shared" si="5"/>
        <v/>
      </c>
    </row>
    <row r="330" spans="20:20" x14ac:dyDescent="0.35">
      <c r="T330" t="str">
        <f t="shared" si="5"/>
        <v/>
      </c>
    </row>
    <row r="331" spans="20:20" x14ac:dyDescent="0.35">
      <c r="T331" t="str">
        <f t="shared" si="5"/>
        <v/>
      </c>
    </row>
    <row r="332" spans="20:20" x14ac:dyDescent="0.35">
      <c r="T332" t="str">
        <f t="shared" si="5"/>
        <v/>
      </c>
    </row>
    <row r="333" spans="20:20" x14ac:dyDescent="0.35">
      <c r="T333" t="str">
        <f t="shared" si="5"/>
        <v/>
      </c>
    </row>
    <row r="334" spans="20:20" x14ac:dyDescent="0.35">
      <c r="T334" t="str">
        <f t="shared" si="5"/>
        <v/>
      </c>
    </row>
    <row r="335" spans="20:20" x14ac:dyDescent="0.35">
      <c r="T335" t="str">
        <f t="shared" si="5"/>
        <v/>
      </c>
    </row>
    <row r="336" spans="20:20" x14ac:dyDescent="0.35">
      <c r="T336" t="str">
        <f t="shared" si="5"/>
        <v/>
      </c>
    </row>
    <row r="337" spans="20:20" x14ac:dyDescent="0.35">
      <c r="T337" t="str">
        <f t="shared" si="5"/>
        <v/>
      </c>
    </row>
    <row r="338" spans="20:20" x14ac:dyDescent="0.35">
      <c r="T338" t="str">
        <f t="shared" si="5"/>
        <v/>
      </c>
    </row>
    <row r="339" spans="20:20" x14ac:dyDescent="0.35">
      <c r="T339" t="str">
        <f t="shared" si="5"/>
        <v/>
      </c>
    </row>
    <row r="340" spans="20:20" x14ac:dyDescent="0.35">
      <c r="T340" t="str">
        <f t="shared" si="5"/>
        <v/>
      </c>
    </row>
    <row r="341" spans="20:20" x14ac:dyDescent="0.35">
      <c r="T341" t="str">
        <f t="shared" si="5"/>
        <v/>
      </c>
    </row>
    <row r="342" spans="20:20" x14ac:dyDescent="0.35">
      <c r="T342" t="str">
        <f t="shared" si="5"/>
        <v/>
      </c>
    </row>
    <row r="343" spans="20:20" x14ac:dyDescent="0.35">
      <c r="T343" t="str">
        <f t="shared" si="5"/>
        <v/>
      </c>
    </row>
    <row r="344" spans="20:20" x14ac:dyDescent="0.35">
      <c r="T344" t="str">
        <f t="shared" si="5"/>
        <v/>
      </c>
    </row>
    <row r="345" spans="20:20" x14ac:dyDescent="0.35">
      <c r="T345" t="str">
        <f t="shared" si="5"/>
        <v/>
      </c>
    </row>
    <row r="346" spans="20:20" x14ac:dyDescent="0.35">
      <c r="T346" t="str">
        <f t="shared" si="5"/>
        <v/>
      </c>
    </row>
    <row r="347" spans="20:20" x14ac:dyDescent="0.35">
      <c r="T347" t="str">
        <f t="shared" si="5"/>
        <v/>
      </c>
    </row>
    <row r="348" spans="20:20" x14ac:dyDescent="0.35">
      <c r="T348" t="str">
        <f t="shared" si="5"/>
        <v/>
      </c>
    </row>
    <row r="349" spans="20:20" x14ac:dyDescent="0.35">
      <c r="T349" t="str">
        <f t="shared" si="5"/>
        <v/>
      </c>
    </row>
    <row r="350" spans="20:20" x14ac:dyDescent="0.35">
      <c r="T350" t="str">
        <f t="shared" si="5"/>
        <v/>
      </c>
    </row>
    <row r="351" spans="20:20" x14ac:dyDescent="0.35">
      <c r="T351" t="str">
        <f t="shared" si="5"/>
        <v/>
      </c>
    </row>
    <row r="352" spans="20:20" x14ac:dyDescent="0.35">
      <c r="T352" t="str">
        <f t="shared" si="5"/>
        <v/>
      </c>
    </row>
    <row r="353" spans="20:20" x14ac:dyDescent="0.35">
      <c r="T353" t="str">
        <f t="shared" si="5"/>
        <v/>
      </c>
    </row>
    <row r="354" spans="20:20" x14ac:dyDescent="0.35">
      <c r="T354" t="str">
        <f t="shared" si="5"/>
        <v/>
      </c>
    </row>
    <row r="355" spans="20:20" x14ac:dyDescent="0.35">
      <c r="T355" t="str">
        <f t="shared" si="5"/>
        <v/>
      </c>
    </row>
    <row r="356" spans="20:20" x14ac:dyDescent="0.35">
      <c r="T356" t="str">
        <f t="shared" si="5"/>
        <v/>
      </c>
    </row>
    <row r="357" spans="20:20" x14ac:dyDescent="0.35">
      <c r="T357" t="str">
        <f t="shared" si="5"/>
        <v/>
      </c>
    </row>
    <row r="358" spans="20:20" x14ac:dyDescent="0.35">
      <c r="T358" t="str">
        <f t="shared" si="5"/>
        <v/>
      </c>
    </row>
    <row r="359" spans="20:20" x14ac:dyDescent="0.35">
      <c r="T359" t="str">
        <f t="shared" si="5"/>
        <v/>
      </c>
    </row>
    <row r="360" spans="20:20" x14ac:dyDescent="0.35">
      <c r="T360" t="str">
        <f t="shared" si="5"/>
        <v/>
      </c>
    </row>
    <row r="361" spans="20:20" x14ac:dyDescent="0.35">
      <c r="T361" t="str">
        <f t="shared" si="5"/>
        <v/>
      </c>
    </row>
    <row r="362" spans="20:20" x14ac:dyDescent="0.35">
      <c r="T362" t="str">
        <f t="shared" si="5"/>
        <v/>
      </c>
    </row>
    <row r="363" spans="20:20" x14ac:dyDescent="0.35">
      <c r="T363" t="str">
        <f t="shared" si="5"/>
        <v/>
      </c>
    </row>
    <row r="364" spans="20:20" x14ac:dyDescent="0.35">
      <c r="T364" t="str">
        <f t="shared" si="5"/>
        <v/>
      </c>
    </row>
    <row r="365" spans="20:20" x14ac:dyDescent="0.35">
      <c r="T365" t="str">
        <f t="shared" si="5"/>
        <v/>
      </c>
    </row>
    <row r="366" spans="20:20" x14ac:dyDescent="0.35">
      <c r="T366" t="str">
        <f t="shared" si="5"/>
        <v/>
      </c>
    </row>
    <row r="367" spans="20:20" x14ac:dyDescent="0.35">
      <c r="T367" t="str">
        <f t="shared" si="5"/>
        <v/>
      </c>
    </row>
    <row r="368" spans="20:20" x14ac:dyDescent="0.35">
      <c r="T368" t="str">
        <f t="shared" si="5"/>
        <v/>
      </c>
    </row>
    <row r="369" spans="20:20" x14ac:dyDescent="0.35">
      <c r="T369" t="str">
        <f t="shared" si="5"/>
        <v/>
      </c>
    </row>
    <row r="370" spans="20:20" x14ac:dyDescent="0.35">
      <c r="T370" t="str">
        <f t="shared" si="5"/>
        <v/>
      </c>
    </row>
    <row r="371" spans="20:20" x14ac:dyDescent="0.35">
      <c r="T371" t="str">
        <f t="shared" si="5"/>
        <v/>
      </c>
    </row>
    <row r="372" spans="20:20" x14ac:dyDescent="0.35">
      <c r="T372" t="str">
        <f t="shared" si="5"/>
        <v/>
      </c>
    </row>
    <row r="373" spans="20:20" x14ac:dyDescent="0.35">
      <c r="T373" t="str">
        <f t="shared" si="5"/>
        <v/>
      </c>
    </row>
    <row r="374" spans="20:20" x14ac:dyDescent="0.35">
      <c r="T374" t="str">
        <f t="shared" si="5"/>
        <v/>
      </c>
    </row>
    <row r="375" spans="20:20" x14ac:dyDescent="0.35">
      <c r="T375" t="str">
        <f t="shared" si="5"/>
        <v/>
      </c>
    </row>
    <row r="376" spans="20:20" x14ac:dyDescent="0.35">
      <c r="T376" t="str">
        <f t="shared" si="5"/>
        <v/>
      </c>
    </row>
    <row r="377" spans="20:20" x14ac:dyDescent="0.35">
      <c r="T377" t="str">
        <f t="shared" si="5"/>
        <v/>
      </c>
    </row>
    <row r="378" spans="20:20" x14ac:dyDescent="0.35">
      <c r="T378" t="str">
        <f t="shared" si="5"/>
        <v/>
      </c>
    </row>
    <row r="379" spans="20:20" x14ac:dyDescent="0.35">
      <c r="T379" t="str">
        <f t="shared" si="5"/>
        <v/>
      </c>
    </row>
    <row r="380" spans="20:20" x14ac:dyDescent="0.35">
      <c r="T380" t="str">
        <f t="shared" si="5"/>
        <v/>
      </c>
    </row>
    <row r="381" spans="20:20" x14ac:dyDescent="0.35">
      <c r="T381" t="str">
        <f t="shared" si="5"/>
        <v/>
      </c>
    </row>
    <row r="382" spans="20:20" x14ac:dyDescent="0.35">
      <c r="T382" t="str">
        <f t="shared" si="5"/>
        <v/>
      </c>
    </row>
    <row r="383" spans="20:20" x14ac:dyDescent="0.35">
      <c r="T383" t="str">
        <f t="shared" si="5"/>
        <v/>
      </c>
    </row>
    <row r="384" spans="20:20" x14ac:dyDescent="0.35">
      <c r="T384" t="str">
        <f t="shared" si="5"/>
        <v/>
      </c>
    </row>
    <row r="385" spans="20:20" x14ac:dyDescent="0.35">
      <c r="T385" t="str">
        <f t="shared" si="5"/>
        <v/>
      </c>
    </row>
    <row r="386" spans="20:20" x14ac:dyDescent="0.35">
      <c r="T386" t="str">
        <f t="shared" ref="T386:T449" si="6">IF(P386="","",YEAR(P386))</f>
        <v/>
      </c>
    </row>
    <row r="387" spans="20:20" x14ac:dyDescent="0.35">
      <c r="T387" t="str">
        <f t="shared" si="6"/>
        <v/>
      </c>
    </row>
    <row r="388" spans="20:20" x14ac:dyDescent="0.35">
      <c r="T388" t="str">
        <f t="shared" si="6"/>
        <v/>
      </c>
    </row>
    <row r="389" spans="20:20" x14ac:dyDescent="0.35">
      <c r="T389" t="str">
        <f t="shared" si="6"/>
        <v/>
      </c>
    </row>
    <row r="390" spans="20:20" x14ac:dyDescent="0.35">
      <c r="T390" t="str">
        <f t="shared" si="6"/>
        <v/>
      </c>
    </row>
    <row r="391" spans="20:20" x14ac:dyDescent="0.35">
      <c r="T391" t="str">
        <f t="shared" si="6"/>
        <v/>
      </c>
    </row>
    <row r="392" spans="20:20" x14ac:dyDescent="0.35">
      <c r="T392" t="str">
        <f t="shared" si="6"/>
        <v/>
      </c>
    </row>
    <row r="393" spans="20:20" x14ac:dyDescent="0.35">
      <c r="T393" t="str">
        <f t="shared" si="6"/>
        <v/>
      </c>
    </row>
    <row r="394" spans="20:20" x14ac:dyDescent="0.35">
      <c r="T394" t="str">
        <f t="shared" si="6"/>
        <v/>
      </c>
    </row>
    <row r="395" spans="20:20" x14ac:dyDescent="0.35">
      <c r="T395" t="str">
        <f t="shared" si="6"/>
        <v/>
      </c>
    </row>
    <row r="396" spans="20:20" x14ac:dyDescent="0.35">
      <c r="T396" t="str">
        <f t="shared" si="6"/>
        <v/>
      </c>
    </row>
    <row r="397" spans="20:20" x14ac:dyDescent="0.35">
      <c r="T397" t="str">
        <f t="shared" si="6"/>
        <v/>
      </c>
    </row>
    <row r="398" spans="20:20" x14ac:dyDescent="0.35">
      <c r="T398" t="str">
        <f t="shared" si="6"/>
        <v/>
      </c>
    </row>
    <row r="399" spans="20:20" x14ac:dyDescent="0.35">
      <c r="T399" t="str">
        <f t="shared" si="6"/>
        <v/>
      </c>
    </row>
    <row r="400" spans="20:20" x14ac:dyDescent="0.35">
      <c r="T400" t="str">
        <f t="shared" si="6"/>
        <v/>
      </c>
    </row>
    <row r="401" spans="20:20" x14ac:dyDescent="0.35">
      <c r="T401" t="str">
        <f t="shared" si="6"/>
        <v/>
      </c>
    </row>
    <row r="402" spans="20:20" x14ac:dyDescent="0.35">
      <c r="T402" t="str">
        <f t="shared" si="6"/>
        <v/>
      </c>
    </row>
    <row r="403" spans="20:20" x14ac:dyDescent="0.35">
      <c r="T403" t="str">
        <f t="shared" si="6"/>
        <v/>
      </c>
    </row>
    <row r="404" spans="20:20" x14ac:dyDescent="0.35">
      <c r="T404" t="str">
        <f t="shared" si="6"/>
        <v/>
      </c>
    </row>
    <row r="405" spans="20:20" x14ac:dyDescent="0.35">
      <c r="T405" t="str">
        <f t="shared" si="6"/>
        <v/>
      </c>
    </row>
    <row r="406" spans="20:20" x14ac:dyDescent="0.35">
      <c r="T406" t="str">
        <f t="shared" si="6"/>
        <v/>
      </c>
    </row>
    <row r="407" spans="20:20" x14ac:dyDescent="0.35">
      <c r="T407" t="str">
        <f t="shared" si="6"/>
        <v/>
      </c>
    </row>
    <row r="408" spans="20:20" x14ac:dyDescent="0.35">
      <c r="T408" t="str">
        <f t="shared" si="6"/>
        <v/>
      </c>
    </row>
    <row r="409" spans="20:20" x14ac:dyDescent="0.35">
      <c r="T409" t="str">
        <f t="shared" si="6"/>
        <v/>
      </c>
    </row>
    <row r="410" spans="20:20" x14ac:dyDescent="0.35">
      <c r="T410" t="str">
        <f t="shared" si="6"/>
        <v/>
      </c>
    </row>
    <row r="411" spans="20:20" x14ac:dyDescent="0.35">
      <c r="T411" t="str">
        <f t="shared" si="6"/>
        <v/>
      </c>
    </row>
    <row r="412" spans="20:20" x14ac:dyDescent="0.35">
      <c r="T412" t="str">
        <f t="shared" si="6"/>
        <v/>
      </c>
    </row>
    <row r="413" spans="20:20" x14ac:dyDescent="0.35">
      <c r="T413" t="str">
        <f t="shared" si="6"/>
        <v/>
      </c>
    </row>
    <row r="414" spans="20:20" x14ac:dyDescent="0.35">
      <c r="T414" t="str">
        <f t="shared" si="6"/>
        <v/>
      </c>
    </row>
    <row r="415" spans="20:20" x14ac:dyDescent="0.35">
      <c r="T415" t="str">
        <f t="shared" si="6"/>
        <v/>
      </c>
    </row>
    <row r="416" spans="20:20" x14ac:dyDescent="0.35">
      <c r="T416" t="str">
        <f t="shared" si="6"/>
        <v/>
      </c>
    </row>
    <row r="417" spans="20:20" x14ac:dyDescent="0.35">
      <c r="T417" t="str">
        <f t="shared" si="6"/>
        <v/>
      </c>
    </row>
    <row r="418" spans="20:20" x14ac:dyDescent="0.35">
      <c r="T418" t="str">
        <f t="shared" si="6"/>
        <v/>
      </c>
    </row>
    <row r="419" spans="20:20" x14ac:dyDescent="0.35">
      <c r="T419" t="str">
        <f t="shared" si="6"/>
        <v/>
      </c>
    </row>
    <row r="420" spans="20:20" x14ac:dyDescent="0.35">
      <c r="T420" t="str">
        <f t="shared" si="6"/>
        <v/>
      </c>
    </row>
    <row r="421" spans="20:20" x14ac:dyDescent="0.35">
      <c r="T421" t="str">
        <f t="shared" si="6"/>
        <v/>
      </c>
    </row>
    <row r="422" spans="20:20" x14ac:dyDescent="0.35">
      <c r="T422" t="str">
        <f t="shared" si="6"/>
        <v/>
      </c>
    </row>
    <row r="423" spans="20:20" x14ac:dyDescent="0.35">
      <c r="T423" t="str">
        <f t="shared" si="6"/>
        <v/>
      </c>
    </row>
    <row r="424" spans="20:20" x14ac:dyDescent="0.35">
      <c r="T424" t="str">
        <f t="shared" si="6"/>
        <v/>
      </c>
    </row>
    <row r="425" spans="20:20" x14ac:dyDescent="0.35">
      <c r="T425" t="str">
        <f t="shared" si="6"/>
        <v/>
      </c>
    </row>
    <row r="426" spans="20:20" x14ac:dyDescent="0.35">
      <c r="T426" t="str">
        <f t="shared" si="6"/>
        <v/>
      </c>
    </row>
    <row r="427" spans="20:20" x14ac:dyDescent="0.35">
      <c r="T427" t="str">
        <f t="shared" si="6"/>
        <v/>
      </c>
    </row>
    <row r="428" spans="20:20" x14ac:dyDescent="0.35">
      <c r="T428" t="str">
        <f t="shared" si="6"/>
        <v/>
      </c>
    </row>
    <row r="429" spans="20:20" x14ac:dyDescent="0.35">
      <c r="T429" t="str">
        <f t="shared" si="6"/>
        <v/>
      </c>
    </row>
    <row r="430" spans="20:20" x14ac:dyDescent="0.35">
      <c r="T430" t="str">
        <f t="shared" si="6"/>
        <v/>
      </c>
    </row>
    <row r="431" spans="20:20" x14ac:dyDescent="0.35">
      <c r="T431" t="str">
        <f t="shared" si="6"/>
        <v/>
      </c>
    </row>
    <row r="432" spans="20:20" x14ac:dyDescent="0.35">
      <c r="T432" t="str">
        <f t="shared" si="6"/>
        <v/>
      </c>
    </row>
    <row r="433" spans="20:20" x14ac:dyDescent="0.35">
      <c r="T433" t="str">
        <f t="shared" si="6"/>
        <v/>
      </c>
    </row>
    <row r="434" spans="20:20" x14ac:dyDescent="0.35">
      <c r="T434" t="str">
        <f t="shared" si="6"/>
        <v/>
      </c>
    </row>
    <row r="435" spans="20:20" x14ac:dyDescent="0.35">
      <c r="T435" t="str">
        <f t="shared" si="6"/>
        <v/>
      </c>
    </row>
    <row r="436" spans="20:20" x14ac:dyDescent="0.35">
      <c r="T436" t="str">
        <f t="shared" si="6"/>
        <v/>
      </c>
    </row>
    <row r="437" spans="20:20" x14ac:dyDescent="0.35">
      <c r="T437" t="str">
        <f t="shared" si="6"/>
        <v/>
      </c>
    </row>
    <row r="438" spans="20:20" x14ac:dyDescent="0.35">
      <c r="T438" t="str">
        <f t="shared" si="6"/>
        <v/>
      </c>
    </row>
    <row r="439" spans="20:20" x14ac:dyDescent="0.35">
      <c r="T439" t="str">
        <f t="shared" si="6"/>
        <v/>
      </c>
    </row>
    <row r="440" spans="20:20" x14ac:dyDescent="0.35">
      <c r="T440" t="str">
        <f t="shared" si="6"/>
        <v/>
      </c>
    </row>
    <row r="441" spans="20:20" x14ac:dyDescent="0.35">
      <c r="T441" t="str">
        <f t="shared" si="6"/>
        <v/>
      </c>
    </row>
    <row r="442" spans="20:20" x14ac:dyDescent="0.35">
      <c r="T442" t="str">
        <f t="shared" si="6"/>
        <v/>
      </c>
    </row>
    <row r="443" spans="20:20" x14ac:dyDescent="0.35">
      <c r="T443" t="str">
        <f t="shared" si="6"/>
        <v/>
      </c>
    </row>
    <row r="444" spans="20:20" x14ac:dyDescent="0.35">
      <c r="T444" t="str">
        <f t="shared" si="6"/>
        <v/>
      </c>
    </row>
    <row r="445" spans="20:20" x14ac:dyDescent="0.35">
      <c r="T445" t="str">
        <f t="shared" si="6"/>
        <v/>
      </c>
    </row>
    <row r="446" spans="20:20" x14ac:dyDescent="0.35">
      <c r="T446" t="str">
        <f t="shared" si="6"/>
        <v/>
      </c>
    </row>
    <row r="447" spans="20:20" x14ac:dyDescent="0.35">
      <c r="T447" t="str">
        <f t="shared" si="6"/>
        <v/>
      </c>
    </row>
    <row r="448" spans="20:20" x14ac:dyDescent="0.35">
      <c r="T448" t="str">
        <f t="shared" si="6"/>
        <v/>
      </c>
    </row>
    <row r="449" spans="20:20" x14ac:dyDescent="0.35">
      <c r="T449" t="str">
        <f t="shared" si="6"/>
        <v/>
      </c>
    </row>
    <row r="450" spans="20:20" x14ac:dyDescent="0.35">
      <c r="T450" t="str">
        <f t="shared" ref="T450:T513" si="7">IF(P450="","",YEAR(P450))</f>
        <v/>
      </c>
    </row>
    <row r="451" spans="20:20" x14ac:dyDescent="0.35">
      <c r="T451" t="str">
        <f t="shared" si="7"/>
        <v/>
      </c>
    </row>
    <row r="452" spans="20:20" x14ac:dyDescent="0.35">
      <c r="T452" t="str">
        <f t="shared" si="7"/>
        <v/>
      </c>
    </row>
    <row r="453" spans="20:20" x14ac:dyDescent="0.35">
      <c r="T453" t="str">
        <f t="shared" si="7"/>
        <v/>
      </c>
    </row>
    <row r="454" spans="20:20" x14ac:dyDescent="0.35">
      <c r="T454" t="str">
        <f t="shared" si="7"/>
        <v/>
      </c>
    </row>
    <row r="455" spans="20:20" x14ac:dyDescent="0.35">
      <c r="T455" t="str">
        <f t="shared" si="7"/>
        <v/>
      </c>
    </row>
    <row r="456" spans="20:20" x14ac:dyDescent="0.35">
      <c r="T456" t="str">
        <f t="shared" si="7"/>
        <v/>
      </c>
    </row>
    <row r="457" spans="20:20" x14ac:dyDescent="0.35">
      <c r="T457" t="str">
        <f t="shared" si="7"/>
        <v/>
      </c>
    </row>
    <row r="458" spans="20:20" x14ac:dyDescent="0.35">
      <c r="T458" t="str">
        <f t="shared" si="7"/>
        <v/>
      </c>
    </row>
    <row r="459" spans="20:20" x14ac:dyDescent="0.35">
      <c r="T459" t="str">
        <f t="shared" si="7"/>
        <v/>
      </c>
    </row>
    <row r="460" spans="20:20" x14ac:dyDescent="0.35">
      <c r="T460" t="str">
        <f t="shared" si="7"/>
        <v/>
      </c>
    </row>
    <row r="461" spans="20:20" x14ac:dyDescent="0.35">
      <c r="T461" t="str">
        <f t="shared" si="7"/>
        <v/>
      </c>
    </row>
    <row r="462" spans="20:20" x14ac:dyDescent="0.35">
      <c r="T462" t="str">
        <f t="shared" si="7"/>
        <v/>
      </c>
    </row>
    <row r="463" spans="20:20" x14ac:dyDescent="0.35">
      <c r="T463" t="str">
        <f t="shared" si="7"/>
        <v/>
      </c>
    </row>
    <row r="464" spans="20:20" x14ac:dyDescent="0.35">
      <c r="T464" t="str">
        <f t="shared" si="7"/>
        <v/>
      </c>
    </row>
    <row r="465" spans="20:20" x14ac:dyDescent="0.35">
      <c r="T465" t="str">
        <f t="shared" si="7"/>
        <v/>
      </c>
    </row>
    <row r="466" spans="20:20" x14ac:dyDescent="0.35">
      <c r="T466" t="str">
        <f t="shared" si="7"/>
        <v/>
      </c>
    </row>
    <row r="467" spans="20:20" x14ac:dyDescent="0.35">
      <c r="T467" t="str">
        <f t="shared" si="7"/>
        <v/>
      </c>
    </row>
    <row r="468" spans="20:20" x14ac:dyDescent="0.35">
      <c r="T468" t="str">
        <f t="shared" si="7"/>
        <v/>
      </c>
    </row>
    <row r="469" spans="20:20" x14ac:dyDescent="0.35">
      <c r="T469" t="str">
        <f t="shared" si="7"/>
        <v/>
      </c>
    </row>
    <row r="470" spans="20:20" x14ac:dyDescent="0.35">
      <c r="T470" t="str">
        <f t="shared" si="7"/>
        <v/>
      </c>
    </row>
    <row r="471" spans="20:20" x14ac:dyDescent="0.35">
      <c r="T471" t="str">
        <f t="shared" si="7"/>
        <v/>
      </c>
    </row>
    <row r="472" spans="20:20" x14ac:dyDescent="0.35">
      <c r="T472" t="str">
        <f t="shared" si="7"/>
        <v/>
      </c>
    </row>
    <row r="473" spans="20:20" x14ac:dyDescent="0.35">
      <c r="T473" t="str">
        <f t="shared" si="7"/>
        <v/>
      </c>
    </row>
    <row r="474" spans="20:20" x14ac:dyDescent="0.35">
      <c r="T474" t="str">
        <f t="shared" si="7"/>
        <v/>
      </c>
    </row>
    <row r="475" spans="20:20" x14ac:dyDescent="0.35">
      <c r="T475" t="str">
        <f t="shared" si="7"/>
        <v/>
      </c>
    </row>
    <row r="476" spans="20:20" x14ac:dyDescent="0.35">
      <c r="T476" t="str">
        <f t="shared" si="7"/>
        <v/>
      </c>
    </row>
    <row r="477" spans="20:20" x14ac:dyDescent="0.35">
      <c r="T477" t="str">
        <f t="shared" si="7"/>
        <v/>
      </c>
    </row>
    <row r="478" spans="20:20" x14ac:dyDescent="0.35">
      <c r="T478" t="str">
        <f t="shared" si="7"/>
        <v/>
      </c>
    </row>
    <row r="479" spans="20:20" x14ac:dyDescent="0.35">
      <c r="T479" t="str">
        <f t="shared" si="7"/>
        <v/>
      </c>
    </row>
    <row r="480" spans="20:20" x14ac:dyDescent="0.35">
      <c r="T480" t="str">
        <f t="shared" si="7"/>
        <v/>
      </c>
    </row>
    <row r="481" spans="20:20" x14ac:dyDescent="0.35">
      <c r="T481" t="str">
        <f t="shared" si="7"/>
        <v/>
      </c>
    </row>
    <row r="482" spans="20:20" x14ac:dyDescent="0.35">
      <c r="T482" t="str">
        <f t="shared" si="7"/>
        <v/>
      </c>
    </row>
    <row r="483" spans="20:20" x14ac:dyDescent="0.35">
      <c r="T483" t="str">
        <f t="shared" si="7"/>
        <v/>
      </c>
    </row>
    <row r="484" spans="20:20" x14ac:dyDescent="0.35">
      <c r="T484" t="str">
        <f t="shared" si="7"/>
        <v/>
      </c>
    </row>
    <row r="485" spans="20:20" x14ac:dyDescent="0.35">
      <c r="T485" t="str">
        <f t="shared" si="7"/>
        <v/>
      </c>
    </row>
    <row r="486" spans="20:20" x14ac:dyDescent="0.35">
      <c r="T486" t="str">
        <f t="shared" si="7"/>
        <v/>
      </c>
    </row>
    <row r="487" spans="20:20" x14ac:dyDescent="0.35">
      <c r="T487" t="str">
        <f t="shared" si="7"/>
        <v/>
      </c>
    </row>
    <row r="488" spans="20:20" x14ac:dyDescent="0.35">
      <c r="T488" t="str">
        <f t="shared" si="7"/>
        <v/>
      </c>
    </row>
    <row r="489" spans="20:20" x14ac:dyDescent="0.35">
      <c r="T489" t="str">
        <f t="shared" si="7"/>
        <v/>
      </c>
    </row>
    <row r="490" spans="20:20" x14ac:dyDescent="0.35">
      <c r="T490" t="str">
        <f t="shared" si="7"/>
        <v/>
      </c>
    </row>
    <row r="491" spans="20:20" x14ac:dyDescent="0.35">
      <c r="T491" t="str">
        <f t="shared" si="7"/>
        <v/>
      </c>
    </row>
    <row r="492" spans="20:20" x14ac:dyDescent="0.35">
      <c r="T492" t="str">
        <f t="shared" si="7"/>
        <v/>
      </c>
    </row>
    <row r="493" spans="20:20" x14ac:dyDescent="0.35">
      <c r="T493" t="str">
        <f t="shared" si="7"/>
        <v/>
      </c>
    </row>
    <row r="494" spans="20:20" x14ac:dyDescent="0.35">
      <c r="T494" t="str">
        <f t="shared" si="7"/>
        <v/>
      </c>
    </row>
    <row r="495" spans="20:20" x14ac:dyDescent="0.35">
      <c r="T495" t="str">
        <f t="shared" si="7"/>
        <v/>
      </c>
    </row>
    <row r="496" spans="20:20" x14ac:dyDescent="0.35">
      <c r="T496" t="str">
        <f t="shared" si="7"/>
        <v/>
      </c>
    </row>
    <row r="497" spans="20:20" x14ac:dyDescent="0.35">
      <c r="T497" t="str">
        <f t="shared" si="7"/>
        <v/>
      </c>
    </row>
    <row r="498" spans="20:20" x14ac:dyDescent="0.35">
      <c r="T498" t="str">
        <f t="shared" si="7"/>
        <v/>
      </c>
    </row>
    <row r="499" spans="20:20" x14ac:dyDescent="0.35">
      <c r="T499" t="str">
        <f t="shared" si="7"/>
        <v/>
      </c>
    </row>
    <row r="500" spans="20:20" x14ac:dyDescent="0.35">
      <c r="T500" t="str">
        <f t="shared" si="7"/>
        <v/>
      </c>
    </row>
    <row r="501" spans="20:20" x14ac:dyDescent="0.35">
      <c r="T501" t="str">
        <f t="shared" si="7"/>
        <v/>
      </c>
    </row>
    <row r="502" spans="20:20" x14ac:dyDescent="0.35">
      <c r="T502" t="str">
        <f t="shared" si="7"/>
        <v/>
      </c>
    </row>
    <row r="503" spans="20:20" x14ac:dyDescent="0.35">
      <c r="T503" t="str">
        <f t="shared" si="7"/>
        <v/>
      </c>
    </row>
    <row r="504" spans="20:20" x14ac:dyDescent="0.35">
      <c r="T504" t="str">
        <f t="shared" si="7"/>
        <v/>
      </c>
    </row>
    <row r="505" spans="20:20" x14ac:dyDescent="0.35">
      <c r="T505" t="str">
        <f t="shared" si="7"/>
        <v/>
      </c>
    </row>
    <row r="506" spans="20:20" x14ac:dyDescent="0.35">
      <c r="T506" t="str">
        <f t="shared" si="7"/>
        <v/>
      </c>
    </row>
    <row r="507" spans="20:20" x14ac:dyDescent="0.35">
      <c r="T507" t="str">
        <f t="shared" si="7"/>
        <v/>
      </c>
    </row>
    <row r="508" spans="20:20" x14ac:dyDescent="0.35">
      <c r="T508" t="str">
        <f t="shared" si="7"/>
        <v/>
      </c>
    </row>
    <row r="509" spans="20:20" x14ac:dyDescent="0.35">
      <c r="T509" t="str">
        <f t="shared" si="7"/>
        <v/>
      </c>
    </row>
    <row r="510" spans="20:20" x14ac:dyDescent="0.35">
      <c r="T510" t="str">
        <f t="shared" si="7"/>
        <v/>
      </c>
    </row>
    <row r="511" spans="20:20" x14ac:dyDescent="0.35">
      <c r="T511" t="str">
        <f t="shared" si="7"/>
        <v/>
      </c>
    </row>
    <row r="512" spans="20:20" x14ac:dyDescent="0.35">
      <c r="T512" t="str">
        <f t="shared" si="7"/>
        <v/>
      </c>
    </row>
    <row r="513" spans="20:20" x14ac:dyDescent="0.35">
      <c r="T513" t="str">
        <f t="shared" si="7"/>
        <v/>
      </c>
    </row>
    <row r="514" spans="20:20" x14ac:dyDescent="0.35">
      <c r="T514" t="str">
        <f t="shared" ref="T514:T577" si="8">IF(P514="","",YEAR(P514))</f>
        <v/>
      </c>
    </row>
    <row r="515" spans="20:20" x14ac:dyDescent="0.35">
      <c r="T515" t="str">
        <f t="shared" si="8"/>
        <v/>
      </c>
    </row>
    <row r="516" spans="20:20" x14ac:dyDescent="0.35">
      <c r="T516" t="str">
        <f t="shared" si="8"/>
        <v/>
      </c>
    </row>
    <row r="517" spans="20:20" x14ac:dyDescent="0.35">
      <c r="T517" t="str">
        <f t="shared" si="8"/>
        <v/>
      </c>
    </row>
    <row r="518" spans="20:20" x14ac:dyDescent="0.35">
      <c r="T518" t="str">
        <f t="shared" si="8"/>
        <v/>
      </c>
    </row>
    <row r="519" spans="20:20" x14ac:dyDescent="0.35">
      <c r="T519" t="str">
        <f t="shared" si="8"/>
        <v/>
      </c>
    </row>
    <row r="520" spans="20:20" x14ac:dyDescent="0.35">
      <c r="T520" t="str">
        <f t="shared" si="8"/>
        <v/>
      </c>
    </row>
    <row r="521" spans="20:20" x14ac:dyDescent="0.35">
      <c r="T521" t="str">
        <f t="shared" si="8"/>
        <v/>
      </c>
    </row>
    <row r="522" spans="20:20" x14ac:dyDescent="0.35">
      <c r="T522" t="str">
        <f t="shared" si="8"/>
        <v/>
      </c>
    </row>
    <row r="523" spans="20:20" x14ac:dyDescent="0.35">
      <c r="T523" t="str">
        <f t="shared" si="8"/>
        <v/>
      </c>
    </row>
    <row r="524" spans="20:20" x14ac:dyDescent="0.35">
      <c r="T524" t="str">
        <f t="shared" si="8"/>
        <v/>
      </c>
    </row>
    <row r="525" spans="20:20" x14ac:dyDescent="0.35">
      <c r="T525" t="str">
        <f t="shared" si="8"/>
        <v/>
      </c>
    </row>
    <row r="526" spans="20:20" x14ac:dyDescent="0.35">
      <c r="T526" t="str">
        <f t="shared" si="8"/>
        <v/>
      </c>
    </row>
    <row r="527" spans="20:20" x14ac:dyDescent="0.35">
      <c r="T527" t="str">
        <f t="shared" si="8"/>
        <v/>
      </c>
    </row>
    <row r="528" spans="20:20" x14ac:dyDescent="0.35">
      <c r="T528" t="str">
        <f t="shared" si="8"/>
        <v/>
      </c>
    </row>
    <row r="529" spans="20:20" x14ac:dyDescent="0.35">
      <c r="T529" t="str">
        <f t="shared" si="8"/>
        <v/>
      </c>
    </row>
    <row r="530" spans="20:20" x14ac:dyDescent="0.35">
      <c r="T530" t="str">
        <f t="shared" si="8"/>
        <v/>
      </c>
    </row>
    <row r="531" spans="20:20" x14ac:dyDescent="0.35">
      <c r="T531" t="str">
        <f t="shared" si="8"/>
        <v/>
      </c>
    </row>
    <row r="532" spans="20:20" x14ac:dyDescent="0.35">
      <c r="T532" t="str">
        <f t="shared" si="8"/>
        <v/>
      </c>
    </row>
    <row r="533" spans="20:20" x14ac:dyDescent="0.35">
      <c r="T533" t="str">
        <f t="shared" si="8"/>
        <v/>
      </c>
    </row>
    <row r="534" spans="20:20" x14ac:dyDescent="0.35">
      <c r="T534" t="str">
        <f t="shared" si="8"/>
        <v/>
      </c>
    </row>
    <row r="535" spans="20:20" x14ac:dyDescent="0.35">
      <c r="T535" t="str">
        <f t="shared" si="8"/>
        <v/>
      </c>
    </row>
    <row r="536" spans="20:20" x14ac:dyDescent="0.35">
      <c r="T536" t="str">
        <f t="shared" si="8"/>
        <v/>
      </c>
    </row>
    <row r="537" spans="20:20" x14ac:dyDescent="0.35">
      <c r="T537" t="str">
        <f t="shared" si="8"/>
        <v/>
      </c>
    </row>
    <row r="538" spans="20:20" x14ac:dyDescent="0.35">
      <c r="T538" t="str">
        <f t="shared" si="8"/>
        <v/>
      </c>
    </row>
    <row r="539" spans="20:20" x14ac:dyDescent="0.35">
      <c r="T539" t="str">
        <f t="shared" si="8"/>
        <v/>
      </c>
    </row>
    <row r="540" spans="20:20" x14ac:dyDescent="0.35">
      <c r="T540" t="str">
        <f t="shared" si="8"/>
        <v/>
      </c>
    </row>
    <row r="541" spans="20:20" x14ac:dyDescent="0.35">
      <c r="T541" t="str">
        <f t="shared" si="8"/>
        <v/>
      </c>
    </row>
    <row r="542" spans="20:20" x14ac:dyDescent="0.35">
      <c r="T542" t="str">
        <f t="shared" si="8"/>
        <v/>
      </c>
    </row>
    <row r="543" spans="20:20" x14ac:dyDescent="0.35">
      <c r="T543" t="str">
        <f t="shared" si="8"/>
        <v/>
      </c>
    </row>
    <row r="544" spans="20:20" x14ac:dyDescent="0.35">
      <c r="T544" t="str">
        <f t="shared" si="8"/>
        <v/>
      </c>
    </row>
    <row r="545" spans="20:20" x14ac:dyDescent="0.35">
      <c r="T545" t="str">
        <f t="shared" si="8"/>
        <v/>
      </c>
    </row>
    <row r="546" spans="20:20" x14ac:dyDescent="0.35">
      <c r="T546" t="str">
        <f t="shared" si="8"/>
        <v/>
      </c>
    </row>
    <row r="547" spans="20:20" x14ac:dyDescent="0.35">
      <c r="T547" t="str">
        <f t="shared" si="8"/>
        <v/>
      </c>
    </row>
    <row r="548" spans="20:20" x14ac:dyDescent="0.35">
      <c r="T548" t="str">
        <f t="shared" si="8"/>
        <v/>
      </c>
    </row>
    <row r="549" spans="20:20" x14ac:dyDescent="0.35">
      <c r="T549" t="str">
        <f t="shared" si="8"/>
        <v/>
      </c>
    </row>
    <row r="550" spans="20:20" x14ac:dyDescent="0.35">
      <c r="T550" t="str">
        <f t="shared" si="8"/>
        <v/>
      </c>
    </row>
    <row r="551" spans="20:20" x14ac:dyDescent="0.35">
      <c r="T551" t="str">
        <f t="shared" si="8"/>
        <v/>
      </c>
    </row>
    <row r="552" spans="20:20" x14ac:dyDescent="0.35">
      <c r="T552" t="str">
        <f t="shared" si="8"/>
        <v/>
      </c>
    </row>
    <row r="553" spans="20:20" x14ac:dyDescent="0.35">
      <c r="T553" t="str">
        <f t="shared" si="8"/>
        <v/>
      </c>
    </row>
    <row r="554" spans="20:20" x14ac:dyDescent="0.35">
      <c r="T554" t="str">
        <f t="shared" si="8"/>
        <v/>
      </c>
    </row>
    <row r="555" spans="20:20" x14ac:dyDescent="0.35">
      <c r="T555" t="str">
        <f t="shared" si="8"/>
        <v/>
      </c>
    </row>
    <row r="556" spans="20:20" x14ac:dyDescent="0.35">
      <c r="T556" t="str">
        <f t="shared" si="8"/>
        <v/>
      </c>
    </row>
    <row r="557" spans="20:20" x14ac:dyDescent="0.35">
      <c r="T557" t="str">
        <f t="shared" si="8"/>
        <v/>
      </c>
    </row>
    <row r="558" spans="20:20" x14ac:dyDescent="0.35">
      <c r="T558" t="str">
        <f t="shared" si="8"/>
        <v/>
      </c>
    </row>
    <row r="559" spans="20:20" x14ac:dyDescent="0.35">
      <c r="T559" t="str">
        <f t="shared" si="8"/>
        <v/>
      </c>
    </row>
    <row r="560" spans="20:20" x14ac:dyDescent="0.35">
      <c r="T560" t="str">
        <f t="shared" si="8"/>
        <v/>
      </c>
    </row>
    <row r="561" spans="20:20" x14ac:dyDescent="0.35">
      <c r="T561" t="str">
        <f t="shared" si="8"/>
        <v/>
      </c>
    </row>
    <row r="562" spans="20:20" x14ac:dyDescent="0.35">
      <c r="T562" t="str">
        <f t="shared" si="8"/>
        <v/>
      </c>
    </row>
    <row r="563" spans="20:20" x14ac:dyDescent="0.35">
      <c r="T563" t="str">
        <f t="shared" si="8"/>
        <v/>
      </c>
    </row>
    <row r="564" spans="20:20" x14ac:dyDescent="0.35">
      <c r="T564" t="str">
        <f t="shared" si="8"/>
        <v/>
      </c>
    </row>
    <row r="565" spans="20:20" x14ac:dyDescent="0.35">
      <c r="T565" t="str">
        <f t="shared" si="8"/>
        <v/>
      </c>
    </row>
    <row r="566" spans="20:20" x14ac:dyDescent="0.35">
      <c r="T566" t="str">
        <f t="shared" si="8"/>
        <v/>
      </c>
    </row>
    <row r="567" spans="20:20" x14ac:dyDescent="0.35">
      <c r="T567" t="str">
        <f t="shared" si="8"/>
        <v/>
      </c>
    </row>
    <row r="568" spans="20:20" x14ac:dyDescent="0.35">
      <c r="T568" t="str">
        <f t="shared" si="8"/>
        <v/>
      </c>
    </row>
    <row r="569" spans="20:20" x14ac:dyDescent="0.35">
      <c r="T569" t="str">
        <f t="shared" si="8"/>
        <v/>
      </c>
    </row>
    <row r="570" spans="20:20" x14ac:dyDescent="0.35">
      <c r="T570" t="str">
        <f t="shared" si="8"/>
        <v/>
      </c>
    </row>
    <row r="571" spans="20:20" x14ac:dyDescent="0.35">
      <c r="T571" t="str">
        <f t="shared" si="8"/>
        <v/>
      </c>
    </row>
    <row r="572" spans="20:20" x14ac:dyDescent="0.35">
      <c r="T572" t="str">
        <f t="shared" si="8"/>
        <v/>
      </c>
    </row>
    <row r="573" spans="20:20" x14ac:dyDescent="0.35">
      <c r="T573" t="str">
        <f t="shared" si="8"/>
        <v/>
      </c>
    </row>
    <row r="574" spans="20:20" x14ac:dyDescent="0.35">
      <c r="T574" t="str">
        <f t="shared" si="8"/>
        <v/>
      </c>
    </row>
    <row r="575" spans="20:20" x14ac:dyDescent="0.35">
      <c r="T575" t="str">
        <f t="shared" si="8"/>
        <v/>
      </c>
    </row>
    <row r="576" spans="20:20" x14ac:dyDescent="0.35">
      <c r="T576" t="str">
        <f t="shared" si="8"/>
        <v/>
      </c>
    </row>
    <row r="577" spans="20:20" x14ac:dyDescent="0.35">
      <c r="T577" t="str">
        <f t="shared" si="8"/>
        <v/>
      </c>
    </row>
    <row r="578" spans="20:20" x14ac:dyDescent="0.35">
      <c r="T578" t="str">
        <f t="shared" ref="T578:T641" si="9">IF(P578="","",YEAR(P578))</f>
        <v/>
      </c>
    </row>
    <row r="579" spans="20:20" x14ac:dyDescent="0.35">
      <c r="T579" t="str">
        <f t="shared" si="9"/>
        <v/>
      </c>
    </row>
    <row r="580" spans="20:20" x14ac:dyDescent="0.35">
      <c r="T580" t="str">
        <f t="shared" si="9"/>
        <v/>
      </c>
    </row>
    <row r="581" spans="20:20" x14ac:dyDescent="0.35">
      <c r="T581" t="str">
        <f t="shared" si="9"/>
        <v/>
      </c>
    </row>
    <row r="582" spans="20:20" x14ac:dyDescent="0.35">
      <c r="T582" t="str">
        <f t="shared" si="9"/>
        <v/>
      </c>
    </row>
    <row r="583" spans="20:20" x14ac:dyDescent="0.35">
      <c r="T583" t="str">
        <f t="shared" si="9"/>
        <v/>
      </c>
    </row>
    <row r="584" spans="20:20" x14ac:dyDescent="0.35">
      <c r="T584" t="str">
        <f t="shared" si="9"/>
        <v/>
      </c>
    </row>
    <row r="585" spans="20:20" x14ac:dyDescent="0.35">
      <c r="T585" t="str">
        <f t="shared" si="9"/>
        <v/>
      </c>
    </row>
    <row r="586" spans="20:20" x14ac:dyDescent="0.35">
      <c r="T586" t="str">
        <f t="shared" si="9"/>
        <v/>
      </c>
    </row>
    <row r="587" spans="20:20" x14ac:dyDescent="0.35">
      <c r="T587" t="str">
        <f t="shared" si="9"/>
        <v/>
      </c>
    </row>
    <row r="588" spans="20:20" x14ac:dyDescent="0.35">
      <c r="T588" t="str">
        <f t="shared" si="9"/>
        <v/>
      </c>
    </row>
    <row r="589" spans="20:20" x14ac:dyDescent="0.35">
      <c r="T589" t="str">
        <f t="shared" si="9"/>
        <v/>
      </c>
    </row>
    <row r="590" spans="20:20" x14ac:dyDescent="0.35">
      <c r="T590" t="str">
        <f t="shared" si="9"/>
        <v/>
      </c>
    </row>
    <row r="591" spans="20:20" x14ac:dyDescent="0.35">
      <c r="T591" t="str">
        <f t="shared" si="9"/>
        <v/>
      </c>
    </row>
    <row r="592" spans="20:20" x14ac:dyDescent="0.35">
      <c r="T592" t="str">
        <f t="shared" si="9"/>
        <v/>
      </c>
    </row>
    <row r="593" spans="20:20" x14ac:dyDescent="0.35">
      <c r="T593" t="str">
        <f t="shared" si="9"/>
        <v/>
      </c>
    </row>
    <row r="594" spans="20:20" x14ac:dyDescent="0.35">
      <c r="T594" t="str">
        <f t="shared" si="9"/>
        <v/>
      </c>
    </row>
    <row r="595" spans="20:20" x14ac:dyDescent="0.35">
      <c r="T595" t="str">
        <f t="shared" si="9"/>
        <v/>
      </c>
    </row>
    <row r="596" spans="20:20" x14ac:dyDescent="0.35">
      <c r="T596" t="str">
        <f t="shared" si="9"/>
        <v/>
      </c>
    </row>
    <row r="597" spans="20:20" x14ac:dyDescent="0.35">
      <c r="T597" t="str">
        <f t="shared" si="9"/>
        <v/>
      </c>
    </row>
    <row r="598" spans="20:20" x14ac:dyDescent="0.35">
      <c r="T598" t="str">
        <f t="shared" si="9"/>
        <v/>
      </c>
    </row>
    <row r="599" spans="20:20" x14ac:dyDescent="0.35">
      <c r="T599" t="str">
        <f t="shared" si="9"/>
        <v/>
      </c>
    </row>
    <row r="600" spans="20:20" x14ac:dyDescent="0.35">
      <c r="T600" t="str">
        <f t="shared" si="9"/>
        <v/>
      </c>
    </row>
    <row r="601" spans="20:20" x14ac:dyDescent="0.35">
      <c r="T601" t="str">
        <f t="shared" si="9"/>
        <v/>
      </c>
    </row>
    <row r="602" spans="20:20" x14ac:dyDescent="0.35">
      <c r="T602" t="str">
        <f t="shared" si="9"/>
        <v/>
      </c>
    </row>
    <row r="603" spans="20:20" x14ac:dyDescent="0.35">
      <c r="T603" t="str">
        <f t="shared" si="9"/>
        <v/>
      </c>
    </row>
    <row r="604" spans="20:20" x14ac:dyDescent="0.35">
      <c r="T604" t="str">
        <f t="shared" si="9"/>
        <v/>
      </c>
    </row>
    <row r="605" spans="20:20" x14ac:dyDescent="0.35">
      <c r="T605" t="str">
        <f t="shared" si="9"/>
        <v/>
      </c>
    </row>
    <row r="606" spans="20:20" x14ac:dyDescent="0.35">
      <c r="T606" t="str">
        <f t="shared" si="9"/>
        <v/>
      </c>
    </row>
    <row r="607" spans="20:20" x14ac:dyDescent="0.35">
      <c r="T607" t="str">
        <f t="shared" si="9"/>
        <v/>
      </c>
    </row>
    <row r="608" spans="20:20" x14ac:dyDescent="0.35">
      <c r="T608" t="str">
        <f t="shared" si="9"/>
        <v/>
      </c>
    </row>
    <row r="609" spans="20:20" x14ac:dyDescent="0.35">
      <c r="T609" t="str">
        <f t="shared" si="9"/>
        <v/>
      </c>
    </row>
    <row r="610" spans="20:20" x14ac:dyDescent="0.35">
      <c r="T610" t="str">
        <f t="shared" si="9"/>
        <v/>
      </c>
    </row>
    <row r="611" spans="20:20" x14ac:dyDescent="0.35">
      <c r="T611" t="str">
        <f t="shared" si="9"/>
        <v/>
      </c>
    </row>
    <row r="612" spans="20:20" x14ac:dyDescent="0.35">
      <c r="T612" t="str">
        <f t="shared" si="9"/>
        <v/>
      </c>
    </row>
    <row r="613" spans="20:20" x14ac:dyDescent="0.35">
      <c r="T613" t="str">
        <f t="shared" si="9"/>
        <v/>
      </c>
    </row>
    <row r="614" spans="20:20" x14ac:dyDescent="0.35">
      <c r="T614" t="str">
        <f t="shared" si="9"/>
        <v/>
      </c>
    </row>
    <row r="615" spans="20:20" x14ac:dyDescent="0.35">
      <c r="T615" t="str">
        <f t="shared" si="9"/>
        <v/>
      </c>
    </row>
    <row r="616" spans="20:20" x14ac:dyDescent="0.35">
      <c r="T616" t="str">
        <f t="shared" si="9"/>
        <v/>
      </c>
    </row>
    <row r="617" spans="20:20" x14ac:dyDescent="0.35">
      <c r="T617" t="str">
        <f t="shared" si="9"/>
        <v/>
      </c>
    </row>
    <row r="618" spans="20:20" x14ac:dyDescent="0.35">
      <c r="T618" t="str">
        <f t="shared" si="9"/>
        <v/>
      </c>
    </row>
    <row r="619" spans="20:20" x14ac:dyDescent="0.35">
      <c r="T619" t="str">
        <f t="shared" si="9"/>
        <v/>
      </c>
    </row>
    <row r="620" spans="20:20" x14ac:dyDescent="0.35">
      <c r="T620" t="str">
        <f t="shared" si="9"/>
        <v/>
      </c>
    </row>
    <row r="621" spans="20:20" x14ac:dyDescent="0.35">
      <c r="T621" t="str">
        <f t="shared" si="9"/>
        <v/>
      </c>
    </row>
    <row r="622" spans="20:20" x14ac:dyDescent="0.35">
      <c r="T622" t="str">
        <f t="shared" si="9"/>
        <v/>
      </c>
    </row>
    <row r="623" spans="20:20" x14ac:dyDescent="0.35">
      <c r="T623" t="str">
        <f t="shared" si="9"/>
        <v/>
      </c>
    </row>
    <row r="624" spans="20:20" x14ac:dyDescent="0.35">
      <c r="T624" t="str">
        <f t="shared" si="9"/>
        <v/>
      </c>
    </row>
    <row r="625" spans="20:20" x14ac:dyDescent="0.35">
      <c r="T625" t="str">
        <f t="shared" si="9"/>
        <v/>
      </c>
    </row>
    <row r="626" spans="20:20" x14ac:dyDescent="0.35">
      <c r="T626" t="str">
        <f t="shared" si="9"/>
        <v/>
      </c>
    </row>
    <row r="627" spans="20:20" x14ac:dyDescent="0.35">
      <c r="T627" t="str">
        <f t="shared" si="9"/>
        <v/>
      </c>
    </row>
    <row r="628" spans="20:20" x14ac:dyDescent="0.35">
      <c r="T628" t="str">
        <f t="shared" si="9"/>
        <v/>
      </c>
    </row>
    <row r="629" spans="20:20" x14ac:dyDescent="0.35">
      <c r="T629" t="str">
        <f t="shared" si="9"/>
        <v/>
      </c>
    </row>
    <row r="630" spans="20:20" x14ac:dyDescent="0.35">
      <c r="T630" t="str">
        <f t="shared" si="9"/>
        <v/>
      </c>
    </row>
    <row r="631" spans="20:20" x14ac:dyDescent="0.35">
      <c r="T631" t="str">
        <f t="shared" si="9"/>
        <v/>
      </c>
    </row>
    <row r="632" spans="20:20" x14ac:dyDescent="0.35">
      <c r="T632" t="str">
        <f t="shared" si="9"/>
        <v/>
      </c>
    </row>
    <row r="633" spans="20:20" x14ac:dyDescent="0.35">
      <c r="T633" t="str">
        <f t="shared" si="9"/>
        <v/>
      </c>
    </row>
    <row r="634" spans="20:20" x14ac:dyDescent="0.35">
      <c r="T634" t="str">
        <f t="shared" si="9"/>
        <v/>
      </c>
    </row>
    <row r="635" spans="20:20" x14ac:dyDescent="0.35">
      <c r="T635" t="str">
        <f t="shared" si="9"/>
        <v/>
      </c>
    </row>
    <row r="636" spans="20:20" x14ac:dyDescent="0.35">
      <c r="T636" t="str">
        <f t="shared" si="9"/>
        <v/>
      </c>
    </row>
    <row r="637" spans="20:20" x14ac:dyDescent="0.35">
      <c r="T637" t="str">
        <f t="shared" si="9"/>
        <v/>
      </c>
    </row>
    <row r="638" spans="20:20" x14ac:dyDescent="0.35">
      <c r="T638" t="str">
        <f t="shared" si="9"/>
        <v/>
      </c>
    </row>
    <row r="639" spans="20:20" x14ac:dyDescent="0.35">
      <c r="T639" t="str">
        <f t="shared" si="9"/>
        <v/>
      </c>
    </row>
    <row r="640" spans="20:20" x14ac:dyDescent="0.35">
      <c r="T640" t="str">
        <f t="shared" si="9"/>
        <v/>
      </c>
    </row>
    <row r="641" spans="20:20" x14ac:dyDescent="0.35">
      <c r="T641" t="str">
        <f t="shared" si="9"/>
        <v/>
      </c>
    </row>
    <row r="642" spans="20:20" x14ac:dyDescent="0.35">
      <c r="T642" t="str">
        <f t="shared" ref="T642:T705" si="10">IF(P642="","",YEAR(P642))</f>
        <v/>
      </c>
    </row>
    <row r="643" spans="20:20" x14ac:dyDescent="0.35">
      <c r="T643" t="str">
        <f t="shared" si="10"/>
        <v/>
      </c>
    </row>
    <row r="644" spans="20:20" x14ac:dyDescent="0.35">
      <c r="T644" t="str">
        <f t="shared" si="10"/>
        <v/>
      </c>
    </row>
    <row r="645" spans="20:20" x14ac:dyDescent="0.35">
      <c r="T645" t="str">
        <f t="shared" si="10"/>
        <v/>
      </c>
    </row>
    <row r="646" spans="20:20" x14ac:dyDescent="0.35">
      <c r="T646" t="str">
        <f t="shared" si="10"/>
        <v/>
      </c>
    </row>
    <row r="647" spans="20:20" x14ac:dyDescent="0.35">
      <c r="T647" t="str">
        <f t="shared" si="10"/>
        <v/>
      </c>
    </row>
    <row r="648" spans="20:20" x14ac:dyDescent="0.35">
      <c r="T648" t="str">
        <f t="shared" si="10"/>
        <v/>
      </c>
    </row>
    <row r="649" spans="20:20" x14ac:dyDescent="0.35">
      <c r="T649" t="str">
        <f t="shared" si="10"/>
        <v/>
      </c>
    </row>
    <row r="650" spans="20:20" x14ac:dyDescent="0.35">
      <c r="T650" t="str">
        <f t="shared" si="10"/>
        <v/>
      </c>
    </row>
    <row r="651" spans="20:20" x14ac:dyDescent="0.35">
      <c r="T651" t="str">
        <f t="shared" si="10"/>
        <v/>
      </c>
    </row>
    <row r="652" spans="20:20" x14ac:dyDescent="0.35">
      <c r="T652" t="str">
        <f t="shared" si="10"/>
        <v/>
      </c>
    </row>
    <row r="653" spans="20:20" x14ac:dyDescent="0.35">
      <c r="T653" t="str">
        <f t="shared" si="10"/>
        <v/>
      </c>
    </row>
    <row r="654" spans="20:20" x14ac:dyDescent="0.35">
      <c r="T654" t="str">
        <f t="shared" si="10"/>
        <v/>
      </c>
    </row>
    <row r="655" spans="20:20" x14ac:dyDescent="0.35">
      <c r="T655" t="str">
        <f t="shared" si="10"/>
        <v/>
      </c>
    </row>
    <row r="656" spans="20:20" x14ac:dyDescent="0.35">
      <c r="T656" t="str">
        <f t="shared" si="10"/>
        <v/>
      </c>
    </row>
    <row r="657" spans="20:20" x14ac:dyDescent="0.35">
      <c r="T657" t="str">
        <f t="shared" si="10"/>
        <v/>
      </c>
    </row>
    <row r="658" spans="20:20" x14ac:dyDescent="0.35">
      <c r="T658" t="str">
        <f t="shared" si="10"/>
        <v/>
      </c>
    </row>
    <row r="659" spans="20:20" x14ac:dyDescent="0.35">
      <c r="T659" t="str">
        <f t="shared" si="10"/>
        <v/>
      </c>
    </row>
    <row r="660" spans="20:20" x14ac:dyDescent="0.35">
      <c r="T660" t="str">
        <f t="shared" si="10"/>
        <v/>
      </c>
    </row>
    <row r="661" spans="20:20" x14ac:dyDescent="0.35">
      <c r="T661" t="str">
        <f t="shared" si="10"/>
        <v/>
      </c>
    </row>
    <row r="662" spans="20:20" x14ac:dyDescent="0.35">
      <c r="T662" t="str">
        <f t="shared" si="10"/>
        <v/>
      </c>
    </row>
    <row r="663" spans="20:20" x14ac:dyDescent="0.35">
      <c r="T663" t="str">
        <f t="shared" si="10"/>
        <v/>
      </c>
    </row>
    <row r="664" spans="20:20" x14ac:dyDescent="0.35">
      <c r="T664" t="str">
        <f t="shared" si="10"/>
        <v/>
      </c>
    </row>
    <row r="665" spans="20:20" x14ac:dyDescent="0.35">
      <c r="T665" t="str">
        <f t="shared" si="10"/>
        <v/>
      </c>
    </row>
    <row r="666" spans="20:20" x14ac:dyDescent="0.35">
      <c r="T666" t="str">
        <f t="shared" si="10"/>
        <v/>
      </c>
    </row>
    <row r="667" spans="20:20" x14ac:dyDescent="0.35">
      <c r="T667" t="str">
        <f t="shared" si="10"/>
        <v/>
      </c>
    </row>
    <row r="668" spans="20:20" x14ac:dyDescent="0.35">
      <c r="T668" t="str">
        <f t="shared" si="10"/>
        <v/>
      </c>
    </row>
    <row r="669" spans="20:20" x14ac:dyDescent="0.35">
      <c r="T669" t="str">
        <f t="shared" si="10"/>
        <v/>
      </c>
    </row>
    <row r="670" spans="20:20" x14ac:dyDescent="0.35">
      <c r="T670" t="str">
        <f t="shared" si="10"/>
        <v/>
      </c>
    </row>
    <row r="671" spans="20:20" x14ac:dyDescent="0.35">
      <c r="T671" t="str">
        <f t="shared" si="10"/>
        <v/>
      </c>
    </row>
    <row r="672" spans="20:20" x14ac:dyDescent="0.35">
      <c r="T672" t="str">
        <f t="shared" si="10"/>
        <v/>
      </c>
    </row>
    <row r="673" spans="20:20" x14ac:dyDescent="0.35">
      <c r="T673" t="str">
        <f t="shared" si="10"/>
        <v/>
      </c>
    </row>
    <row r="674" spans="20:20" x14ac:dyDescent="0.35">
      <c r="T674" t="str">
        <f t="shared" si="10"/>
        <v/>
      </c>
    </row>
    <row r="675" spans="20:20" x14ac:dyDescent="0.35">
      <c r="T675" t="str">
        <f t="shared" si="10"/>
        <v/>
      </c>
    </row>
    <row r="676" spans="20:20" x14ac:dyDescent="0.35">
      <c r="T676" t="str">
        <f t="shared" si="10"/>
        <v/>
      </c>
    </row>
    <row r="677" spans="20:20" x14ac:dyDescent="0.35">
      <c r="T677" t="str">
        <f t="shared" si="10"/>
        <v/>
      </c>
    </row>
    <row r="678" spans="20:20" x14ac:dyDescent="0.35">
      <c r="T678" t="str">
        <f t="shared" si="10"/>
        <v/>
      </c>
    </row>
    <row r="679" spans="20:20" x14ac:dyDescent="0.35">
      <c r="T679" t="str">
        <f t="shared" si="10"/>
        <v/>
      </c>
    </row>
    <row r="680" spans="20:20" x14ac:dyDescent="0.35">
      <c r="T680" t="str">
        <f t="shared" si="10"/>
        <v/>
      </c>
    </row>
    <row r="681" spans="20:20" x14ac:dyDescent="0.35">
      <c r="T681" t="str">
        <f t="shared" si="10"/>
        <v/>
      </c>
    </row>
    <row r="682" spans="20:20" x14ac:dyDescent="0.35">
      <c r="T682" t="str">
        <f t="shared" si="10"/>
        <v/>
      </c>
    </row>
    <row r="683" spans="20:20" x14ac:dyDescent="0.35">
      <c r="T683" t="str">
        <f t="shared" si="10"/>
        <v/>
      </c>
    </row>
    <row r="684" spans="20:20" x14ac:dyDescent="0.35">
      <c r="T684" t="str">
        <f t="shared" si="10"/>
        <v/>
      </c>
    </row>
    <row r="685" spans="20:20" x14ac:dyDescent="0.35">
      <c r="T685" t="str">
        <f t="shared" si="10"/>
        <v/>
      </c>
    </row>
    <row r="686" spans="20:20" x14ac:dyDescent="0.35">
      <c r="T686" t="str">
        <f t="shared" si="10"/>
        <v/>
      </c>
    </row>
    <row r="687" spans="20:20" x14ac:dyDescent="0.35">
      <c r="T687" t="str">
        <f t="shared" si="10"/>
        <v/>
      </c>
    </row>
    <row r="688" spans="20:20" x14ac:dyDescent="0.35">
      <c r="T688" t="str">
        <f t="shared" si="10"/>
        <v/>
      </c>
    </row>
    <row r="689" spans="20:20" x14ac:dyDescent="0.35">
      <c r="T689" t="str">
        <f t="shared" si="10"/>
        <v/>
      </c>
    </row>
    <row r="690" spans="20:20" x14ac:dyDescent="0.35">
      <c r="T690" t="str">
        <f t="shared" si="10"/>
        <v/>
      </c>
    </row>
    <row r="691" spans="20:20" x14ac:dyDescent="0.35">
      <c r="T691" t="str">
        <f t="shared" si="10"/>
        <v/>
      </c>
    </row>
    <row r="692" spans="20:20" x14ac:dyDescent="0.35">
      <c r="T692" t="str">
        <f t="shared" si="10"/>
        <v/>
      </c>
    </row>
    <row r="693" spans="20:20" x14ac:dyDescent="0.35">
      <c r="T693" t="str">
        <f t="shared" si="10"/>
        <v/>
      </c>
    </row>
    <row r="694" spans="20:20" x14ac:dyDescent="0.35">
      <c r="T694" t="str">
        <f t="shared" si="10"/>
        <v/>
      </c>
    </row>
    <row r="695" spans="20:20" x14ac:dyDescent="0.35">
      <c r="T695" t="str">
        <f t="shared" si="10"/>
        <v/>
      </c>
    </row>
    <row r="696" spans="20:20" x14ac:dyDescent="0.35">
      <c r="T696" t="str">
        <f t="shared" si="10"/>
        <v/>
      </c>
    </row>
    <row r="697" spans="20:20" x14ac:dyDescent="0.35">
      <c r="T697" t="str">
        <f t="shared" si="10"/>
        <v/>
      </c>
    </row>
    <row r="698" spans="20:20" x14ac:dyDescent="0.35">
      <c r="T698" t="str">
        <f t="shared" si="10"/>
        <v/>
      </c>
    </row>
    <row r="699" spans="20:20" x14ac:dyDescent="0.35">
      <c r="T699" t="str">
        <f t="shared" si="10"/>
        <v/>
      </c>
    </row>
    <row r="700" spans="20:20" x14ac:dyDescent="0.35">
      <c r="T700" t="str">
        <f t="shared" si="10"/>
        <v/>
      </c>
    </row>
    <row r="701" spans="20:20" x14ac:dyDescent="0.35">
      <c r="T701" t="str">
        <f t="shared" si="10"/>
        <v/>
      </c>
    </row>
    <row r="702" spans="20:20" x14ac:dyDescent="0.35">
      <c r="T702" t="str">
        <f t="shared" si="10"/>
        <v/>
      </c>
    </row>
    <row r="703" spans="20:20" x14ac:dyDescent="0.35">
      <c r="T703" t="str">
        <f t="shared" si="10"/>
        <v/>
      </c>
    </row>
    <row r="704" spans="20:20" x14ac:dyDescent="0.35">
      <c r="T704" t="str">
        <f t="shared" si="10"/>
        <v/>
      </c>
    </row>
    <row r="705" spans="20:20" x14ac:dyDescent="0.35">
      <c r="T705" t="str">
        <f t="shared" si="10"/>
        <v/>
      </c>
    </row>
    <row r="706" spans="20:20" x14ac:dyDescent="0.35">
      <c r="T706" t="str">
        <f t="shared" ref="T706:T769" si="11">IF(P706="","",YEAR(P706))</f>
        <v/>
      </c>
    </row>
    <row r="707" spans="20:20" x14ac:dyDescent="0.35">
      <c r="T707" t="str">
        <f t="shared" si="11"/>
        <v/>
      </c>
    </row>
    <row r="708" spans="20:20" x14ac:dyDescent="0.35">
      <c r="T708" t="str">
        <f t="shared" si="11"/>
        <v/>
      </c>
    </row>
    <row r="709" spans="20:20" x14ac:dyDescent="0.35">
      <c r="T709" t="str">
        <f t="shared" si="11"/>
        <v/>
      </c>
    </row>
    <row r="710" spans="20:20" x14ac:dyDescent="0.35">
      <c r="T710" t="str">
        <f t="shared" si="11"/>
        <v/>
      </c>
    </row>
    <row r="711" spans="20:20" x14ac:dyDescent="0.35">
      <c r="T711" t="str">
        <f t="shared" si="11"/>
        <v/>
      </c>
    </row>
    <row r="712" spans="20:20" x14ac:dyDescent="0.35">
      <c r="T712" t="str">
        <f t="shared" si="11"/>
        <v/>
      </c>
    </row>
    <row r="713" spans="20:20" x14ac:dyDescent="0.35">
      <c r="T713" t="str">
        <f t="shared" si="11"/>
        <v/>
      </c>
    </row>
    <row r="714" spans="20:20" x14ac:dyDescent="0.35">
      <c r="T714" t="str">
        <f t="shared" si="11"/>
        <v/>
      </c>
    </row>
    <row r="715" spans="20:20" x14ac:dyDescent="0.35">
      <c r="T715" t="str">
        <f t="shared" si="11"/>
        <v/>
      </c>
    </row>
    <row r="716" spans="20:20" x14ac:dyDescent="0.35">
      <c r="T716" t="str">
        <f t="shared" si="11"/>
        <v/>
      </c>
    </row>
    <row r="717" spans="20:20" x14ac:dyDescent="0.35">
      <c r="T717" t="str">
        <f t="shared" si="11"/>
        <v/>
      </c>
    </row>
    <row r="718" spans="20:20" x14ac:dyDescent="0.35">
      <c r="T718" t="str">
        <f t="shared" si="11"/>
        <v/>
      </c>
    </row>
    <row r="719" spans="20:20" x14ac:dyDescent="0.35">
      <c r="T719" t="str">
        <f t="shared" si="11"/>
        <v/>
      </c>
    </row>
    <row r="720" spans="20:20" x14ac:dyDescent="0.35">
      <c r="T720" t="str">
        <f t="shared" si="11"/>
        <v/>
      </c>
    </row>
    <row r="721" spans="20:20" x14ac:dyDescent="0.35">
      <c r="T721" t="str">
        <f t="shared" si="11"/>
        <v/>
      </c>
    </row>
    <row r="722" spans="20:20" x14ac:dyDescent="0.35">
      <c r="T722" t="str">
        <f t="shared" si="11"/>
        <v/>
      </c>
    </row>
    <row r="723" spans="20:20" x14ac:dyDescent="0.35">
      <c r="T723" t="str">
        <f t="shared" si="11"/>
        <v/>
      </c>
    </row>
    <row r="724" spans="20:20" x14ac:dyDescent="0.35">
      <c r="T724" t="str">
        <f t="shared" si="11"/>
        <v/>
      </c>
    </row>
    <row r="725" spans="20:20" x14ac:dyDescent="0.35">
      <c r="T725" t="str">
        <f t="shared" si="11"/>
        <v/>
      </c>
    </row>
    <row r="726" spans="20:20" x14ac:dyDescent="0.35">
      <c r="T726" t="str">
        <f t="shared" si="11"/>
        <v/>
      </c>
    </row>
    <row r="727" spans="20:20" x14ac:dyDescent="0.35">
      <c r="T727" t="str">
        <f t="shared" si="11"/>
        <v/>
      </c>
    </row>
    <row r="728" spans="20:20" x14ac:dyDescent="0.35">
      <c r="T728" t="str">
        <f t="shared" si="11"/>
        <v/>
      </c>
    </row>
    <row r="729" spans="20:20" x14ac:dyDescent="0.35">
      <c r="T729" t="str">
        <f t="shared" si="11"/>
        <v/>
      </c>
    </row>
    <row r="730" spans="20:20" x14ac:dyDescent="0.35">
      <c r="T730" t="str">
        <f t="shared" si="11"/>
        <v/>
      </c>
    </row>
    <row r="731" spans="20:20" x14ac:dyDescent="0.35">
      <c r="T731" t="str">
        <f t="shared" si="11"/>
        <v/>
      </c>
    </row>
    <row r="732" spans="20:20" x14ac:dyDescent="0.35">
      <c r="T732" t="str">
        <f t="shared" si="11"/>
        <v/>
      </c>
    </row>
    <row r="733" spans="20:20" x14ac:dyDescent="0.35">
      <c r="T733" t="str">
        <f t="shared" si="11"/>
        <v/>
      </c>
    </row>
    <row r="734" spans="20:20" x14ac:dyDescent="0.35">
      <c r="T734" t="str">
        <f t="shared" si="11"/>
        <v/>
      </c>
    </row>
    <row r="735" spans="20:20" x14ac:dyDescent="0.35">
      <c r="T735" t="str">
        <f t="shared" si="11"/>
        <v/>
      </c>
    </row>
    <row r="736" spans="20:20" x14ac:dyDescent="0.35">
      <c r="T736" t="str">
        <f t="shared" si="11"/>
        <v/>
      </c>
    </row>
    <row r="737" spans="20:20" x14ac:dyDescent="0.35">
      <c r="T737" t="str">
        <f t="shared" si="11"/>
        <v/>
      </c>
    </row>
    <row r="738" spans="20:20" x14ac:dyDescent="0.35">
      <c r="T738" t="str">
        <f t="shared" si="11"/>
        <v/>
      </c>
    </row>
    <row r="739" spans="20:20" x14ac:dyDescent="0.35">
      <c r="T739" t="str">
        <f t="shared" si="11"/>
        <v/>
      </c>
    </row>
    <row r="740" spans="20:20" x14ac:dyDescent="0.35">
      <c r="T740" t="str">
        <f t="shared" si="11"/>
        <v/>
      </c>
    </row>
    <row r="741" spans="20:20" x14ac:dyDescent="0.35">
      <c r="T741" t="str">
        <f t="shared" si="11"/>
        <v/>
      </c>
    </row>
    <row r="742" spans="20:20" x14ac:dyDescent="0.35">
      <c r="T742" t="str">
        <f t="shared" si="11"/>
        <v/>
      </c>
    </row>
    <row r="743" spans="20:20" x14ac:dyDescent="0.35">
      <c r="T743" t="str">
        <f t="shared" si="11"/>
        <v/>
      </c>
    </row>
    <row r="744" spans="20:20" x14ac:dyDescent="0.35">
      <c r="T744" t="str">
        <f t="shared" si="11"/>
        <v/>
      </c>
    </row>
    <row r="745" spans="20:20" x14ac:dyDescent="0.35">
      <c r="T745" t="str">
        <f t="shared" si="11"/>
        <v/>
      </c>
    </row>
    <row r="746" spans="20:20" x14ac:dyDescent="0.35">
      <c r="T746" t="str">
        <f t="shared" si="11"/>
        <v/>
      </c>
    </row>
    <row r="747" spans="20:20" x14ac:dyDescent="0.35">
      <c r="T747" t="str">
        <f t="shared" si="11"/>
        <v/>
      </c>
    </row>
    <row r="748" spans="20:20" x14ac:dyDescent="0.35">
      <c r="T748" t="str">
        <f t="shared" si="11"/>
        <v/>
      </c>
    </row>
    <row r="749" spans="20:20" x14ac:dyDescent="0.35">
      <c r="T749" t="str">
        <f t="shared" si="11"/>
        <v/>
      </c>
    </row>
    <row r="750" spans="20:20" x14ac:dyDescent="0.35">
      <c r="T750" t="str">
        <f t="shared" si="11"/>
        <v/>
      </c>
    </row>
    <row r="751" spans="20:20" x14ac:dyDescent="0.35">
      <c r="T751" t="str">
        <f t="shared" si="11"/>
        <v/>
      </c>
    </row>
    <row r="752" spans="20:20" x14ac:dyDescent="0.35">
      <c r="T752" t="str">
        <f t="shared" si="11"/>
        <v/>
      </c>
    </row>
    <row r="753" spans="20:20" x14ac:dyDescent="0.35">
      <c r="T753" t="str">
        <f t="shared" si="11"/>
        <v/>
      </c>
    </row>
    <row r="754" spans="20:20" x14ac:dyDescent="0.35">
      <c r="T754" t="str">
        <f t="shared" si="11"/>
        <v/>
      </c>
    </row>
    <row r="755" spans="20:20" x14ac:dyDescent="0.35">
      <c r="T755" t="str">
        <f t="shared" si="11"/>
        <v/>
      </c>
    </row>
    <row r="756" spans="20:20" x14ac:dyDescent="0.35">
      <c r="T756" t="str">
        <f t="shared" si="11"/>
        <v/>
      </c>
    </row>
    <row r="757" spans="20:20" x14ac:dyDescent="0.35">
      <c r="T757" t="str">
        <f t="shared" si="11"/>
        <v/>
      </c>
    </row>
    <row r="758" spans="20:20" x14ac:dyDescent="0.35">
      <c r="T758" t="str">
        <f t="shared" si="11"/>
        <v/>
      </c>
    </row>
    <row r="759" spans="20:20" x14ac:dyDescent="0.35">
      <c r="T759" t="str">
        <f t="shared" si="11"/>
        <v/>
      </c>
    </row>
    <row r="760" spans="20:20" x14ac:dyDescent="0.35">
      <c r="T760" t="str">
        <f t="shared" si="11"/>
        <v/>
      </c>
    </row>
    <row r="761" spans="20:20" x14ac:dyDescent="0.35">
      <c r="T761" t="str">
        <f t="shared" si="11"/>
        <v/>
      </c>
    </row>
    <row r="762" spans="20:20" x14ac:dyDescent="0.35">
      <c r="T762" t="str">
        <f t="shared" si="11"/>
        <v/>
      </c>
    </row>
    <row r="763" spans="20:20" x14ac:dyDescent="0.35">
      <c r="T763" t="str">
        <f t="shared" si="11"/>
        <v/>
      </c>
    </row>
    <row r="764" spans="20:20" x14ac:dyDescent="0.35">
      <c r="T764" t="str">
        <f t="shared" si="11"/>
        <v/>
      </c>
    </row>
    <row r="765" spans="20:20" x14ac:dyDescent="0.35">
      <c r="T765" t="str">
        <f t="shared" si="11"/>
        <v/>
      </c>
    </row>
    <row r="766" spans="20:20" x14ac:dyDescent="0.35">
      <c r="T766" t="str">
        <f t="shared" si="11"/>
        <v/>
      </c>
    </row>
    <row r="767" spans="20:20" x14ac:dyDescent="0.35">
      <c r="T767" t="str">
        <f t="shared" si="11"/>
        <v/>
      </c>
    </row>
    <row r="768" spans="20:20" x14ac:dyDescent="0.35">
      <c r="T768" t="str">
        <f t="shared" si="11"/>
        <v/>
      </c>
    </row>
    <row r="769" spans="20:20" x14ac:dyDescent="0.35">
      <c r="T769" t="str">
        <f t="shared" si="11"/>
        <v/>
      </c>
    </row>
    <row r="770" spans="20:20" x14ac:dyDescent="0.35">
      <c r="T770" t="str">
        <f t="shared" ref="T770:T833" si="12">IF(P770="","",YEAR(P770))</f>
        <v/>
      </c>
    </row>
    <row r="771" spans="20:20" x14ac:dyDescent="0.35">
      <c r="T771" t="str">
        <f t="shared" si="12"/>
        <v/>
      </c>
    </row>
    <row r="772" spans="20:20" x14ac:dyDescent="0.35">
      <c r="T772" t="str">
        <f t="shared" si="12"/>
        <v/>
      </c>
    </row>
    <row r="773" spans="20:20" x14ac:dyDescent="0.35">
      <c r="T773" t="str">
        <f t="shared" si="12"/>
        <v/>
      </c>
    </row>
    <row r="774" spans="20:20" x14ac:dyDescent="0.35">
      <c r="T774" t="str">
        <f t="shared" si="12"/>
        <v/>
      </c>
    </row>
    <row r="775" spans="20:20" x14ac:dyDescent="0.35">
      <c r="T775" t="str">
        <f t="shared" si="12"/>
        <v/>
      </c>
    </row>
    <row r="776" spans="20:20" x14ac:dyDescent="0.35">
      <c r="T776" t="str">
        <f t="shared" si="12"/>
        <v/>
      </c>
    </row>
    <row r="777" spans="20:20" x14ac:dyDescent="0.35">
      <c r="T777" t="str">
        <f t="shared" si="12"/>
        <v/>
      </c>
    </row>
    <row r="778" spans="20:20" x14ac:dyDescent="0.35">
      <c r="T778" t="str">
        <f t="shared" si="12"/>
        <v/>
      </c>
    </row>
    <row r="779" spans="20:20" x14ac:dyDescent="0.35">
      <c r="T779" t="str">
        <f t="shared" si="12"/>
        <v/>
      </c>
    </row>
    <row r="780" spans="20:20" x14ac:dyDescent="0.35">
      <c r="T780" t="str">
        <f t="shared" si="12"/>
        <v/>
      </c>
    </row>
    <row r="781" spans="20:20" x14ac:dyDescent="0.35">
      <c r="T781" t="str">
        <f t="shared" si="12"/>
        <v/>
      </c>
    </row>
    <row r="782" spans="20:20" x14ac:dyDescent="0.35">
      <c r="T782" t="str">
        <f t="shared" si="12"/>
        <v/>
      </c>
    </row>
    <row r="783" spans="20:20" x14ac:dyDescent="0.35">
      <c r="T783" t="str">
        <f t="shared" si="12"/>
        <v/>
      </c>
    </row>
    <row r="784" spans="20:20" x14ac:dyDescent="0.35">
      <c r="T784" t="str">
        <f t="shared" si="12"/>
        <v/>
      </c>
    </row>
    <row r="785" spans="20:20" x14ac:dyDescent="0.35">
      <c r="T785" t="str">
        <f t="shared" si="12"/>
        <v/>
      </c>
    </row>
    <row r="786" spans="20:20" x14ac:dyDescent="0.35">
      <c r="T786" t="str">
        <f t="shared" si="12"/>
        <v/>
      </c>
    </row>
    <row r="787" spans="20:20" x14ac:dyDescent="0.35">
      <c r="T787" t="str">
        <f t="shared" si="12"/>
        <v/>
      </c>
    </row>
    <row r="788" spans="20:20" x14ac:dyDescent="0.35">
      <c r="T788" t="str">
        <f t="shared" si="12"/>
        <v/>
      </c>
    </row>
    <row r="789" spans="20:20" x14ac:dyDescent="0.35">
      <c r="T789" t="str">
        <f t="shared" si="12"/>
        <v/>
      </c>
    </row>
    <row r="790" spans="20:20" x14ac:dyDescent="0.35">
      <c r="T790" t="str">
        <f t="shared" si="12"/>
        <v/>
      </c>
    </row>
    <row r="791" spans="20:20" x14ac:dyDescent="0.35">
      <c r="T791" t="str">
        <f t="shared" si="12"/>
        <v/>
      </c>
    </row>
    <row r="792" spans="20:20" x14ac:dyDescent="0.35">
      <c r="T792" t="str">
        <f t="shared" si="12"/>
        <v/>
      </c>
    </row>
    <row r="793" spans="20:20" x14ac:dyDescent="0.35">
      <c r="T793" t="str">
        <f t="shared" si="12"/>
        <v/>
      </c>
    </row>
    <row r="794" spans="20:20" x14ac:dyDescent="0.35">
      <c r="T794" t="str">
        <f t="shared" si="12"/>
        <v/>
      </c>
    </row>
    <row r="795" spans="20:20" x14ac:dyDescent="0.35">
      <c r="T795" t="str">
        <f t="shared" si="12"/>
        <v/>
      </c>
    </row>
    <row r="796" spans="20:20" x14ac:dyDescent="0.35">
      <c r="T796" t="str">
        <f t="shared" si="12"/>
        <v/>
      </c>
    </row>
    <row r="797" spans="20:20" x14ac:dyDescent="0.35">
      <c r="T797" t="str">
        <f t="shared" si="12"/>
        <v/>
      </c>
    </row>
    <row r="798" spans="20:20" x14ac:dyDescent="0.35">
      <c r="T798" t="str">
        <f t="shared" si="12"/>
        <v/>
      </c>
    </row>
    <row r="799" spans="20:20" x14ac:dyDescent="0.35">
      <c r="T799" t="str">
        <f t="shared" si="12"/>
        <v/>
      </c>
    </row>
    <row r="800" spans="20:20" x14ac:dyDescent="0.35">
      <c r="T800" t="str">
        <f t="shared" si="12"/>
        <v/>
      </c>
    </row>
    <row r="801" spans="20:20" x14ac:dyDescent="0.35">
      <c r="T801" t="str">
        <f t="shared" si="12"/>
        <v/>
      </c>
    </row>
    <row r="802" spans="20:20" x14ac:dyDescent="0.35">
      <c r="T802" t="str">
        <f t="shared" si="12"/>
        <v/>
      </c>
    </row>
    <row r="803" spans="20:20" x14ac:dyDescent="0.35">
      <c r="T803" t="str">
        <f t="shared" si="12"/>
        <v/>
      </c>
    </row>
    <row r="804" spans="20:20" x14ac:dyDescent="0.35">
      <c r="T804" t="str">
        <f t="shared" si="12"/>
        <v/>
      </c>
    </row>
    <row r="805" spans="20:20" x14ac:dyDescent="0.35">
      <c r="T805" t="str">
        <f t="shared" si="12"/>
        <v/>
      </c>
    </row>
    <row r="806" spans="20:20" x14ac:dyDescent="0.35">
      <c r="T806" t="str">
        <f t="shared" si="12"/>
        <v/>
      </c>
    </row>
    <row r="807" spans="20:20" x14ac:dyDescent="0.35">
      <c r="T807" t="str">
        <f t="shared" si="12"/>
        <v/>
      </c>
    </row>
    <row r="808" spans="20:20" x14ac:dyDescent="0.35">
      <c r="T808" t="str">
        <f t="shared" si="12"/>
        <v/>
      </c>
    </row>
    <row r="809" spans="20:20" x14ac:dyDescent="0.35">
      <c r="T809" t="str">
        <f t="shared" si="12"/>
        <v/>
      </c>
    </row>
    <row r="810" spans="20:20" x14ac:dyDescent="0.35">
      <c r="T810" t="str">
        <f t="shared" si="12"/>
        <v/>
      </c>
    </row>
    <row r="811" spans="20:20" x14ac:dyDescent="0.35">
      <c r="T811" t="str">
        <f t="shared" si="12"/>
        <v/>
      </c>
    </row>
    <row r="812" spans="20:20" x14ac:dyDescent="0.35">
      <c r="T812" t="str">
        <f t="shared" si="12"/>
        <v/>
      </c>
    </row>
    <row r="813" spans="20:20" x14ac:dyDescent="0.35">
      <c r="T813" t="str">
        <f t="shared" si="12"/>
        <v/>
      </c>
    </row>
    <row r="814" spans="20:20" x14ac:dyDescent="0.35">
      <c r="T814" t="str">
        <f t="shared" si="12"/>
        <v/>
      </c>
    </row>
    <row r="815" spans="20:20" x14ac:dyDescent="0.35">
      <c r="T815" t="str">
        <f t="shared" si="12"/>
        <v/>
      </c>
    </row>
    <row r="816" spans="20:20" x14ac:dyDescent="0.35">
      <c r="T816" t="str">
        <f t="shared" si="12"/>
        <v/>
      </c>
    </row>
    <row r="817" spans="20:20" x14ac:dyDescent="0.35">
      <c r="T817" t="str">
        <f t="shared" si="12"/>
        <v/>
      </c>
    </row>
    <row r="818" spans="20:20" x14ac:dyDescent="0.35">
      <c r="T818" t="str">
        <f t="shared" si="12"/>
        <v/>
      </c>
    </row>
    <row r="819" spans="20:20" x14ac:dyDescent="0.35">
      <c r="T819" t="str">
        <f t="shared" si="12"/>
        <v/>
      </c>
    </row>
    <row r="820" spans="20:20" x14ac:dyDescent="0.35">
      <c r="T820" t="str">
        <f t="shared" si="12"/>
        <v/>
      </c>
    </row>
    <row r="821" spans="20:20" x14ac:dyDescent="0.35">
      <c r="T821" t="str">
        <f t="shared" si="12"/>
        <v/>
      </c>
    </row>
    <row r="822" spans="20:20" x14ac:dyDescent="0.35">
      <c r="T822" t="str">
        <f t="shared" si="12"/>
        <v/>
      </c>
    </row>
    <row r="823" spans="20:20" x14ac:dyDescent="0.35">
      <c r="T823" t="str">
        <f t="shared" si="12"/>
        <v/>
      </c>
    </row>
    <row r="824" spans="20:20" x14ac:dyDescent="0.35">
      <c r="T824" t="str">
        <f t="shared" si="12"/>
        <v/>
      </c>
    </row>
    <row r="825" spans="20:20" x14ac:dyDescent="0.35">
      <c r="T825" t="str">
        <f t="shared" si="12"/>
        <v/>
      </c>
    </row>
    <row r="826" spans="20:20" x14ac:dyDescent="0.35">
      <c r="T826" t="str">
        <f t="shared" si="12"/>
        <v/>
      </c>
    </row>
    <row r="827" spans="20:20" x14ac:dyDescent="0.35">
      <c r="T827" t="str">
        <f t="shared" si="12"/>
        <v/>
      </c>
    </row>
    <row r="828" spans="20:20" x14ac:dyDescent="0.35">
      <c r="T828" t="str">
        <f t="shared" si="12"/>
        <v/>
      </c>
    </row>
    <row r="829" spans="20:20" x14ac:dyDescent="0.35">
      <c r="T829" t="str">
        <f t="shared" si="12"/>
        <v/>
      </c>
    </row>
    <row r="830" spans="20:20" x14ac:dyDescent="0.35">
      <c r="T830" t="str">
        <f t="shared" si="12"/>
        <v/>
      </c>
    </row>
    <row r="831" spans="20:20" x14ac:dyDescent="0.35">
      <c r="T831" t="str">
        <f t="shared" si="12"/>
        <v/>
      </c>
    </row>
    <row r="832" spans="20:20" x14ac:dyDescent="0.35">
      <c r="T832" t="str">
        <f t="shared" si="12"/>
        <v/>
      </c>
    </row>
    <row r="833" spans="20:20" x14ac:dyDescent="0.35">
      <c r="T833" t="str">
        <f t="shared" si="12"/>
        <v/>
      </c>
    </row>
    <row r="834" spans="20:20" x14ac:dyDescent="0.35">
      <c r="T834" t="str">
        <f t="shared" ref="T834:T897" si="13">IF(P834="","",YEAR(P834))</f>
        <v/>
      </c>
    </row>
    <row r="835" spans="20:20" x14ac:dyDescent="0.35">
      <c r="T835" t="str">
        <f t="shared" si="13"/>
        <v/>
      </c>
    </row>
    <row r="836" spans="20:20" x14ac:dyDescent="0.35">
      <c r="T836" t="str">
        <f t="shared" si="13"/>
        <v/>
      </c>
    </row>
    <row r="837" spans="20:20" x14ac:dyDescent="0.35">
      <c r="T837" t="str">
        <f t="shared" si="13"/>
        <v/>
      </c>
    </row>
    <row r="838" spans="20:20" x14ac:dyDescent="0.35">
      <c r="T838" t="str">
        <f t="shared" si="13"/>
        <v/>
      </c>
    </row>
    <row r="839" spans="20:20" x14ac:dyDescent="0.35">
      <c r="T839" t="str">
        <f t="shared" si="13"/>
        <v/>
      </c>
    </row>
    <row r="840" spans="20:20" x14ac:dyDescent="0.35">
      <c r="T840" t="str">
        <f t="shared" si="13"/>
        <v/>
      </c>
    </row>
    <row r="841" spans="20:20" x14ac:dyDescent="0.35">
      <c r="T841" t="str">
        <f t="shared" si="13"/>
        <v/>
      </c>
    </row>
    <row r="842" spans="20:20" x14ac:dyDescent="0.35">
      <c r="T842" t="str">
        <f t="shared" si="13"/>
        <v/>
      </c>
    </row>
    <row r="843" spans="20:20" x14ac:dyDescent="0.35">
      <c r="T843" t="str">
        <f t="shared" si="13"/>
        <v/>
      </c>
    </row>
    <row r="844" spans="20:20" x14ac:dyDescent="0.35">
      <c r="T844" t="str">
        <f t="shared" si="13"/>
        <v/>
      </c>
    </row>
    <row r="845" spans="20:20" x14ac:dyDescent="0.35">
      <c r="T845" t="str">
        <f t="shared" si="13"/>
        <v/>
      </c>
    </row>
    <row r="846" spans="20:20" x14ac:dyDescent="0.35">
      <c r="T846" t="str">
        <f t="shared" si="13"/>
        <v/>
      </c>
    </row>
    <row r="847" spans="20:20" x14ac:dyDescent="0.35">
      <c r="T847" t="str">
        <f t="shared" si="13"/>
        <v/>
      </c>
    </row>
    <row r="848" spans="20:20" x14ac:dyDescent="0.35">
      <c r="T848" t="str">
        <f t="shared" si="13"/>
        <v/>
      </c>
    </row>
    <row r="849" spans="20:20" x14ac:dyDescent="0.35">
      <c r="T849" t="str">
        <f t="shared" si="13"/>
        <v/>
      </c>
    </row>
    <row r="850" spans="20:20" x14ac:dyDescent="0.35">
      <c r="T850" t="str">
        <f t="shared" si="13"/>
        <v/>
      </c>
    </row>
    <row r="851" spans="20:20" x14ac:dyDescent="0.35">
      <c r="T851" t="str">
        <f t="shared" si="13"/>
        <v/>
      </c>
    </row>
    <row r="852" spans="20:20" x14ac:dyDescent="0.35">
      <c r="T852" t="str">
        <f t="shared" si="13"/>
        <v/>
      </c>
    </row>
    <row r="853" spans="20:20" x14ac:dyDescent="0.35">
      <c r="T853" t="str">
        <f t="shared" si="13"/>
        <v/>
      </c>
    </row>
    <row r="854" spans="20:20" x14ac:dyDescent="0.35">
      <c r="T854" t="str">
        <f t="shared" si="13"/>
        <v/>
      </c>
    </row>
    <row r="855" spans="20:20" x14ac:dyDescent="0.35">
      <c r="T855" t="str">
        <f t="shared" si="13"/>
        <v/>
      </c>
    </row>
    <row r="856" spans="20:20" x14ac:dyDescent="0.35">
      <c r="T856" t="str">
        <f t="shared" si="13"/>
        <v/>
      </c>
    </row>
    <row r="857" spans="20:20" x14ac:dyDescent="0.35">
      <c r="T857" t="str">
        <f t="shared" si="13"/>
        <v/>
      </c>
    </row>
    <row r="858" spans="20:20" x14ac:dyDescent="0.35">
      <c r="T858" t="str">
        <f t="shared" si="13"/>
        <v/>
      </c>
    </row>
    <row r="859" spans="20:20" x14ac:dyDescent="0.35">
      <c r="T859" t="str">
        <f t="shared" si="13"/>
        <v/>
      </c>
    </row>
    <row r="860" spans="20:20" x14ac:dyDescent="0.35">
      <c r="T860" t="str">
        <f t="shared" si="13"/>
        <v/>
      </c>
    </row>
    <row r="861" spans="20:20" x14ac:dyDescent="0.35">
      <c r="T861" t="str">
        <f t="shared" si="13"/>
        <v/>
      </c>
    </row>
    <row r="862" spans="20:20" x14ac:dyDescent="0.35">
      <c r="T862" t="str">
        <f t="shared" si="13"/>
        <v/>
      </c>
    </row>
    <row r="863" spans="20:20" x14ac:dyDescent="0.35">
      <c r="T863" t="str">
        <f t="shared" si="13"/>
        <v/>
      </c>
    </row>
    <row r="864" spans="20:20" x14ac:dyDescent="0.35">
      <c r="T864" t="str">
        <f t="shared" si="13"/>
        <v/>
      </c>
    </row>
    <row r="865" spans="20:20" x14ac:dyDescent="0.35">
      <c r="T865" t="str">
        <f t="shared" si="13"/>
        <v/>
      </c>
    </row>
    <row r="866" spans="20:20" x14ac:dyDescent="0.35">
      <c r="T866" t="str">
        <f t="shared" si="13"/>
        <v/>
      </c>
    </row>
    <row r="867" spans="20:20" x14ac:dyDescent="0.35">
      <c r="T867" t="str">
        <f t="shared" si="13"/>
        <v/>
      </c>
    </row>
    <row r="868" spans="20:20" x14ac:dyDescent="0.35">
      <c r="T868" t="str">
        <f t="shared" si="13"/>
        <v/>
      </c>
    </row>
    <row r="869" spans="20:20" x14ac:dyDescent="0.35">
      <c r="T869" t="str">
        <f t="shared" si="13"/>
        <v/>
      </c>
    </row>
    <row r="870" spans="20:20" x14ac:dyDescent="0.35">
      <c r="T870" t="str">
        <f t="shared" si="13"/>
        <v/>
      </c>
    </row>
    <row r="871" spans="20:20" x14ac:dyDescent="0.35">
      <c r="T871" t="str">
        <f t="shared" si="13"/>
        <v/>
      </c>
    </row>
    <row r="872" spans="20:20" x14ac:dyDescent="0.35">
      <c r="T872" t="str">
        <f t="shared" si="13"/>
        <v/>
      </c>
    </row>
    <row r="873" spans="20:20" x14ac:dyDescent="0.35">
      <c r="T873" t="str">
        <f t="shared" si="13"/>
        <v/>
      </c>
    </row>
    <row r="874" spans="20:20" x14ac:dyDescent="0.35">
      <c r="T874" t="str">
        <f t="shared" si="13"/>
        <v/>
      </c>
    </row>
    <row r="875" spans="20:20" x14ac:dyDescent="0.35">
      <c r="T875" t="str">
        <f t="shared" si="13"/>
        <v/>
      </c>
    </row>
    <row r="876" spans="20:20" x14ac:dyDescent="0.35">
      <c r="T876" t="str">
        <f t="shared" si="13"/>
        <v/>
      </c>
    </row>
    <row r="877" spans="20:20" x14ac:dyDescent="0.35">
      <c r="T877" t="str">
        <f t="shared" si="13"/>
        <v/>
      </c>
    </row>
    <row r="878" spans="20:20" x14ac:dyDescent="0.35">
      <c r="T878" t="str">
        <f t="shared" si="13"/>
        <v/>
      </c>
    </row>
    <row r="879" spans="20:20" x14ac:dyDescent="0.35">
      <c r="T879" t="str">
        <f t="shared" si="13"/>
        <v/>
      </c>
    </row>
    <row r="880" spans="20:20" x14ac:dyDescent="0.35">
      <c r="T880" t="str">
        <f t="shared" si="13"/>
        <v/>
      </c>
    </row>
    <row r="881" spans="20:20" x14ac:dyDescent="0.35">
      <c r="T881" t="str">
        <f t="shared" si="13"/>
        <v/>
      </c>
    </row>
    <row r="882" spans="20:20" x14ac:dyDescent="0.35">
      <c r="T882" t="str">
        <f t="shared" si="13"/>
        <v/>
      </c>
    </row>
    <row r="883" spans="20:20" x14ac:dyDescent="0.35">
      <c r="T883" t="str">
        <f t="shared" si="13"/>
        <v/>
      </c>
    </row>
    <row r="884" spans="20:20" x14ac:dyDescent="0.35">
      <c r="T884" t="str">
        <f t="shared" si="13"/>
        <v/>
      </c>
    </row>
    <row r="885" spans="20:20" x14ac:dyDescent="0.35">
      <c r="T885" t="str">
        <f t="shared" si="13"/>
        <v/>
      </c>
    </row>
    <row r="886" spans="20:20" x14ac:dyDescent="0.35">
      <c r="T886" t="str">
        <f t="shared" si="13"/>
        <v/>
      </c>
    </row>
    <row r="887" spans="20:20" x14ac:dyDescent="0.35">
      <c r="T887" t="str">
        <f t="shared" si="13"/>
        <v/>
      </c>
    </row>
    <row r="888" spans="20:20" x14ac:dyDescent="0.35">
      <c r="T888" t="str">
        <f t="shared" si="13"/>
        <v/>
      </c>
    </row>
    <row r="889" spans="20:20" x14ac:dyDescent="0.35">
      <c r="T889" t="str">
        <f t="shared" si="13"/>
        <v/>
      </c>
    </row>
    <row r="890" spans="20:20" x14ac:dyDescent="0.35">
      <c r="T890" t="str">
        <f t="shared" si="13"/>
        <v/>
      </c>
    </row>
    <row r="891" spans="20:20" x14ac:dyDescent="0.35">
      <c r="T891" t="str">
        <f t="shared" si="13"/>
        <v/>
      </c>
    </row>
    <row r="892" spans="20:20" x14ac:dyDescent="0.35">
      <c r="T892" t="str">
        <f t="shared" si="13"/>
        <v/>
      </c>
    </row>
    <row r="893" spans="20:20" x14ac:dyDescent="0.35">
      <c r="T893" t="str">
        <f t="shared" si="13"/>
        <v/>
      </c>
    </row>
    <row r="894" spans="20:20" x14ac:dyDescent="0.35">
      <c r="T894" t="str">
        <f t="shared" si="13"/>
        <v/>
      </c>
    </row>
    <row r="895" spans="20:20" x14ac:dyDescent="0.35">
      <c r="T895" t="str">
        <f t="shared" si="13"/>
        <v/>
      </c>
    </row>
    <row r="896" spans="20:20" x14ac:dyDescent="0.35">
      <c r="T896" t="str">
        <f t="shared" si="13"/>
        <v/>
      </c>
    </row>
    <row r="897" spans="20:20" x14ac:dyDescent="0.35">
      <c r="T897" t="str">
        <f t="shared" si="13"/>
        <v/>
      </c>
    </row>
    <row r="898" spans="20:20" x14ac:dyDescent="0.35">
      <c r="T898" t="str">
        <f t="shared" ref="T898:T961" si="14">IF(P898="","",YEAR(P898))</f>
        <v/>
      </c>
    </row>
    <row r="899" spans="20:20" x14ac:dyDescent="0.35">
      <c r="T899" t="str">
        <f t="shared" si="14"/>
        <v/>
      </c>
    </row>
    <row r="900" spans="20:20" x14ac:dyDescent="0.35">
      <c r="T900" t="str">
        <f t="shared" si="14"/>
        <v/>
      </c>
    </row>
    <row r="901" spans="20:20" x14ac:dyDescent="0.35">
      <c r="T901" t="str">
        <f t="shared" si="14"/>
        <v/>
      </c>
    </row>
    <row r="902" spans="20:20" x14ac:dyDescent="0.35">
      <c r="T902" t="str">
        <f t="shared" si="14"/>
        <v/>
      </c>
    </row>
    <row r="903" spans="20:20" x14ac:dyDescent="0.35">
      <c r="T903" t="str">
        <f t="shared" si="14"/>
        <v/>
      </c>
    </row>
    <row r="904" spans="20:20" x14ac:dyDescent="0.35">
      <c r="T904" t="str">
        <f t="shared" si="14"/>
        <v/>
      </c>
    </row>
    <row r="905" spans="20:20" x14ac:dyDescent="0.35">
      <c r="T905" t="str">
        <f t="shared" si="14"/>
        <v/>
      </c>
    </row>
    <row r="906" spans="20:20" x14ac:dyDescent="0.35">
      <c r="T906" t="str">
        <f t="shared" si="14"/>
        <v/>
      </c>
    </row>
    <row r="907" spans="20:20" x14ac:dyDescent="0.35">
      <c r="T907" t="str">
        <f t="shared" si="14"/>
        <v/>
      </c>
    </row>
    <row r="908" spans="20:20" x14ac:dyDescent="0.35">
      <c r="T908" t="str">
        <f t="shared" si="14"/>
        <v/>
      </c>
    </row>
    <row r="909" spans="20:20" x14ac:dyDescent="0.35">
      <c r="T909" t="str">
        <f t="shared" si="14"/>
        <v/>
      </c>
    </row>
    <row r="910" spans="20:20" x14ac:dyDescent="0.35">
      <c r="T910" t="str">
        <f t="shared" si="14"/>
        <v/>
      </c>
    </row>
    <row r="911" spans="20:20" x14ac:dyDescent="0.35">
      <c r="T911" t="str">
        <f t="shared" si="14"/>
        <v/>
      </c>
    </row>
    <row r="912" spans="20:20" x14ac:dyDescent="0.35">
      <c r="T912" t="str">
        <f t="shared" si="14"/>
        <v/>
      </c>
    </row>
    <row r="913" spans="20:20" x14ac:dyDescent="0.35">
      <c r="T913" t="str">
        <f t="shared" si="14"/>
        <v/>
      </c>
    </row>
    <row r="914" spans="20:20" x14ac:dyDescent="0.35">
      <c r="T914" t="str">
        <f t="shared" si="14"/>
        <v/>
      </c>
    </row>
    <row r="915" spans="20:20" x14ac:dyDescent="0.35">
      <c r="T915" t="str">
        <f t="shared" si="14"/>
        <v/>
      </c>
    </row>
    <row r="916" spans="20:20" x14ac:dyDescent="0.35">
      <c r="T916" t="str">
        <f t="shared" si="14"/>
        <v/>
      </c>
    </row>
    <row r="917" spans="20:20" x14ac:dyDescent="0.35">
      <c r="T917" t="str">
        <f t="shared" si="14"/>
        <v/>
      </c>
    </row>
    <row r="918" spans="20:20" x14ac:dyDescent="0.35">
      <c r="T918" t="str">
        <f t="shared" si="14"/>
        <v/>
      </c>
    </row>
    <row r="919" spans="20:20" x14ac:dyDescent="0.35">
      <c r="T919" t="str">
        <f t="shared" si="14"/>
        <v/>
      </c>
    </row>
    <row r="920" spans="20:20" x14ac:dyDescent="0.35">
      <c r="T920" t="str">
        <f t="shared" si="14"/>
        <v/>
      </c>
    </row>
    <row r="921" spans="20:20" x14ac:dyDescent="0.35">
      <c r="T921" t="str">
        <f t="shared" si="14"/>
        <v/>
      </c>
    </row>
    <row r="922" spans="20:20" x14ac:dyDescent="0.35">
      <c r="T922" t="str">
        <f t="shared" si="14"/>
        <v/>
      </c>
    </row>
    <row r="923" spans="20:20" x14ac:dyDescent="0.35">
      <c r="T923" t="str">
        <f t="shared" si="14"/>
        <v/>
      </c>
    </row>
    <row r="924" spans="20:20" x14ac:dyDescent="0.35">
      <c r="T924" t="str">
        <f t="shared" si="14"/>
        <v/>
      </c>
    </row>
    <row r="925" spans="20:20" x14ac:dyDescent="0.35">
      <c r="T925" t="str">
        <f t="shared" si="14"/>
        <v/>
      </c>
    </row>
    <row r="926" spans="20:20" x14ac:dyDescent="0.35">
      <c r="T926" t="str">
        <f t="shared" si="14"/>
        <v/>
      </c>
    </row>
    <row r="927" spans="20:20" x14ac:dyDescent="0.35">
      <c r="T927" t="str">
        <f t="shared" si="14"/>
        <v/>
      </c>
    </row>
    <row r="928" spans="20:20" x14ac:dyDescent="0.35">
      <c r="T928" t="str">
        <f t="shared" si="14"/>
        <v/>
      </c>
    </row>
    <row r="929" spans="20:20" x14ac:dyDescent="0.35">
      <c r="T929" t="str">
        <f t="shared" si="14"/>
        <v/>
      </c>
    </row>
    <row r="930" spans="20:20" x14ac:dyDescent="0.35">
      <c r="T930" t="str">
        <f t="shared" si="14"/>
        <v/>
      </c>
    </row>
    <row r="931" spans="20:20" x14ac:dyDescent="0.35">
      <c r="T931" t="str">
        <f t="shared" si="14"/>
        <v/>
      </c>
    </row>
    <row r="932" spans="20:20" x14ac:dyDescent="0.35">
      <c r="T932" t="str">
        <f t="shared" si="14"/>
        <v/>
      </c>
    </row>
    <row r="933" spans="20:20" x14ac:dyDescent="0.35">
      <c r="T933" t="str">
        <f t="shared" si="14"/>
        <v/>
      </c>
    </row>
    <row r="934" spans="20:20" x14ac:dyDescent="0.35">
      <c r="T934" t="str">
        <f t="shared" si="14"/>
        <v/>
      </c>
    </row>
    <row r="935" spans="20:20" x14ac:dyDescent="0.35">
      <c r="T935" t="str">
        <f t="shared" si="14"/>
        <v/>
      </c>
    </row>
    <row r="936" spans="20:20" x14ac:dyDescent="0.35">
      <c r="T936" t="str">
        <f t="shared" si="14"/>
        <v/>
      </c>
    </row>
    <row r="937" spans="20:20" x14ac:dyDescent="0.35">
      <c r="T937" t="str">
        <f t="shared" si="14"/>
        <v/>
      </c>
    </row>
    <row r="938" spans="20:20" x14ac:dyDescent="0.35">
      <c r="T938" t="str">
        <f t="shared" si="14"/>
        <v/>
      </c>
    </row>
    <row r="939" spans="20:20" x14ac:dyDescent="0.35">
      <c r="T939" t="str">
        <f t="shared" si="14"/>
        <v/>
      </c>
    </row>
    <row r="940" spans="20:20" x14ac:dyDescent="0.35">
      <c r="T940" t="str">
        <f t="shared" si="14"/>
        <v/>
      </c>
    </row>
    <row r="941" spans="20:20" x14ac:dyDescent="0.35">
      <c r="T941" t="str">
        <f t="shared" si="14"/>
        <v/>
      </c>
    </row>
    <row r="942" spans="20:20" x14ac:dyDescent="0.35">
      <c r="T942" t="str">
        <f t="shared" si="14"/>
        <v/>
      </c>
    </row>
    <row r="943" spans="20:20" x14ac:dyDescent="0.35">
      <c r="T943" t="str">
        <f t="shared" si="14"/>
        <v/>
      </c>
    </row>
    <row r="944" spans="20:20" x14ac:dyDescent="0.35">
      <c r="T944" t="str">
        <f t="shared" si="14"/>
        <v/>
      </c>
    </row>
    <row r="945" spans="20:20" x14ac:dyDescent="0.35">
      <c r="T945" t="str">
        <f t="shared" si="14"/>
        <v/>
      </c>
    </row>
    <row r="946" spans="20:20" x14ac:dyDescent="0.35">
      <c r="T946" t="str">
        <f t="shared" si="14"/>
        <v/>
      </c>
    </row>
    <row r="947" spans="20:20" x14ac:dyDescent="0.35">
      <c r="T947" t="str">
        <f t="shared" si="14"/>
        <v/>
      </c>
    </row>
    <row r="948" spans="20:20" x14ac:dyDescent="0.35">
      <c r="T948" t="str">
        <f t="shared" si="14"/>
        <v/>
      </c>
    </row>
    <row r="949" spans="20:20" x14ac:dyDescent="0.35">
      <c r="T949" t="str">
        <f t="shared" si="14"/>
        <v/>
      </c>
    </row>
    <row r="950" spans="20:20" x14ac:dyDescent="0.35">
      <c r="T950" t="str">
        <f t="shared" si="14"/>
        <v/>
      </c>
    </row>
    <row r="951" spans="20:20" x14ac:dyDescent="0.35">
      <c r="T951" t="str">
        <f t="shared" si="14"/>
        <v/>
      </c>
    </row>
    <row r="952" spans="20:20" x14ac:dyDescent="0.35">
      <c r="T952" t="str">
        <f t="shared" si="14"/>
        <v/>
      </c>
    </row>
    <row r="953" spans="20:20" x14ac:dyDescent="0.35">
      <c r="T953" t="str">
        <f t="shared" si="14"/>
        <v/>
      </c>
    </row>
    <row r="954" spans="20:20" x14ac:dyDescent="0.35">
      <c r="T954" t="str">
        <f t="shared" si="14"/>
        <v/>
      </c>
    </row>
    <row r="955" spans="20:20" x14ac:dyDescent="0.35">
      <c r="T955" t="str">
        <f t="shared" si="14"/>
        <v/>
      </c>
    </row>
    <row r="956" spans="20:20" x14ac:dyDescent="0.35">
      <c r="T956" t="str">
        <f t="shared" si="14"/>
        <v/>
      </c>
    </row>
    <row r="957" spans="20:20" x14ac:dyDescent="0.35">
      <c r="T957" t="str">
        <f t="shared" si="14"/>
        <v/>
      </c>
    </row>
    <row r="958" spans="20:20" x14ac:dyDescent="0.35">
      <c r="T958" t="str">
        <f t="shared" si="14"/>
        <v/>
      </c>
    </row>
    <row r="959" spans="20:20" x14ac:dyDescent="0.35">
      <c r="T959" t="str">
        <f t="shared" si="14"/>
        <v/>
      </c>
    </row>
    <row r="960" spans="20:20" x14ac:dyDescent="0.35">
      <c r="T960" t="str">
        <f t="shared" si="14"/>
        <v/>
      </c>
    </row>
    <row r="961" spans="20:20" x14ac:dyDescent="0.35">
      <c r="T961" t="str">
        <f t="shared" si="14"/>
        <v/>
      </c>
    </row>
    <row r="962" spans="20:20" x14ac:dyDescent="0.35">
      <c r="T962" t="str">
        <f t="shared" ref="T962:T1000" si="15">IF(P962="","",YEAR(P962))</f>
        <v/>
      </c>
    </row>
    <row r="963" spans="20:20" x14ac:dyDescent="0.35">
      <c r="T963" t="str">
        <f t="shared" si="15"/>
        <v/>
      </c>
    </row>
    <row r="964" spans="20:20" x14ac:dyDescent="0.35">
      <c r="T964" t="str">
        <f t="shared" si="15"/>
        <v/>
      </c>
    </row>
    <row r="965" spans="20:20" x14ac:dyDescent="0.35">
      <c r="T965" t="str">
        <f t="shared" si="15"/>
        <v/>
      </c>
    </row>
    <row r="966" spans="20:20" x14ac:dyDescent="0.35">
      <c r="T966" t="str">
        <f t="shared" si="15"/>
        <v/>
      </c>
    </row>
    <row r="967" spans="20:20" x14ac:dyDescent="0.35">
      <c r="T967" t="str">
        <f t="shared" si="15"/>
        <v/>
      </c>
    </row>
    <row r="968" spans="20:20" x14ac:dyDescent="0.35">
      <c r="T968" t="str">
        <f t="shared" si="15"/>
        <v/>
      </c>
    </row>
    <row r="969" spans="20:20" x14ac:dyDescent="0.35">
      <c r="T969" t="str">
        <f t="shared" si="15"/>
        <v/>
      </c>
    </row>
    <row r="970" spans="20:20" x14ac:dyDescent="0.35">
      <c r="T970" t="str">
        <f t="shared" si="15"/>
        <v/>
      </c>
    </row>
    <row r="971" spans="20:20" x14ac:dyDescent="0.35">
      <c r="T971" t="str">
        <f t="shared" si="15"/>
        <v/>
      </c>
    </row>
    <row r="972" spans="20:20" x14ac:dyDescent="0.35">
      <c r="T972" t="str">
        <f t="shared" si="15"/>
        <v/>
      </c>
    </row>
    <row r="973" spans="20:20" x14ac:dyDescent="0.35">
      <c r="T973" t="str">
        <f t="shared" si="15"/>
        <v/>
      </c>
    </row>
    <row r="974" spans="20:20" x14ac:dyDescent="0.35">
      <c r="T974" t="str">
        <f t="shared" si="15"/>
        <v/>
      </c>
    </row>
    <row r="975" spans="20:20" x14ac:dyDescent="0.35">
      <c r="T975" t="str">
        <f t="shared" si="15"/>
        <v/>
      </c>
    </row>
    <row r="976" spans="20:20" x14ac:dyDescent="0.35">
      <c r="T976" t="str">
        <f t="shared" si="15"/>
        <v/>
      </c>
    </row>
    <row r="977" spans="20:20" x14ac:dyDescent="0.35">
      <c r="T977" t="str">
        <f t="shared" si="15"/>
        <v/>
      </c>
    </row>
    <row r="978" spans="20:20" x14ac:dyDescent="0.35">
      <c r="T978" t="str">
        <f t="shared" si="15"/>
        <v/>
      </c>
    </row>
    <row r="979" spans="20:20" x14ac:dyDescent="0.35">
      <c r="T979" t="str">
        <f t="shared" si="15"/>
        <v/>
      </c>
    </row>
    <row r="980" spans="20:20" x14ac:dyDescent="0.35">
      <c r="T980" t="str">
        <f t="shared" si="15"/>
        <v/>
      </c>
    </row>
    <row r="981" spans="20:20" x14ac:dyDescent="0.35">
      <c r="T981" t="str">
        <f t="shared" si="15"/>
        <v/>
      </c>
    </row>
    <row r="982" spans="20:20" x14ac:dyDescent="0.35">
      <c r="T982" t="str">
        <f t="shared" si="15"/>
        <v/>
      </c>
    </row>
    <row r="983" spans="20:20" x14ac:dyDescent="0.35">
      <c r="T983" t="str">
        <f t="shared" si="15"/>
        <v/>
      </c>
    </row>
    <row r="984" spans="20:20" x14ac:dyDescent="0.35">
      <c r="T984" t="str">
        <f t="shared" si="15"/>
        <v/>
      </c>
    </row>
    <row r="985" spans="20:20" x14ac:dyDescent="0.35">
      <c r="T985" t="str">
        <f t="shared" si="15"/>
        <v/>
      </c>
    </row>
    <row r="986" spans="20:20" x14ac:dyDescent="0.35">
      <c r="T986" t="str">
        <f t="shared" si="15"/>
        <v/>
      </c>
    </row>
    <row r="987" spans="20:20" x14ac:dyDescent="0.35">
      <c r="T987" t="str">
        <f t="shared" si="15"/>
        <v/>
      </c>
    </row>
    <row r="988" spans="20:20" x14ac:dyDescent="0.35">
      <c r="T988" t="str">
        <f t="shared" si="15"/>
        <v/>
      </c>
    </row>
    <row r="989" spans="20:20" x14ac:dyDescent="0.35">
      <c r="T989" t="str">
        <f t="shared" si="15"/>
        <v/>
      </c>
    </row>
    <row r="990" spans="20:20" x14ac:dyDescent="0.35">
      <c r="T990" t="str">
        <f t="shared" si="15"/>
        <v/>
      </c>
    </row>
    <row r="991" spans="20:20" x14ac:dyDescent="0.35">
      <c r="T991" t="str">
        <f t="shared" si="15"/>
        <v/>
      </c>
    </row>
    <row r="992" spans="20:20" x14ac:dyDescent="0.35">
      <c r="T992" t="str">
        <f t="shared" si="15"/>
        <v/>
      </c>
    </row>
    <row r="993" spans="20:20" x14ac:dyDescent="0.35">
      <c r="T993" t="str">
        <f t="shared" si="15"/>
        <v/>
      </c>
    </row>
    <row r="994" spans="20:20" x14ac:dyDescent="0.35">
      <c r="T994" t="str">
        <f t="shared" si="15"/>
        <v/>
      </c>
    </row>
    <row r="995" spans="20:20" x14ac:dyDescent="0.35">
      <c r="T995" t="str">
        <f t="shared" si="15"/>
        <v/>
      </c>
    </row>
    <row r="996" spans="20:20" x14ac:dyDescent="0.35">
      <c r="T996" t="str">
        <f t="shared" si="15"/>
        <v/>
      </c>
    </row>
    <row r="997" spans="20:20" x14ac:dyDescent="0.35">
      <c r="T997" t="str">
        <f t="shared" si="15"/>
        <v/>
      </c>
    </row>
    <row r="998" spans="20:20" x14ac:dyDescent="0.35">
      <c r="T998" t="str">
        <f t="shared" si="15"/>
        <v/>
      </c>
    </row>
    <row r="999" spans="20:20" x14ac:dyDescent="0.35">
      <c r="T999" t="str">
        <f t="shared" si="15"/>
        <v/>
      </c>
    </row>
    <row r="1000" spans="20:20" x14ac:dyDescent="0.35">
      <c r="T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400-000000000000}">
          <x14:formula1>
            <xm:f>DB_Lookups!$A$2:$A$20</xm:f>
          </x14:formula1>
          <xm:sqref>M2:M1000</xm:sqref>
        </x14:dataValidation>
        <x14:dataValidation type="list" allowBlank="1" xr:uid="{00000000-0002-0000-0400-000001000000}">
          <x14:formula1>
            <xm:f>DB_Lookups!$D$2:$D$10</xm:f>
          </x14:formula1>
          <xm:sqref>T2:T1000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1000"/>
  <sheetViews>
    <sheetView rightToLeft="1" workbookViewId="0">
      <selection activeCell="M2" sqref="M2"/>
    </sheetView>
  </sheetViews>
  <sheetFormatPr defaultRowHeight="16.8" x14ac:dyDescent="0.35"/>
  <cols>
    <col min="1" max="1" width="7.5546875" bestFit="1" customWidth="1"/>
    <col min="2" max="2" width="11" bestFit="1" customWidth="1"/>
    <col min="3" max="3" width="13.44140625" bestFit="1" customWidth="1"/>
    <col min="4" max="4" width="22.109375" bestFit="1" customWidth="1"/>
    <col min="5" max="6" width="16" bestFit="1" customWidth="1"/>
    <col min="7" max="7" width="12.44140625" bestFit="1" customWidth="1"/>
    <col min="8" max="8" width="26.33203125" bestFit="1" customWidth="1"/>
    <col min="9" max="9" width="10.5546875" bestFit="1" customWidth="1"/>
    <col min="10" max="10" width="17.44140625" bestFit="1" customWidth="1"/>
    <col min="11" max="11" width="18.5546875" bestFit="1" customWidth="1"/>
    <col min="12" max="12" width="11" bestFit="1" customWidth="1"/>
    <col min="13" max="13" width="20.33203125" style="12" bestFit="1" customWidth="1"/>
    <col min="14" max="14" width="13.44140625" bestFit="1" customWidth="1"/>
    <col min="15" max="15" width="8.88671875" bestFit="1" customWidth="1"/>
    <col min="16" max="16" width="14.5546875" bestFit="1" customWidth="1"/>
    <col min="17" max="17" width="9.109375" bestFit="1" customWidth="1"/>
    <col min="18" max="18" width="14.6640625" bestFit="1" customWidth="1"/>
    <col min="21" max="21" width="18" customWidth="1"/>
    <col min="22" max="22" width="22" customWidth="1"/>
  </cols>
  <sheetData>
    <row r="1" spans="1:22" s="7" customFormat="1" ht="18" customHeight="1" x14ac:dyDescent="0.35">
      <c r="A1" s="18" t="s">
        <v>0</v>
      </c>
      <c r="B1" s="18" t="s">
        <v>69</v>
      </c>
      <c r="C1" s="18" t="s">
        <v>4</v>
      </c>
      <c r="D1" s="18" t="s">
        <v>5</v>
      </c>
      <c r="E1" s="18" t="s">
        <v>6</v>
      </c>
      <c r="F1" s="18" t="s">
        <v>7</v>
      </c>
      <c r="G1" s="19" t="s">
        <v>38</v>
      </c>
      <c r="H1" s="7" t="s">
        <v>8</v>
      </c>
      <c r="I1" s="18" t="s">
        <v>70</v>
      </c>
      <c r="J1" s="18" t="s">
        <v>12</v>
      </c>
      <c r="K1" s="18" t="s">
        <v>71</v>
      </c>
      <c r="L1" s="18" t="s">
        <v>72</v>
      </c>
      <c r="M1" s="21" t="s">
        <v>11</v>
      </c>
      <c r="N1" s="18" t="s">
        <v>73</v>
      </c>
      <c r="O1" s="18" t="s">
        <v>13</v>
      </c>
      <c r="P1" s="18" t="s">
        <v>14</v>
      </c>
      <c r="Q1" s="18" t="s">
        <v>15</v>
      </c>
      <c r="R1" s="18" t="s">
        <v>16</v>
      </c>
      <c r="S1" s="18" t="s">
        <v>17</v>
      </c>
      <c r="T1" t="s">
        <v>18</v>
      </c>
      <c r="U1" t="s">
        <v>19</v>
      </c>
      <c r="V1" t="s">
        <v>20</v>
      </c>
    </row>
    <row r="2" spans="1:22" x14ac:dyDescent="0.35">
      <c r="A2" s="3">
        <v>51</v>
      </c>
      <c r="B2" s="3" t="s">
        <v>74</v>
      </c>
      <c r="C2" s="3" t="s">
        <v>22</v>
      </c>
      <c r="D2" s="3" t="s">
        <v>54</v>
      </c>
      <c r="E2" s="3">
        <v>1</v>
      </c>
      <c r="F2" s="3" t="s">
        <v>27</v>
      </c>
      <c r="G2" s="3" t="s">
        <v>29</v>
      </c>
      <c r="H2" s="3"/>
      <c r="I2" s="3"/>
      <c r="J2" s="3"/>
      <c r="K2" s="3"/>
      <c r="L2" s="3"/>
      <c r="N2" s="3"/>
      <c r="O2" s="3"/>
      <c r="P2" s="3"/>
      <c r="Q2" s="3"/>
      <c r="R2" s="3"/>
      <c r="S2" s="3"/>
      <c r="T2" t="str">
        <f t="shared" ref="T2:T65" si="0">IF(P2="","",YEAR(P2))</f>
        <v/>
      </c>
    </row>
    <row r="3" spans="1:22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N3" s="3"/>
      <c r="O3" s="3"/>
      <c r="P3" s="3"/>
      <c r="Q3" s="3"/>
      <c r="R3" s="3"/>
      <c r="S3" s="3"/>
      <c r="T3" t="str">
        <f t="shared" si="0"/>
        <v/>
      </c>
    </row>
    <row r="4" spans="1:22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 s="3"/>
      <c r="O4" s="3"/>
      <c r="P4" s="3"/>
      <c r="Q4" s="3"/>
      <c r="R4" s="3"/>
      <c r="S4" s="3"/>
      <c r="T4" t="str">
        <f t="shared" si="0"/>
        <v/>
      </c>
    </row>
    <row r="5" spans="1:22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N5" s="3"/>
      <c r="O5" s="3"/>
      <c r="P5" s="3"/>
      <c r="Q5" s="3"/>
      <c r="R5" s="3"/>
      <c r="S5" s="3"/>
      <c r="T5" t="str">
        <f t="shared" si="0"/>
        <v/>
      </c>
    </row>
    <row r="6" spans="1:22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N6" s="3"/>
      <c r="O6" s="3"/>
      <c r="P6" s="3"/>
      <c r="Q6" s="3"/>
      <c r="R6" s="3"/>
      <c r="S6" s="3"/>
      <c r="T6" t="str">
        <f t="shared" si="0"/>
        <v/>
      </c>
    </row>
    <row r="7" spans="1:22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N7" s="3"/>
      <c r="O7" s="3"/>
      <c r="P7" s="3"/>
      <c r="Q7" s="3"/>
      <c r="R7" s="3"/>
      <c r="S7" s="3"/>
      <c r="T7" t="str">
        <f t="shared" si="0"/>
        <v/>
      </c>
    </row>
    <row r="8" spans="1:22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N8" s="3"/>
      <c r="O8" s="3"/>
      <c r="P8" s="3"/>
      <c r="Q8" s="3"/>
      <c r="R8" s="3"/>
      <c r="S8" s="3"/>
      <c r="T8" t="str">
        <f t="shared" si="0"/>
        <v/>
      </c>
    </row>
    <row r="9" spans="1:2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N9" s="3"/>
      <c r="O9" s="3"/>
      <c r="P9" s="3"/>
      <c r="Q9" s="3"/>
      <c r="R9" s="3"/>
      <c r="S9" s="3"/>
      <c r="T9" t="str">
        <f t="shared" si="0"/>
        <v/>
      </c>
    </row>
    <row r="10" spans="1:22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N10" s="3"/>
      <c r="O10" s="3"/>
      <c r="P10" s="3"/>
      <c r="Q10" s="3"/>
      <c r="R10" s="3"/>
      <c r="S10" s="3"/>
      <c r="T10" t="str">
        <f t="shared" si="0"/>
        <v/>
      </c>
    </row>
    <row r="11" spans="1:22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N11" s="3"/>
      <c r="O11" s="3"/>
      <c r="P11" s="3"/>
      <c r="Q11" s="3"/>
      <c r="R11" s="3"/>
      <c r="S11" s="3"/>
      <c r="T11" t="str">
        <f t="shared" si="0"/>
        <v/>
      </c>
    </row>
    <row r="12" spans="1:22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N12" s="3"/>
      <c r="O12" s="3"/>
      <c r="P12" s="3"/>
      <c r="Q12" s="3"/>
      <c r="R12" s="3"/>
      <c r="S12" s="3"/>
      <c r="T12" t="str">
        <f t="shared" si="0"/>
        <v/>
      </c>
    </row>
    <row r="13" spans="1:22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N13" s="3"/>
      <c r="O13" s="3"/>
      <c r="P13" s="3"/>
      <c r="Q13" s="3"/>
      <c r="R13" s="3"/>
      <c r="S13" s="3"/>
      <c r="T13" t="str">
        <f t="shared" si="0"/>
        <v/>
      </c>
    </row>
    <row r="14" spans="1:22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N14" s="3"/>
      <c r="O14" s="3"/>
      <c r="P14" s="3"/>
      <c r="Q14" s="3"/>
      <c r="R14" s="3"/>
      <c r="S14" s="3"/>
      <c r="T14" t="str">
        <f t="shared" si="0"/>
        <v/>
      </c>
    </row>
    <row r="15" spans="1:22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N15" s="3"/>
      <c r="O15" s="3"/>
      <c r="P15" s="3"/>
      <c r="Q15" s="3"/>
      <c r="R15" s="3"/>
      <c r="S15" s="3"/>
      <c r="T15" t="str">
        <f t="shared" si="0"/>
        <v/>
      </c>
    </row>
    <row r="16" spans="1:22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3"/>
      <c r="O16" s="3"/>
      <c r="P16" s="3"/>
      <c r="Q16" s="3"/>
      <c r="R16" s="3"/>
      <c r="S16" s="3"/>
      <c r="T16" t="str">
        <f t="shared" si="0"/>
        <v/>
      </c>
    </row>
    <row r="17" spans="1:20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N17" s="3"/>
      <c r="O17" s="3"/>
      <c r="P17" s="3"/>
      <c r="Q17" s="3"/>
      <c r="R17" s="3"/>
      <c r="S17" s="3"/>
      <c r="T17" t="str">
        <f t="shared" si="0"/>
        <v/>
      </c>
    </row>
    <row r="18" spans="1:20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N18" s="3"/>
      <c r="O18" s="3"/>
      <c r="P18" s="3"/>
      <c r="Q18" s="3"/>
      <c r="R18" s="3"/>
      <c r="S18" s="3"/>
      <c r="T18" t="str">
        <f t="shared" si="0"/>
        <v/>
      </c>
    </row>
    <row r="19" spans="1:20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N19" s="3"/>
      <c r="O19" s="3"/>
      <c r="P19" s="3"/>
      <c r="Q19" s="3"/>
      <c r="R19" s="3"/>
      <c r="S19" s="3"/>
      <c r="T19" t="str">
        <f t="shared" si="0"/>
        <v/>
      </c>
    </row>
    <row r="20" spans="1:20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N20" s="3"/>
      <c r="O20" s="3"/>
      <c r="P20" s="3"/>
      <c r="Q20" s="3"/>
      <c r="R20" s="3"/>
      <c r="S20" s="3"/>
      <c r="T20" t="str">
        <f t="shared" si="0"/>
        <v/>
      </c>
    </row>
    <row r="21" spans="1:20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N21" s="3"/>
      <c r="O21" s="3"/>
      <c r="P21" s="3"/>
      <c r="Q21" s="3"/>
      <c r="R21" s="3"/>
      <c r="S21" s="3"/>
      <c r="T21" t="str">
        <f t="shared" si="0"/>
        <v/>
      </c>
    </row>
    <row r="22" spans="1:20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N22" s="3"/>
      <c r="O22" s="3"/>
      <c r="P22" s="3"/>
      <c r="Q22" s="3"/>
      <c r="R22" s="3"/>
      <c r="S22" s="3"/>
      <c r="T22" t="str">
        <f t="shared" si="0"/>
        <v/>
      </c>
    </row>
    <row r="23" spans="1:20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N23" s="3"/>
      <c r="O23" s="3"/>
      <c r="P23" s="3"/>
      <c r="Q23" s="3"/>
      <c r="R23" s="3"/>
      <c r="S23" s="3"/>
      <c r="T23" t="str">
        <f t="shared" si="0"/>
        <v/>
      </c>
    </row>
    <row r="24" spans="1:20" x14ac:dyDescent="0.35">
      <c r="T24" t="str">
        <f t="shared" si="0"/>
        <v/>
      </c>
    </row>
    <row r="25" spans="1:20" x14ac:dyDescent="0.35">
      <c r="T25" t="str">
        <f t="shared" si="0"/>
        <v/>
      </c>
    </row>
    <row r="26" spans="1:20" x14ac:dyDescent="0.35">
      <c r="T26" t="str">
        <f t="shared" si="0"/>
        <v/>
      </c>
    </row>
    <row r="27" spans="1:20" x14ac:dyDescent="0.35">
      <c r="T27" t="str">
        <f t="shared" si="0"/>
        <v/>
      </c>
    </row>
    <row r="28" spans="1:20" x14ac:dyDescent="0.35">
      <c r="T28" t="str">
        <f t="shared" si="0"/>
        <v/>
      </c>
    </row>
    <row r="29" spans="1:20" x14ac:dyDescent="0.35">
      <c r="T29" t="str">
        <f t="shared" si="0"/>
        <v/>
      </c>
    </row>
    <row r="30" spans="1:20" x14ac:dyDescent="0.35">
      <c r="T30" t="str">
        <f t="shared" si="0"/>
        <v/>
      </c>
    </row>
    <row r="31" spans="1:20" x14ac:dyDescent="0.35">
      <c r="T31" t="str">
        <f t="shared" si="0"/>
        <v/>
      </c>
    </row>
    <row r="32" spans="1:20" x14ac:dyDescent="0.35">
      <c r="T32" t="str">
        <f t="shared" si="0"/>
        <v/>
      </c>
    </row>
    <row r="33" spans="20:20" x14ac:dyDescent="0.35">
      <c r="T33" t="str">
        <f t="shared" si="0"/>
        <v/>
      </c>
    </row>
    <row r="34" spans="20:20" x14ac:dyDescent="0.35">
      <c r="T34" t="str">
        <f t="shared" si="0"/>
        <v/>
      </c>
    </row>
    <row r="35" spans="20:20" x14ac:dyDescent="0.35">
      <c r="T35" t="str">
        <f t="shared" si="0"/>
        <v/>
      </c>
    </row>
    <row r="36" spans="20:20" x14ac:dyDescent="0.35">
      <c r="T36" t="str">
        <f t="shared" si="0"/>
        <v/>
      </c>
    </row>
    <row r="37" spans="20:20" x14ac:dyDescent="0.35">
      <c r="T37" t="str">
        <f t="shared" si="0"/>
        <v/>
      </c>
    </row>
    <row r="38" spans="20:20" x14ac:dyDescent="0.35">
      <c r="T38" t="str">
        <f t="shared" si="0"/>
        <v/>
      </c>
    </row>
    <row r="39" spans="20:20" x14ac:dyDescent="0.35">
      <c r="T39" t="str">
        <f t="shared" si="0"/>
        <v/>
      </c>
    </row>
    <row r="40" spans="20:20" x14ac:dyDescent="0.35">
      <c r="T40" t="str">
        <f t="shared" si="0"/>
        <v/>
      </c>
    </row>
    <row r="41" spans="20:20" x14ac:dyDescent="0.35">
      <c r="T41" t="str">
        <f t="shared" si="0"/>
        <v/>
      </c>
    </row>
    <row r="42" spans="20:20" x14ac:dyDescent="0.35">
      <c r="T42" t="str">
        <f t="shared" si="0"/>
        <v/>
      </c>
    </row>
    <row r="43" spans="20:20" x14ac:dyDescent="0.35">
      <c r="T43" t="str">
        <f t="shared" si="0"/>
        <v/>
      </c>
    </row>
    <row r="44" spans="20:20" x14ac:dyDescent="0.35">
      <c r="T44" t="str">
        <f t="shared" si="0"/>
        <v/>
      </c>
    </row>
    <row r="45" spans="20:20" x14ac:dyDescent="0.35">
      <c r="T45" t="str">
        <f t="shared" si="0"/>
        <v/>
      </c>
    </row>
    <row r="46" spans="20:20" x14ac:dyDescent="0.35">
      <c r="T46" t="str">
        <f t="shared" si="0"/>
        <v/>
      </c>
    </row>
    <row r="47" spans="20:20" x14ac:dyDescent="0.35">
      <c r="T47" t="str">
        <f t="shared" si="0"/>
        <v/>
      </c>
    </row>
    <row r="48" spans="20:20" x14ac:dyDescent="0.35">
      <c r="T48" t="str">
        <f t="shared" si="0"/>
        <v/>
      </c>
    </row>
    <row r="49" spans="20:20" x14ac:dyDescent="0.35">
      <c r="T49" t="str">
        <f t="shared" si="0"/>
        <v/>
      </c>
    </row>
    <row r="50" spans="20:20" x14ac:dyDescent="0.35">
      <c r="T50" t="str">
        <f t="shared" si="0"/>
        <v/>
      </c>
    </row>
    <row r="51" spans="20:20" x14ac:dyDescent="0.35">
      <c r="T51" t="str">
        <f t="shared" si="0"/>
        <v/>
      </c>
    </row>
    <row r="52" spans="20:20" x14ac:dyDescent="0.35">
      <c r="T52" t="str">
        <f t="shared" si="0"/>
        <v/>
      </c>
    </row>
    <row r="53" spans="20:20" x14ac:dyDescent="0.35">
      <c r="T53" t="str">
        <f t="shared" si="0"/>
        <v/>
      </c>
    </row>
    <row r="54" spans="20:20" x14ac:dyDescent="0.35">
      <c r="T54" t="str">
        <f t="shared" si="0"/>
        <v/>
      </c>
    </row>
    <row r="55" spans="20:20" x14ac:dyDescent="0.35">
      <c r="T55" t="str">
        <f t="shared" si="0"/>
        <v/>
      </c>
    </row>
    <row r="56" spans="20:20" x14ac:dyDescent="0.35">
      <c r="T56" t="str">
        <f t="shared" si="0"/>
        <v/>
      </c>
    </row>
    <row r="57" spans="20:20" x14ac:dyDescent="0.35">
      <c r="T57" t="str">
        <f t="shared" si="0"/>
        <v/>
      </c>
    </row>
    <row r="58" spans="20:20" x14ac:dyDescent="0.35">
      <c r="T58" t="str">
        <f t="shared" si="0"/>
        <v/>
      </c>
    </row>
    <row r="59" spans="20:20" x14ac:dyDescent="0.35">
      <c r="T59" t="str">
        <f t="shared" si="0"/>
        <v/>
      </c>
    </row>
    <row r="60" spans="20:20" x14ac:dyDescent="0.35">
      <c r="T60" t="str">
        <f t="shared" si="0"/>
        <v/>
      </c>
    </row>
    <row r="61" spans="20:20" x14ac:dyDescent="0.35">
      <c r="T61" t="str">
        <f t="shared" si="0"/>
        <v/>
      </c>
    </row>
    <row r="62" spans="20:20" x14ac:dyDescent="0.35">
      <c r="T62" t="str">
        <f t="shared" si="0"/>
        <v/>
      </c>
    </row>
    <row r="63" spans="20:20" x14ac:dyDescent="0.35">
      <c r="T63" t="str">
        <f t="shared" si="0"/>
        <v/>
      </c>
    </row>
    <row r="64" spans="20:20" x14ac:dyDescent="0.35">
      <c r="T64" t="str">
        <f t="shared" si="0"/>
        <v/>
      </c>
    </row>
    <row r="65" spans="20:20" x14ac:dyDescent="0.35">
      <c r="T65" t="str">
        <f t="shared" si="0"/>
        <v/>
      </c>
    </row>
    <row r="66" spans="20:20" x14ac:dyDescent="0.35">
      <c r="T66" t="str">
        <f t="shared" ref="T66:T129" si="1">IF(P66="","",YEAR(P66))</f>
        <v/>
      </c>
    </row>
    <row r="67" spans="20:20" x14ac:dyDescent="0.35">
      <c r="T67" t="str">
        <f t="shared" si="1"/>
        <v/>
      </c>
    </row>
    <row r="68" spans="20:20" x14ac:dyDescent="0.35">
      <c r="T68" t="str">
        <f t="shared" si="1"/>
        <v/>
      </c>
    </row>
    <row r="69" spans="20:20" x14ac:dyDescent="0.35">
      <c r="T69" t="str">
        <f t="shared" si="1"/>
        <v/>
      </c>
    </row>
    <row r="70" spans="20:20" x14ac:dyDescent="0.35">
      <c r="T70" t="str">
        <f t="shared" si="1"/>
        <v/>
      </c>
    </row>
    <row r="71" spans="20:20" x14ac:dyDescent="0.35">
      <c r="T71" t="str">
        <f t="shared" si="1"/>
        <v/>
      </c>
    </row>
    <row r="72" spans="20:20" x14ac:dyDescent="0.35">
      <c r="T72" t="str">
        <f t="shared" si="1"/>
        <v/>
      </c>
    </row>
    <row r="73" spans="20:20" x14ac:dyDescent="0.35">
      <c r="T73" t="str">
        <f t="shared" si="1"/>
        <v/>
      </c>
    </row>
    <row r="74" spans="20:20" x14ac:dyDescent="0.35">
      <c r="T74" t="str">
        <f t="shared" si="1"/>
        <v/>
      </c>
    </row>
    <row r="75" spans="20:20" x14ac:dyDescent="0.35">
      <c r="T75" t="str">
        <f t="shared" si="1"/>
        <v/>
      </c>
    </row>
    <row r="76" spans="20:20" x14ac:dyDescent="0.35">
      <c r="T76" t="str">
        <f t="shared" si="1"/>
        <v/>
      </c>
    </row>
    <row r="77" spans="20:20" x14ac:dyDescent="0.35">
      <c r="T77" t="str">
        <f t="shared" si="1"/>
        <v/>
      </c>
    </row>
    <row r="78" spans="20:20" x14ac:dyDescent="0.35">
      <c r="T78" t="str">
        <f t="shared" si="1"/>
        <v/>
      </c>
    </row>
    <row r="79" spans="20:20" x14ac:dyDescent="0.35">
      <c r="T79" t="str">
        <f t="shared" si="1"/>
        <v/>
      </c>
    </row>
    <row r="80" spans="20:20" x14ac:dyDescent="0.35">
      <c r="T80" t="str">
        <f t="shared" si="1"/>
        <v/>
      </c>
    </row>
    <row r="81" spans="20:20" x14ac:dyDescent="0.35">
      <c r="T81" t="str">
        <f t="shared" si="1"/>
        <v/>
      </c>
    </row>
    <row r="82" spans="20:20" x14ac:dyDescent="0.35">
      <c r="T82" t="str">
        <f t="shared" si="1"/>
        <v/>
      </c>
    </row>
    <row r="83" spans="20:20" x14ac:dyDescent="0.35">
      <c r="T83" t="str">
        <f t="shared" si="1"/>
        <v/>
      </c>
    </row>
    <row r="84" spans="20:20" x14ac:dyDescent="0.35">
      <c r="T84" t="str">
        <f t="shared" si="1"/>
        <v/>
      </c>
    </row>
    <row r="85" spans="20:20" x14ac:dyDescent="0.35">
      <c r="T85" t="str">
        <f t="shared" si="1"/>
        <v/>
      </c>
    </row>
    <row r="86" spans="20:20" x14ac:dyDescent="0.35">
      <c r="T86" t="str">
        <f t="shared" si="1"/>
        <v/>
      </c>
    </row>
    <row r="87" spans="20:20" x14ac:dyDescent="0.35">
      <c r="T87" t="str">
        <f t="shared" si="1"/>
        <v/>
      </c>
    </row>
    <row r="88" spans="20:20" x14ac:dyDescent="0.35">
      <c r="T88" t="str">
        <f t="shared" si="1"/>
        <v/>
      </c>
    </row>
    <row r="89" spans="20:20" x14ac:dyDescent="0.35">
      <c r="T89" t="str">
        <f t="shared" si="1"/>
        <v/>
      </c>
    </row>
    <row r="90" spans="20:20" x14ac:dyDescent="0.35">
      <c r="T90" t="str">
        <f t="shared" si="1"/>
        <v/>
      </c>
    </row>
    <row r="91" spans="20:20" x14ac:dyDescent="0.35">
      <c r="T91" t="str">
        <f t="shared" si="1"/>
        <v/>
      </c>
    </row>
    <row r="92" spans="20:20" x14ac:dyDescent="0.35">
      <c r="T92" t="str">
        <f t="shared" si="1"/>
        <v/>
      </c>
    </row>
    <row r="93" spans="20:20" x14ac:dyDescent="0.35">
      <c r="T93" t="str">
        <f t="shared" si="1"/>
        <v/>
      </c>
    </row>
    <row r="94" spans="20:20" x14ac:dyDescent="0.35">
      <c r="T94" t="str">
        <f t="shared" si="1"/>
        <v/>
      </c>
    </row>
    <row r="95" spans="20:20" x14ac:dyDescent="0.35">
      <c r="T95" t="str">
        <f t="shared" si="1"/>
        <v/>
      </c>
    </row>
    <row r="96" spans="20:20" x14ac:dyDescent="0.35">
      <c r="T96" t="str">
        <f t="shared" si="1"/>
        <v/>
      </c>
    </row>
    <row r="97" spans="20:20" x14ac:dyDescent="0.35">
      <c r="T97" t="str">
        <f t="shared" si="1"/>
        <v/>
      </c>
    </row>
    <row r="98" spans="20:20" x14ac:dyDescent="0.35">
      <c r="T98" t="str">
        <f t="shared" si="1"/>
        <v/>
      </c>
    </row>
    <row r="99" spans="20:20" x14ac:dyDescent="0.35">
      <c r="T99" t="str">
        <f t="shared" si="1"/>
        <v/>
      </c>
    </row>
    <row r="100" spans="20:20" x14ac:dyDescent="0.35">
      <c r="T100" t="str">
        <f t="shared" si="1"/>
        <v/>
      </c>
    </row>
    <row r="101" spans="20:20" x14ac:dyDescent="0.35">
      <c r="T101" t="str">
        <f t="shared" si="1"/>
        <v/>
      </c>
    </row>
    <row r="102" spans="20:20" x14ac:dyDescent="0.35">
      <c r="T102" t="str">
        <f t="shared" si="1"/>
        <v/>
      </c>
    </row>
    <row r="103" spans="20:20" x14ac:dyDescent="0.35">
      <c r="T103" t="str">
        <f t="shared" si="1"/>
        <v/>
      </c>
    </row>
    <row r="104" spans="20:20" x14ac:dyDescent="0.35">
      <c r="T104" t="str">
        <f t="shared" si="1"/>
        <v/>
      </c>
    </row>
    <row r="105" spans="20:20" x14ac:dyDescent="0.35">
      <c r="T105" t="str">
        <f t="shared" si="1"/>
        <v/>
      </c>
    </row>
    <row r="106" spans="20:20" x14ac:dyDescent="0.35">
      <c r="T106" t="str">
        <f t="shared" si="1"/>
        <v/>
      </c>
    </row>
    <row r="107" spans="20:20" x14ac:dyDescent="0.35">
      <c r="T107" t="str">
        <f t="shared" si="1"/>
        <v/>
      </c>
    </row>
    <row r="108" spans="20:20" x14ac:dyDescent="0.35">
      <c r="T108" t="str">
        <f t="shared" si="1"/>
        <v/>
      </c>
    </row>
    <row r="109" spans="20:20" x14ac:dyDescent="0.35">
      <c r="T109" t="str">
        <f t="shared" si="1"/>
        <v/>
      </c>
    </row>
    <row r="110" spans="20:20" x14ac:dyDescent="0.35">
      <c r="T110" t="str">
        <f t="shared" si="1"/>
        <v/>
      </c>
    </row>
    <row r="111" spans="20:20" x14ac:dyDescent="0.35">
      <c r="T111" t="str">
        <f t="shared" si="1"/>
        <v/>
      </c>
    </row>
    <row r="112" spans="20:20" x14ac:dyDescent="0.35">
      <c r="T112" t="str">
        <f t="shared" si="1"/>
        <v/>
      </c>
    </row>
    <row r="113" spans="20:20" x14ac:dyDescent="0.35">
      <c r="T113" t="str">
        <f t="shared" si="1"/>
        <v/>
      </c>
    </row>
    <row r="114" spans="20:20" x14ac:dyDescent="0.35">
      <c r="T114" t="str">
        <f t="shared" si="1"/>
        <v/>
      </c>
    </row>
    <row r="115" spans="20:20" x14ac:dyDescent="0.35">
      <c r="T115" t="str">
        <f t="shared" si="1"/>
        <v/>
      </c>
    </row>
    <row r="116" spans="20:20" x14ac:dyDescent="0.35">
      <c r="T116" t="str">
        <f t="shared" si="1"/>
        <v/>
      </c>
    </row>
    <row r="117" spans="20:20" x14ac:dyDescent="0.35">
      <c r="T117" t="str">
        <f t="shared" si="1"/>
        <v/>
      </c>
    </row>
    <row r="118" spans="20:20" x14ac:dyDescent="0.35">
      <c r="T118" t="str">
        <f t="shared" si="1"/>
        <v/>
      </c>
    </row>
    <row r="119" spans="20:20" x14ac:dyDescent="0.35">
      <c r="T119" t="str">
        <f t="shared" si="1"/>
        <v/>
      </c>
    </row>
    <row r="120" spans="20:20" x14ac:dyDescent="0.35">
      <c r="T120" t="str">
        <f t="shared" si="1"/>
        <v/>
      </c>
    </row>
    <row r="121" spans="20:20" x14ac:dyDescent="0.35">
      <c r="T121" t="str">
        <f t="shared" si="1"/>
        <v/>
      </c>
    </row>
    <row r="122" spans="20:20" x14ac:dyDescent="0.35">
      <c r="T122" t="str">
        <f t="shared" si="1"/>
        <v/>
      </c>
    </row>
    <row r="123" spans="20:20" x14ac:dyDescent="0.35">
      <c r="T123" t="str">
        <f t="shared" si="1"/>
        <v/>
      </c>
    </row>
    <row r="124" spans="20:20" x14ac:dyDescent="0.35">
      <c r="T124" t="str">
        <f t="shared" si="1"/>
        <v/>
      </c>
    </row>
    <row r="125" spans="20:20" x14ac:dyDescent="0.35">
      <c r="T125" t="str">
        <f t="shared" si="1"/>
        <v/>
      </c>
    </row>
    <row r="126" spans="20:20" x14ac:dyDescent="0.35">
      <c r="T126" t="str">
        <f t="shared" si="1"/>
        <v/>
      </c>
    </row>
    <row r="127" spans="20:20" x14ac:dyDescent="0.35">
      <c r="T127" t="str">
        <f t="shared" si="1"/>
        <v/>
      </c>
    </row>
    <row r="128" spans="20:20" x14ac:dyDescent="0.35">
      <c r="T128" t="str">
        <f t="shared" si="1"/>
        <v/>
      </c>
    </row>
    <row r="129" spans="20:20" x14ac:dyDescent="0.35">
      <c r="T129" t="str">
        <f t="shared" si="1"/>
        <v/>
      </c>
    </row>
    <row r="130" spans="20:20" x14ac:dyDescent="0.35">
      <c r="T130" t="str">
        <f t="shared" ref="T130:T193" si="2">IF(P130="","",YEAR(P130))</f>
        <v/>
      </c>
    </row>
    <row r="131" spans="20:20" x14ac:dyDescent="0.35">
      <c r="T131" t="str">
        <f t="shared" si="2"/>
        <v/>
      </c>
    </row>
    <row r="132" spans="20:20" x14ac:dyDescent="0.35">
      <c r="T132" t="str">
        <f t="shared" si="2"/>
        <v/>
      </c>
    </row>
    <row r="133" spans="20:20" x14ac:dyDescent="0.35">
      <c r="T133" t="str">
        <f t="shared" si="2"/>
        <v/>
      </c>
    </row>
    <row r="134" spans="20:20" x14ac:dyDescent="0.35">
      <c r="T134" t="str">
        <f t="shared" si="2"/>
        <v/>
      </c>
    </row>
    <row r="135" spans="20:20" x14ac:dyDescent="0.35">
      <c r="T135" t="str">
        <f t="shared" si="2"/>
        <v/>
      </c>
    </row>
    <row r="136" spans="20:20" x14ac:dyDescent="0.35">
      <c r="T136" t="str">
        <f t="shared" si="2"/>
        <v/>
      </c>
    </row>
    <row r="137" spans="20:20" x14ac:dyDescent="0.35">
      <c r="T137" t="str">
        <f t="shared" si="2"/>
        <v/>
      </c>
    </row>
    <row r="138" spans="20:20" x14ac:dyDescent="0.35">
      <c r="T138" t="str">
        <f t="shared" si="2"/>
        <v/>
      </c>
    </row>
    <row r="139" spans="20:20" x14ac:dyDescent="0.35">
      <c r="T139" t="str">
        <f t="shared" si="2"/>
        <v/>
      </c>
    </row>
    <row r="140" spans="20:20" x14ac:dyDescent="0.35">
      <c r="T140" t="str">
        <f t="shared" si="2"/>
        <v/>
      </c>
    </row>
    <row r="141" spans="20:20" x14ac:dyDescent="0.35">
      <c r="T141" t="str">
        <f t="shared" si="2"/>
        <v/>
      </c>
    </row>
    <row r="142" spans="20:20" x14ac:dyDescent="0.35">
      <c r="T142" t="str">
        <f t="shared" si="2"/>
        <v/>
      </c>
    </row>
    <row r="143" spans="20:20" x14ac:dyDescent="0.35">
      <c r="T143" t="str">
        <f t="shared" si="2"/>
        <v/>
      </c>
    </row>
    <row r="144" spans="20:20" x14ac:dyDescent="0.35">
      <c r="T144" t="str">
        <f t="shared" si="2"/>
        <v/>
      </c>
    </row>
    <row r="145" spans="20:20" x14ac:dyDescent="0.35">
      <c r="T145" t="str">
        <f t="shared" si="2"/>
        <v/>
      </c>
    </row>
    <row r="146" spans="20:20" x14ac:dyDescent="0.35">
      <c r="T146" t="str">
        <f t="shared" si="2"/>
        <v/>
      </c>
    </row>
    <row r="147" spans="20:20" x14ac:dyDescent="0.35">
      <c r="T147" t="str">
        <f t="shared" si="2"/>
        <v/>
      </c>
    </row>
    <row r="148" spans="20:20" x14ac:dyDescent="0.35">
      <c r="T148" t="str">
        <f t="shared" si="2"/>
        <v/>
      </c>
    </row>
    <row r="149" spans="20:20" x14ac:dyDescent="0.35">
      <c r="T149" t="str">
        <f t="shared" si="2"/>
        <v/>
      </c>
    </row>
    <row r="150" spans="20:20" x14ac:dyDescent="0.35">
      <c r="T150" t="str">
        <f t="shared" si="2"/>
        <v/>
      </c>
    </row>
    <row r="151" spans="20:20" x14ac:dyDescent="0.35">
      <c r="T151" t="str">
        <f t="shared" si="2"/>
        <v/>
      </c>
    </row>
    <row r="152" spans="20:20" x14ac:dyDescent="0.35">
      <c r="T152" t="str">
        <f t="shared" si="2"/>
        <v/>
      </c>
    </row>
    <row r="153" spans="20:20" x14ac:dyDescent="0.35">
      <c r="T153" t="str">
        <f t="shared" si="2"/>
        <v/>
      </c>
    </row>
    <row r="154" spans="20:20" x14ac:dyDescent="0.35">
      <c r="T154" t="str">
        <f t="shared" si="2"/>
        <v/>
      </c>
    </row>
    <row r="155" spans="20:20" x14ac:dyDescent="0.35">
      <c r="T155" t="str">
        <f t="shared" si="2"/>
        <v/>
      </c>
    </row>
    <row r="156" spans="20:20" x14ac:dyDescent="0.35">
      <c r="T156" t="str">
        <f t="shared" si="2"/>
        <v/>
      </c>
    </row>
    <row r="157" spans="20:20" x14ac:dyDescent="0.35">
      <c r="T157" t="str">
        <f t="shared" si="2"/>
        <v/>
      </c>
    </row>
    <row r="158" spans="20:20" x14ac:dyDescent="0.35">
      <c r="T158" t="str">
        <f t="shared" si="2"/>
        <v/>
      </c>
    </row>
    <row r="159" spans="20:20" x14ac:dyDescent="0.35">
      <c r="T159" t="str">
        <f t="shared" si="2"/>
        <v/>
      </c>
    </row>
    <row r="160" spans="20:20" x14ac:dyDescent="0.35">
      <c r="T160" t="str">
        <f t="shared" si="2"/>
        <v/>
      </c>
    </row>
    <row r="161" spans="20:20" x14ac:dyDescent="0.35">
      <c r="T161" t="str">
        <f t="shared" si="2"/>
        <v/>
      </c>
    </row>
    <row r="162" spans="20:20" x14ac:dyDescent="0.35">
      <c r="T162" t="str">
        <f t="shared" si="2"/>
        <v/>
      </c>
    </row>
    <row r="163" spans="20:20" x14ac:dyDescent="0.35">
      <c r="T163" t="str">
        <f t="shared" si="2"/>
        <v/>
      </c>
    </row>
    <row r="164" spans="20:20" x14ac:dyDescent="0.35">
      <c r="T164" t="str">
        <f t="shared" si="2"/>
        <v/>
      </c>
    </row>
    <row r="165" spans="20:20" x14ac:dyDescent="0.35">
      <c r="T165" t="str">
        <f t="shared" si="2"/>
        <v/>
      </c>
    </row>
    <row r="166" spans="20:20" x14ac:dyDescent="0.35">
      <c r="T166" t="str">
        <f t="shared" si="2"/>
        <v/>
      </c>
    </row>
    <row r="167" spans="20:20" x14ac:dyDescent="0.35">
      <c r="T167" t="str">
        <f t="shared" si="2"/>
        <v/>
      </c>
    </row>
    <row r="168" spans="20:20" x14ac:dyDescent="0.35">
      <c r="T168" t="str">
        <f t="shared" si="2"/>
        <v/>
      </c>
    </row>
    <row r="169" spans="20:20" x14ac:dyDescent="0.35">
      <c r="T169" t="str">
        <f t="shared" si="2"/>
        <v/>
      </c>
    </row>
    <row r="170" spans="20:20" x14ac:dyDescent="0.35">
      <c r="T170" t="str">
        <f t="shared" si="2"/>
        <v/>
      </c>
    </row>
    <row r="171" spans="20:20" x14ac:dyDescent="0.35">
      <c r="T171" t="str">
        <f t="shared" si="2"/>
        <v/>
      </c>
    </row>
    <row r="172" spans="20:20" x14ac:dyDescent="0.35">
      <c r="T172" t="str">
        <f t="shared" si="2"/>
        <v/>
      </c>
    </row>
    <row r="173" spans="20:20" x14ac:dyDescent="0.35">
      <c r="T173" t="str">
        <f t="shared" si="2"/>
        <v/>
      </c>
    </row>
    <row r="174" spans="20:20" x14ac:dyDescent="0.35">
      <c r="T174" t="str">
        <f t="shared" si="2"/>
        <v/>
      </c>
    </row>
    <row r="175" spans="20:20" x14ac:dyDescent="0.35">
      <c r="T175" t="str">
        <f t="shared" si="2"/>
        <v/>
      </c>
    </row>
    <row r="176" spans="20:20" x14ac:dyDescent="0.35">
      <c r="T176" t="str">
        <f t="shared" si="2"/>
        <v/>
      </c>
    </row>
    <row r="177" spans="20:20" x14ac:dyDescent="0.35">
      <c r="T177" t="str">
        <f t="shared" si="2"/>
        <v/>
      </c>
    </row>
    <row r="178" spans="20:20" x14ac:dyDescent="0.35">
      <c r="T178" t="str">
        <f t="shared" si="2"/>
        <v/>
      </c>
    </row>
    <row r="179" spans="20:20" x14ac:dyDescent="0.35">
      <c r="T179" t="str">
        <f t="shared" si="2"/>
        <v/>
      </c>
    </row>
    <row r="180" spans="20:20" x14ac:dyDescent="0.35">
      <c r="T180" t="str">
        <f t="shared" si="2"/>
        <v/>
      </c>
    </row>
    <row r="181" spans="20:20" x14ac:dyDescent="0.35">
      <c r="T181" t="str">
        <f t="shared" si="2"/>
        <v/>
      </c>
    </row>
    <row r="182" spans="20:20" x14ac:dyDescent="0.35">
      <c r="T182" t="str">
        <f t="shared" si="2"/>
        <v/>
      </c>
    </row>
    <row r="183" spans="20:20" x14ac:dyDescent="0.35">
      <c r="T183" t="str">
        <f t="shared" si="2"/>
        <v/>
      </c>
    </row>
    <row r="184" spans="20:20" x14ac:dyDescent="0.35">
      <c r="T184" t="str">
        <f t="shared" si="2"/>
        <v/>
      </c>
    </row>
    <row r="185" spans="20:20" x14ac:dyDescent="0.35">
      <c r="T185" t="str">
        <f t="shared" si="2"/>
        <v/>
      </c>
    </row>
    <row r="186" spans="20:20" x14ac:dyDescent="0.35">
      <c r="T186" t="str">
        <f t="shared" si="2"/>
        <v/>
      </c>
    </row>
    <row r="187" spans="20:20" x14ac:dyDescent="0.35">
      <c r="T187" t="str">
        <f t="shared" si="2"/>
        <v/>
      </c>
    </row>
    <row r="188" spans="20:20" x14ac:dyDescent="0.35">
      <c r="T188" t="str">
        <f t="shared" si="2"/>
        <v/>
      </c>
    </row>
    <row r="189" spans="20:20" x14ac:dyDescent="0.35">
      <c r="T189" t="str">
        <f t="shared" si="2"/>
        <v/>
      </c>
    </row>
    <row r="190" spans="20:20" x14ac:dyDescent="0.35">
      <c r="T190" t="str">
        <f t="shared" si="2"/>
        <v/>
      </c>
    </row>
    <row r="191" spans="20:20" x14ac:dyDescent="0.35">
      <c r="T191" t="str">
        <f t="shared" si="2"/>
        <v/>
      </c>
    </row>
    <row r="192" spans="20:20" x14ac:dyDescent="0.35">
      <c r="T192" t="str">
        <f t="shared" si="2"/>
        <v/>
      </c>
    </row>
    <row r="193" spans="20:20" x14ac:dyDescent="0.35">
      <c r="T193" t="str">
        <f t="shared" si="2"/>
        <v/>
      </c>
    </row>
    <row r="194" spans="20:20" x14ac:dyDescent="0.35">
      <c r="T194" t="str">
        <f t="shared" ref="T194:T257" si="3">IF(P194="","",YEAR(P194))</f>
        <v/>
      </c>
    </row>
    <row r="195" spans="20:20" x14ac:dyDescent="0.35">
      <c r="T195" t="str">
        <f t="shared" si="3"/>
        <v/>
      </c>
    </row>
    <row r="196" spans="20:20" x14ac:dyDescent="0.35">
      <c r="T196" t="str">
        <f t="shared" si="3"/>
        <v/>
      </c>
    </row>
    <row r="197" spans="20:20" x14ac:dyDescent="0.35">
      <c r="T197" t="str">
        <f t="shared" si="3"/>
        <v/>
      </c>
    </row>
    <row r="198" spans="20:20" x14ac:dyDescent="0.35">
      <c r="T198" t="str">
        <f t="shared" si="3"/>
        <v/>
      </c>
    </row>
    <row r="199" spans="20:20" x14ac:dyDescent="0.35">
      <c r="T199" t="str">
        <f t="shared" si="3"/>
        <v/>
      </c>
    </row>
    <row r="200" spans="20:20" x14ac:dyDescent="0.35">
      <c r="T200" t="str">
        <f t="shared" si="3"/>
        <v/>
      </c>
    </row>
    <row r="201" spans="20:20" x14ac:dyDescent="0.35">
      <c r="T201" t="str">
        <f t="shared" si="3"/>
        <v/>
      </c>
    </row>
    <row r="202" spans="20:20" x14ac:dyDescent="0.35">
      <c r="T202" t="str">
        <f t="shared" si="3"/>
        <v/>
      </c>
    </row>
    <row r="203" spans="20:20" x14ac:dyDescent="0.35">
      <c r="T203" t="str">
        <f t="shared" si="3"/>
        <v/>
      </c>
    </row>
    <row r="204" spans="20:20" x14ac:dyDescent="0.35">
      <c r="T204" t="str">
        <f t="shared" si="3"/>
        <v/>
      </c>
    </row>
    <row r="205" spans="20:20" x14ac:dyDescent="0.35">
      <c r="T205" t="str">
        <f t="shared" si="3"/>
        <v/>
      </c>
    </row>
    <row r="206" spans="20:20" x14ac:dyDescent="0.35">
      <c r="T206" t="str">
        <f t="shared" si="3"/>
        <v/>
      </c>
    </row>
    <row r="207" spans="20:20" x14ac:dyDescent="0.35">
      <c r="T207" t="str">
        <f t="shared" si="3"/>
        <v/>
      </c>
    </row>
    <row r="208" spans="20:20" x14ac:dyDescent="0.35">
      <c r="T208" t="str">
        <f t="shared" si="3"/>
        <v/>
      </c>
    </row>
    <row r="209" spans="20:20" x14ac:dyDescent="0.35">
      <c r="T209" t="str">
        <f t="shared" si="3"/>
        <v/>
      </c>
    </row>
    <row r="210" spans="20:20" x14ac:dyDescent="0.35">
      <c r="T210" t="str">
        <f t="shared" si="3"/>
        <v/>
      </c>
    </row>
    <row r="211" spans="20:20" x14ac:dyDescent="0.35">
      <c r="T211" t="str">
        <f t="shared" si="3"/>
        <v/>
      </c>
    </row>
    <row r="212" spans="20:20" x14ac:dyDescent="0.35">
      <c r="T212" t="str">
        <f t="shared" si="3"/>
        <v/>
      </c>
    </row>
    <row r="213" spans="20:20" x14ac:dyDescent="0.35">
      <c r="T213" t="str">
        <f t="shared" si="3"/>
        <v/>
      </c>
    </row>
    <row r="214" spans="20:20" x14ac:dyDescent="0.35">
      <c r="T214" t="str">
        <f t="shared" si="3"/>
        <v/>
      </c>
    </row>
    <row r="215" spans="20:20" x14ac:dyDescent="0.35">
      <c r="T215" t="str">
        <f t="shared" si="3"/>
        <v/>
      </c>
    </row>
    <row r="216" spans="20:20" x14ac:dyDescent="0.35">
      <c r="T216" t="str">
        <f t="shared" si="3"/>
        <v/>
      </c>
    </row>
    <row r="217" spans="20:20" x14ac:dyDescent="0.35">
      <c r="T217" t="str">
        <f t="shared" si="3"/>
        <v/>
      </c>
    </row>
    <row r="218" spans="20:20" x14ac:dyDescent="0.35">
      <c r="T218" t="str">
        <f t="shared" si="3"/>
        <v/>
      </c>
    </row>
    <row r="219" spans="20:20" x14ac:dyDescent="0.35">
      <c r="T219" t="str">
        <f t="shared" si="3"/>
        <v/>
      </c>
    </row>
    <row r="220" spans="20:20" x14ac:dyDescent="0.35">
      <c r="T220" t="str">
        <f t="shared" si="3"/>
        <v/>
      </c>
    </row>
    <row r="221" spans="20:20" x14ac:dyDescent="0.35">
      <c r="T221" t="str">
        <f t="shared" si="3"/>
        <v/>
      </c>
    </row>
    <row r="222" spans="20:20" x14ac:dyDescent="0.35">
      <c r="T222" t="str">
        <f t="shared" si="3"/>
        <v/>
      </c>
    </row>
    <row r="223" spans="20:20" x14ac:dyDescent="0.35">
      <c r="T223" t="str">
        <f t="shared" si="3"/>
        <v/>
      </c>
    </row>
    <row r="224" spans="20:20" x14ac:dyDescent="0.35">
      <c r="T224" t="str">
        <f t="shared" si="3"/>
        <v/>
      </c>
    </row>
    <row r="225" spans="20:20" x14ac:dyDescent="0.35">
      <c r="T225" t="str">
        <f t="shared" si="3"/>
        <v/>
      </c>
    </row>
    <row r="226" spans="20:20" x14ac:dyDescent="0.35">
      <c r="T226" t="str">
        <f t="shared" si="3"/>
        <v/>
      </c>
    </row>
    <row r="227" spans="20:20" x14ac:dyDescent="0.35">
      <c r="T227" t="str">
        <f t="shared" si="3"/>
        <v/>
      </c>
    </row>
    <row r="228" spans="20:20" x14ac:dyDescent="0.35">
      <c r="T228" t="str">
        <f t="shared" si="3"/>
        <v/>
      </c>
    </row>
    <row r="229" spans="20:20" x14ac:dyDescent="0.35">
      <c r="T229" t="str">
        <f t="shared" si="3"/>
        <v/>
      </c>
    </row>
    <row r="230" spans="20:20" x14ac:dyDescent="0.35">
      <c r="T230" t="str">
        <f t="shared" si="3"/>
        <v/>
      </c>
    </row>
    <row r="231" spans="20:20" x14ac:dyDescent="0.35">
      <c r="T231" t="str">
        <f t="shared" si="3"/>
        <v/>
      </c>
    </row>
    <row r="232" spans="20:20" x14ac:dyDescent="0.35">
      <c r="T232" t="str">
        <f t="shared" si="3"/>
        <v/>
      </c>
    </row>
    <row r="233" spans="20:20" x14ac:dyDescent="0.35">
      <c r="T233" t="str">
        <f t="shared" si="3"/>
        <v/>
      </c>
    </row>
    <row r="234" spans="20:20" x14ac:dyDescent="0.35">
      <c r="T234" t="str">
        <f t="shared" si="3"/>
        <v/>
      </c>
    </row>
    <row r="235" spans="20:20" x14ac:dyDescent="0.35">
      <c r="T235" t="str">
        <f t="shared" si="3"/>
        <v/>
      </c>
    </row>
    <row r="236" spans="20:20" x14ac:dyDescent="0.35">
      <c r="T236" t="str">
        <f t="shared" si="3"/>
        <v/>
      </c>
    </row>
    <row r="237" spans="20:20" x14ac:dyDescent="0.35">
      <c r="T237" t="str">
        <f t="shared" si="3"/>
        <v/>
      </c>
    </row>
    <row r="238" spans="20:20" x14ac:dyDescent="0.35">
      <c r="T238" t="str">
        <f t="shared" si="3"/>
        <v/>
      </c>
    </row>
    <row r="239" spans="20:20" x14ac:dyDescent="0.35">
      <c r="T239" t="str">
        <f t="shared" si="3"/>
        <v/>
      </c>
    </row>
    <row r="240" spans="20:20" x14ac:dyDescent="0.35">
      <c r="T240" t="str">
        <f t="shared" si="3"/>
        <v/>
      </c>
    </row>
    <row r="241" spans="20:20" x14ac:dyDescent="0.35">
      <c r="T241" t="str">
        <f t="shared" si="3"/>
        <v/>
      </c>
    </row>
    <row r="242" spans="20:20" x14ac:dyDescent="0.35">
      <c r="T242" t="str">
        <f t="shared" si="3"/>
        <v/>
      </c>
    </row>
    <row r="243" spans="20:20" x14ac:dyDescent="0.35">
      <c r="T243" t="str">
        <f t="shared" si="3"/>
        <v/>
      </c>
    </row>
    <row r="244" spans="20:20" x14ac:dyDescent="0.35">
      <c r="T244" t="str">
        <f t="shared" si="3"/>
        <v/>
      </c>
    </row>
    <row r="245" spans="20:20" x14ac:dyDescent="0.35">
      <c r="T245" t="str">
        <f t="shared" si="3"/>
        <v/>
      </c>
    </row>
    <row r="246" spans="20:20" x14ac:dyDescent="0.35">
      <c r="T246" t="str">
        <f t="shared" si="3"/>
        <v/>
      </c>
    </row>
    <row r="247" spans="20:20" x14ac:dyDescent="0.35">
      <c r="T247" t="str">
        <f t="shared" si="3"/>
        <v/>
      </c>
    </row>
    <row r="248" spans="20:20" x14ac:dyDescent="0.35">
      <c r="T248" t="str">
        <f t="shared" si="3"/>
        <v/>
      </c>
    </row>
    <row r="249" spans="20:20" x14ac:dyDescent="0.35">
      <c r="T249" t="str">
        <f t="shared" si="3"/>
        <v/>
      </c>
    </row>
    <row r="250" spans="20:20" x14ac:dyDescent="0.35">
      <c r="T250" t="str">
        <f t="shared" si="3"/>
        <v/>
      </c>
    </row>
    <row r="251" spans="20:20" x14ac:dyDescent="0.35">
      <c r="T251" t="str">
        <f t="shared" si="3"/>
        <v/>
      </c>
    </row>
    <row r="252" spans="20:20" x14ac:dyDescent="0.35">
      <c r="T252" t="str">
        <f t="shared" si="3"/>
        <v/>
      </c>
    </row>
    <row r="253" spans="20:20" x14ac:dyDescent="0.35">
      <c r="T253" t="str">
        <f t="shared" si="3"/>
        <v/>
      </c>
    </row>
    <row r="254" spans="20:20" x14ac:dyDescent="0.35">
      <c r="T254" t="str">
        <f t="shared" si="3"/>
        <v/>
      </c>
    </row>
    <row r="255" spans="20:20" x14ac:dyDescent="0.35">
      <c r="T255" t="str">
        <f t="shared" si="3"/>
        <v/>
      </c>
    </row>
    <row r="256" spans="20:20" x14ac:dyDescent="0.35">
      <c r="T256" t="str">
        <f t="shared" si="3"/>
        <v/>
      </c>
    </row>
    <row r="257" spans="20:20" x14ac:dyDescent="0.35">
      <c r="T257" t="str">
        <f t="shared" si="3"/>
        <v/>
      </c>
    </row>
    <row r="258" spans="20:20" x14ac:dyDescent="0.35">
      <c r="T258" t="str">
        <f t="shared" ref="T258:T321" si="4">IF(P258="","",YEAR(P258))</f>
        <v/>
      </c>
    </row>
    <row r="259" spans="20:20" x14ac:dyDescent="0.35">
      <c r="T259" t="str">
        <f t="shared" si="4"/>
        <v/>
      </c>
    </row>
    <row r="260" spans="20:20" x14ac:dyDescent="0.35">
      <c r="T260" t="str">
        <f t="shared" si="4"/>
        <v/>
      </c>
    </row>
    <row r="261" spans="20:20" x14ac:dyDescent="0.35">
      <c r="T261" t="str">
        <f t="shared" si="4"/>
        <v/>
      </c>
    </row>
    <row r="262" spans="20:20" x14ac:dyDescent="0.35">
      <c r="T262" t="str">
        <f t="shared" si="4"/>
        <v/>
      </c>
    </row>
    <row r="263" spans="20:20" x14ac:dyDescent="0.35">
      <c r="T263" t="str">
        <f t="shared" si="4"/>
        <v/>
      </c>
    </row>
    <row r="264" spans="20:20" x14ac:dyDescent="0.35">
      <c r="T264" t="str">
        <f t="shared" si="4"/>
        <v/>
      </c>
    </row>
    <row r="265" spans="20:20" x14ac:dyDescent="0.35">
      <c r="T265" t="str">
        <f t="shared" si="4"/>
        <v/>
      </c>
    </row>
    <row r="266" spans="20:20" x14ac:dyDescent="0.35">
      <c r="T266" t="str">
        <f t="shared" si="4"/>
        <v/>
      </c>
    </row>
    <row r="267" spans="20:20" x14ac:dyDescent="0.35">
      <c r="T267" t="str">
        <f t="shared" si="4"/>
        <v/>
      </c>
    </row>
    <row r="268" spans="20:20" x14ac:dyDescent="0.35">
      <c r="T268" t="str">
        <f t="shared" si="4"/>
        <v/>
      </c>
    </row>
    <row r="269" spans="20:20" x14ac:dyDescent="0.35">
      <c r="T269" t="str">
        <f t="shared" si="4"/>
        <v/>
      </c>
    </row>
    <row r="270" spans="20:20" x14ac:dyDescent="0.35">
      <c r="T270" t="str">
        <f t="shared" si="4"/>
        <v/>
      </c>
    </row>
    <row r="271" spans="20:20" x14ac:dyDescent="0.35">
      <c r="T271" t="str">
        <f t="shared" si="4"/>
        <v/>
      </c>
    </row>
    <row r="272" spans="20:20" x14ac:dyDescent="0.35">
      <c r="T272" t="str">
        <f t="shared" si="4"/>
        <v/>
      </c>
    </row>
    <row r="273" spans="20:20" x14ac:dyDescent="0.35">
      <c r="T273" t="str">
        <f t="shared" si="4"/>
        <v/>
      </c>
    </row>
    <row r="274" spans="20:20" x14ac:dyDescent="0.35">
      <c r="T274" t="str">
        <f t="shared" si="4"/>
        <v/>
      </c>
    </row>
    <row r="275" spans="20:20" x14ac:dyDescent="0.35">
      <c r="T275" t="str">
        <f t="shared" si="4"/>
        <v/>
      </c>
    </row>
    <row r="276" spans="20:20" x14ac:dyDescent="0.35">
      <c r="T276" t="str">
        <f t="shared" si="4"/>
        <v/>
      </c>
    </row>
    <row r="277" spans="20:20" x14ac:dyDescent="0.35">
      <c r="T277" t="str">
        <f t="shared" si="4"/>
        <v/>
      </c>
    </row>
    <row r="278" spans="20:20" x14ac:dyDescent="0.35">
      <c r="T278" t="str">
        <f t="shared" si="4"/>
        <v/>
      </c>
    </row>
    <row r="279" spans="20:20" x14ac:dyDescent="0.35">
      <c r="T279" t="str">
        <f t="shared" si="4"/>
        <v/>
      </c>
    </row>
    <row r="280" spans="20:20" x14ac:dyDescent="0.35">
      <c r="T280" t="str">
        <f t="shared" si="4"/>
        <v/>
      </c>
    </row>
    <row r="281" spans="20:20" x14ac:dyDescent="0.35">
      <c r="T281" t="str">
        <f t="shared" si="4"/>
        <v/>
      </c>
    </row>
    <row r="282" spans="20:20" x14ac:dyDescent="0.35">
      <c r="T282" t="str">
        <f t="shared" si="4"/>
        <v/>
      </c>
    </row>
    <row r="283" spans="20:20" x14ac:dyDescent="0.35">
      <c r="T283" t="str">
        <f t="shared" si="4"/>
        <v/>
      </c>
    </row>
    <row r="284" spans="20:20" x14ac:dyDescent="0.35">
      <c r="T284" t="str">
        <f t="shared" si="4"/>
        <v/>
      </c>
    </row>
    <row r="285" spans="20:20" x14ac:dyDescent="0.35">
      <c r="T285" t="str">
        <f t="shared" si="4"/>
        <v/>
      </c>
    </row>
    <row r="286" spans="20:20" x14ac:dyDescent="0.35">
      <c r="T286" t="str">
        <f t="shared" si="4"/>
        <v/>
      </c>
    </row>
    <row r="287" spans="20:20" x14ac:dyDescent="0.35">
      <c r="T287" t="str">
        <f t="shared" si="4"/>
        <v/>
      </c>
    </row>
    <row r="288" spans="20:20" x14ac:dyDescent="0.35">
      <c r="T288" t="str">
        <f t="shared" si="4"/>
        <v/>
      </c>
    </row>
    <row r="289" spans="20:20" x14ac:dyDescent="0.35">
      <c r="T289" t="str">
        <f t="shared" si="4"/>
        <v/>
      </c>
    </row>
    <row r="290" spans="20:20" x14ac:dyDescent="0.35">
      <c r="T290" t="str">
        <f t="shared" si="4"/>
        <v/>
      </c>
    </row>
    <row r="291" spans="20:20" x14ac:dyDescent="0.35">
      <c r="T291" t="str">
        <f t="shared" si="4"/>
        <v/>
      </c>
    </row>
    <row r="292" spans="20:20" x14ac:dyDescent="0.35">
      <c r="T292" t="str">
        <f t="shared" si="4"/>
        <v/>
      </c>
    </row>
    <row r="293" spans="20:20" x14ac:dyDescent="0.35">
      <c r="T293" t="str">
        <f t="shared" si="4"/>
        <v/>
      </c>
    </row>
    <row r="294" spans="20:20" x14ac:dyDescent="0.35">
      <c r="T294" t="str">
        <f t="shared" si="4"/>
        <v/>
      </c>
    </row>
    <row r="295" spans="20:20" x14ac:dyDescent="0.35">
      <c r="T295" t="str">
        <f t="shared" si="4"/>
        <v/>
      </c>
    </row>
    <row r="296" spans="20:20" x14ac:dyDescent="0.35">
      <c r="T296" t="str">
        <f t="shared" si="4"/>
        <v/>
      </c>
    </row>
    <row r="297" spans="20:20" x14ac:dyDescent="0.35">
      <c r="T297" t="str">
        <f t="shared" si="4"/>
        <v/>
      </c>
    </row>
    <row r="298" spans="20:20" x14ac:dyDescent="0.35">
      <c r="T298" t="str">
        <f t="shared" si="4"/>
        <v/>
      </c>
    </row>
    <row r="299" spans="20:20" x14ac:dyDescent="0.35">
      <c r="T299" t="str">
        <f t="shared" si="4"/>
        <v/>
      </c>
    </row>
    <row r="300" spans="20:20" x14ac:dyDescent="0.35">
      <c r="T300" t="str">
        <f t="shared" si="4"/>
        <v/>
      </c>
    </row>
    <row r="301" spans="20:20" x14ac:dyDescent="0.35">
      <c r="T301" t="str">
        <f t="shared" si="4"/>
        <v/>
      </c>
    </row>
    <row r="302" spans="20:20" x14ac:dyDescent="0.35">
      <c r="T302" t="str">
        <f t="shared" si="4"/>
        <v/>
      </c>
    </row>
    <row r="303" spans="20:20" x14ac:dyDescent="0.35">
      <c r="T303" t="str">
        <f t="shared" si="4"/>
        <v/>
      </c>
    </row>
    <row r="304" spans="20:20" x14ac:dyDescent="0.35">
      <c r="T304" t="str">
        <f t="shared" si="4"/>
        <v/>
      </c>
    </row>
    <row r="305" spans="20:20" x14ac:dyDescent="0.35">
      <c r="T305" t="str">
        <f t="shared" si="4"/>
        <v/>
      </c>
    </row>
    <row r="306" spans="20:20" x14ac:dyDescent="0.35">
      <c r="T306" t="str">
        <f t="shared" si="4"/>
        <v/>
      </c>
    </row>
    <row r="307" spans="20:20" x14ac:dyDescent="0.35">
      <c r="T307" t="str">
        <f t="shared" si="4"/>
        <v/>
      </c>
    </row>
    <row r="308" spans="20:20" x14ac:dyDescent="0.35">
      <c r="T308" t="str">
        <f t="shared" si="4"/>
        <v/>
      </c>
    </row>
    <row r="309" spans="20:20" x14ac:dyDescent="0.35">
      <c r="T309" t="str">
        <f t="shared" si="4"/>
        <v/>
      </c>
    </row>
    <row r="310" spans="20:20" x14ac:dyDescent="0.35">
      <c r="T310" t="str">
        <f t="shared" si="4"/>
        <v/>
      </c>
    </row>
    <row r="311" spans="20:20" x14ac:dyDescent="0.35">
      <c r="T311" t="str">
        <f t="shared" si="4"/>
        <v/>
      </c>
    </row>
    <row r="312" spans="20:20" x14ac:dyDescent="0.35">
      <c r="T312" t="str">
        <f t="shared" si="4"/>
        <v/>
      </c>
    </row>
    <row r="313" spans="20:20" x14ac:dyDescent="0.35">
      <c r="T313" t="str">
        <f t="shared" si="4"/>
        <v/>
      </c>
    </row>
    <row r="314" spans="20:20" x14ac:dyDescent="0.35">
      <c r="T314" t="str">
        <f t="shared" si="4"/>
        <v/>
      </c>
    </row>
    <row r="315" spans="20:20" x14ac:dyDescent="0.35">
      <c r="T315" t="str">
        <f t="shared" si="4"/>
        <v/>
      </c>
    </row>
    <row r="316" spans="20:20" x14ac:dyDescent="0.35">
      <c r="T316" t="str">
        <f t="shared" si="4"/>
        <v/>
      </c>
    </row>
    <row r="317" spans="20:20" x14ac:dyDescent="0.35">
      <c r="T317" t="str">
        <f t="shared" si="4"/>
        <v/>
      </c>
    </row>
    <row r="318" spans="20:20" x14ac:dyDescent="0.35">
      <c r="T318" t="str">
        <f t="shared" si="4"/>
        <v/>
      </c>
    </row>
    <row r="319" spans="20:20" x14ac:dyDescent="0.35">
      <c r="T319" t="str">
        <f t="shared" si="4"/>
        <v/>
      </c>
    </row>
    <row r="320" spans="20:20" x14ac:dyDescent="0.35">
      <c r="T320" t="str">
        <f t="shared" si="4"/>
        <v/>
      </c>
    </row>
    <row r="321" spans="20:20" x14ac:dyDescent="0.35">
      <c r="T321" t="str">
        <f t="shared" si="4"/>
        <v/>
      </c>
    </row>
    <row r="322" spans="20:20" x14ac:dyDescent="0.35">
      <c r="T322" t="str">
        <f t="shared" ref="T322:T385" si="5">IF(P322="","",YEAR(P322))</f>
        <v/>
      </c>
    </row>
    <row r="323" spans="20:20" x14ac:dyDescent="0.35">
      <c r="T323" t="str">
        <f t="shared" si="5"/>
        <v/>
      </c>
    </row>
    <row r="324" spans="20:20" x14ac:dyDescent="0.35">
      <c r="T324" t="str">
        <f t="shared" si="5"/>
        <v/>
      </c>
    </row>
    <row r="325" spans="20:20" x14ac:dyDescent="0.35">
      <c r="T325" t="str">
        <f t="shared" si="5"/>
        <v/>
      </c>
    </row>
    <row r="326" spans="20:20" x14ac:dyDescent="0.35">
      <c r="T326" t="str">
        <f t="shared" si="5"/>
        <v/>
      </c>
    </row>
    <row r="327" spans="20:20" x14ac:dyDescent="0.35">
      <c r="T327" t="str">
        <f t="shared" si="5"/>
        <v/>
      </c>
    </row>
    <row r="328" spans="20:20" x14ac:dyDescent="0.35">
      <c r="T328" t="str">
        <f t="shared" si="5"/>
        <v/>
      </c>
    </row>
    <row r="329" spans="20:20" x14ac:dyDescent="0.35">
      <c r="T329" t="str">
        <f t="shared" si="5"/>
        <v/>
      </c>
    </row>
    <row r="330" spans="20:20" x14ac:dyDescent="0.35">
      <c r="T330" t="str">
        <f t="shared" si="5"/>
        <v/>
      </c>
    </row>
    <row r="331" spans="20:20" x14ac:dyDescent="0.35">
      <c r="T331" t="str">
        <f t="shared" si="5"/>
        <v/>
      </c>
    </row>
    <row r="332" spans="20:20" x14ac:dyDescent="0.35">
      <c r="T332" t="str">
        <f t="shared" si="5"/>
        <v/>
      </c>
    </row>
    <row r="333" spans="20:20" x14ac:dyDescent="0.35">
      <c r="T333" t="str">
        <f t="shared" si="5"/>
        <v/>
      </c>
    </row>
    <row r="334" spans="20:20" x14ac:dyDescent="0.35">
      <c r="T334" t="str">
        <f t="shared" si="5"/>
        <v/>
      </c>
    </row>
    <row r="335" spans="20:20" x14ac:dyDescent="0.35">
      <c r="T335" t="str">
        <f t="shared" si="5"/>
        <v/>
      </c>
    </row>
    <row r="336" spans="20:20" x14ac:dyDescent="0.35">
      <c r="T336" t="str">
        <f t="shared" si="5"/>
        <v/>
      </c>
    </row>
    <row r="337" spans="20:20" x14ac:dyDescent="0.35">
      <c r="T337" t="str">
        <f t="shared" si="5"/>
        <v/>
      </c>
    </row>
    <row r="338" spans="20:20" x14ac:dyDescent="0.35">
      <c r="T338" t="str">
        <f t="shared" si="5"/>
        <v/>
      </c>
    </row>
    <row r="339" spans="20:20" x14ac:dyDescent="0.35">
      <c r="T339" t="str">
        <f t="shared" si="5"/>
        <v/>
      </c>
    </row>
    <row r="340" spans="20:20" x14ac:dyDescent="0.35">
      <c r="T340" t="str">
        <f t="shared" si="5"/>
        <v/>
      </c>
    </row>
    <row r="341" spans="20:20" x14ac:dyDescent="0.35">
      <c r="T341" t="str">
        <f t="shared" si="5"/>
        <v/>
      </c>
    </row>
    <row r="342" spans="20:20" x14ac:dyDescent="0.35">
      <c r="T342" t="str">
        <f t="shared" si="5"/>
        <v/>
      </c>
    </row>
    <row r="343" spans="20:20" x14ac:dyDescent="0.35">
      <c r="T343" t="str">
        <f t="shared" si="5"/>
        <v/>
      </c>
    </row>
    <row r="344" spans="20:20" x14ac:dyDescent="0.35">
      <c r="T344" t="str">
        <f t="shared" si="5"/>
        <v/>
      </c>
    </row>
    <row r="345" spans="20:20" x14ac:dyDescent="0.35">
      <c r="T345" t="str">
        <f t="shared" si="5"/>
        <v/>
      </c>
    </row>
    <row r="346" spans="20:20" x14ac:dyDescent="0.35">
      <c r="T346" t="str">
        <f t="shared" si="5"/>
        <v/>
      </c>
    </row>
    <row r="347" spans="20:20" x14ac:dyDescent="0.35">
      <c r="T347" t="str">
        <f t="shared" si="5"/>
        <v/>
      </c>
    </row>
    <row r="348" spans="20:20" x14ac:dyDescent="0.35">
      <c r="T348" t="str">
        <f t="shared" si="5"/>
        <v/>
      </c>
    </row>
    <row r="349" spans="20:20" x14ac:dyDescent="0.35">
      <c r="T349" t="str">
        <f t="shared" si="5"/>
        <v/>
      </c>
    </row>
    <row r="350" spans="20:20" x14ac:dyDescent="0.35">
      <c r="T350" t="str">
        <f t="shared" si="5"/>
        <v/>
      </c>
    </row>
    <row r="351" spans="20:20" x14ac:dyDescent="0.35">
      <c r="T351" t="str">
        <f t="shared" si="5"/>
        <v/>
      </c>
    </row>
    <row r="352" spans="20:20" x14ac:dyDescent="0.35">
      <c r="T352" t="str">
        <f t="shared" si="5"/>
        <v/>
      </c>
    </row>
    <row r="353" spans="20:20" x14ac:dyDescent="0.35">
      <c r="T353" t="str">
        <f t="shared" si="5"/>
        <v/>
      </c>
    </row>
    <row r="354" spans="20:20" x14ac:dyDescent="0.35">
      <c r="T354" t="str">
        <f t="shared" si="5"/>
        <v/>
      </c>
    </row>
    <row r="355" spans="20:20" x14ac:dyDescent="0.35">
      <c r="T355" t="str">
        <f t="shared" si="5"/>
        <v/>
      </c>
    </row>
    <row r="356" spans="20:20" x14ac:dyDescent="0.35">
      <c r="T356" t="str">
        <f t="shared" si="5"/>
        <v/>
      </c>
    </row>
    <row r="357" spans="20:20" x14ac:dyDescent="0.35">
      <c r="T357" t="str">
        <f t="shared" si="5"/>
        <v/>
      </c>
    </row>
    <row r="358" spans="20:20" x14ac:dyDescent="0.35">
      <c r="T358" t="str">
        <f t="shared" si="5"/>
        <v/>
      </c>
    </row>
    <row r="359" spans="20:20" x14ac:dyDescent="0.35">
      <c r="T359" t="str">
        <f t="shared" si="5"/>
        <v/>
      </c>
    </row>
    <row r="360" spans="20:20" x14ac:dyDescent="0.35">
      <c r="T360" t="str">
        <f t="shared" si="5"/>
        <v/>
      </c>
    </row>
    <row r="361" spans="20:20" x14ac:dyDescent="0.35">
      <c r="T361" t="str">
        <f t="shared" si="5"/>
        <v/>
      </c>
    </row>
    <row r="362" spans="20:20" x14ac:dyDescent="0.35">
      <c r="T362" t="str">
        <f t="shared" si="5"/>
        <v/>
      </c>
    </row>
    <row r="363" spans="20:20" x14ac:dyDescent="0.35">
      <c r="T363" t="str">
        <f t="shared" si="5"/>
        <v/>
      </c>
    </row>
    <row r="364" spans="20:20" x14ac:dyDescent="0.35">
      <c r="T364" t="str">
        <f t="shared" si="5"/>
        <v/>
      </c>
    </row>
    <row r="365" spans="20:20" x14ac:dyDescent="0.35">
      <c r="T365" t="str">
        <f t="shared" si="5"/>
        <v/>
      </c>
    </row>
    <row r="366" spans="20:20" x14ac:dyDescent="0.35">
      <c r="T366" t="str">
        <f t="shared" si="5"/>
        <v/>
      </c>
    </row>
    <row r="367" spans="20:20" x14ac:dyDescent="0.35">
      <c r="T367" t="str">
        <f t="shared" si="5"/>
        <v/>
      </c>
    </row>
    <row r="368" spans="20:20" x14ac:dyDescent="0.35">
      <c r="T368" t="str">
        <f t="shared" si="5"/>
        <v/>
      </c>
    </row>
    <row r="369" spans="20:20" x14ac:dyDescent="0.35">
      <c r="T369" t="str">
        <f t="shared" si="5"/>
        <v/>
      </c>
    </row>
    <row r="370" spans="20:20" x14ac:dyDescent="0.35">
      <c r="T370" t="str">
        <f t="shared" si="5"/>
        <v/>
      </c>
    </row>
    <row r="371" spans="20:20" x14ac:dyDescent="0.35">
      <c r="T371" t="str">
        <f t="shared" si="5"/>
        <v/>
      </c>
    </row>
    <row r="372" spans="20:20" x14ac:dyDescent="0.35">
      <c r="T372" t="str">
        <f t="shared" si="5"/>
        <v/>
      </c>
    </row>
    <row r="373" spans="20:20" x14ac:dyDescent="0.35">
      <c r="T373" t="str">
        <f t="shared" si="5"/>
        <v/>
      </c>
    </row>
    <row r="374" spans="20:20" x14ac:dyDescent="0.35">
      <c r="T374" t="str">
        <f t="shared" si="5"/>
        <v/>
      </c>
    </row>
    <row r="375" spans="20:20" x14ac:dyDescent="0.35">
      <c r="T375" t="str">
        <f t="shared" si="5"/>
        <v/>
      </c>
    </row>
    <row r="376" spans="20:20" x14ac:dyDescent="0.35">
      <c r="T376" t="str">
        <f t="shared" si="5"/>
        <v/>
      </c>
    </row>
    <row r="377" spans="20:20" x14ac:dyDescent="0.35">
      <c r="T377" t="str">
        <f t="shared" si="5"/>
        <v/>
      </c>
    </row>
    <row r="378" spans="20:20" x14ac:dyDescent="0.35">
      <c r="T378" t="str">
        <f t="shared" si="5"/>
        <v/>
      </c>
    </row>
    <row r="379" spans="20:20" x14ac:dyDescent="0.35">
      <c r="T379" t="str">
        <f t="shared" si="5"/>
        <v/>
      </c>
    </row>
    <row r="380" spans="20:20" x14ac:dyDescent="0.35">
      <c r="T380" t="str">
        <f t="shared" si="5"/>
        <v/>
      </c>
    </row>
    <row r="381" spans="20:20" x14ac:dyDescent="0.35">
      <c r="T381" t="str">
        <f t="shared" si="5"/>
        <v/>
      </c>
    </row>
    <row r="382" spans="20:20" x14ac:dyDescent="0.35">
      <c r="T382" t="str">
        <f t="shared" si="5"/>
        <v/>
      </c>
    </row>
    <row r="383" spans="20:20" x14ac:dyDescent="0.35">
      <c r="T383" t="str">
        <f t="shared" si="5"/>
        <v/>
      </c>
    </row>
    <row r="384" spans="20:20" x14ac:dyDescent="0.35">
      <c r="T384" t="str">
        <f t="shared" si="5"/>
        <v/>
      </c>
    </row>
    <row r="385" spans="20:20" x14ac:dyDescent="0.35">
      <c r="T385" t="str">
        <f t="shared" si="5"/>
        <v/>
      </c>
    </row>
    <row r="386" spans="20:20" x14ac:dyDescent="0.35">
      <c r="T386" t="str">
        <f t="shared" ref="T386:T449" si="6">IF(P386="","",YEAR(P386))</f>
        <v/>
      </c>
    </row>
    <row r="387" spans="20:20" x14ac:dyDescent="0.35">
      <c r="T387" t="str">
        <f t="shared" si="6"/>
        <v/>
      </c>
    </row>
    <row r="388" spans="20:20" x14ac:dyDescent="0.35">
      <c r="T388" t="str">
        <f t="shared" si="6"/>
        <v/>
      </c>
    </row>
    <row r="389" spans="20:20" x14ac:dyDescent="0.35">
      <c r="T389" t="str">
        <f t="shared" si="6"/>
        <v/>
      </c>
    </row>
    <row r="390" spans="20:20" x14ac:dyDescent="0.35">
      <c r="T390" t="str">
        <f t="shared" si="6"/>
        <v/>
      </c>
    </row>
    <row r="391" spans="20:20" x14ac:dyDescent="0.35">
      <c r="T391" t="str">
        <f t="shared" si="6"/>
        <v/>
      </c>
    </row>
    <row r="392" spans="20:20" x14ac:dyDescent="0.35">
      <c r="T392" t="str">
        <f t="shared" si="6"/>
        <v/>
      </c>
    </row>
    <row r="393" spans="20:20" x14ac:dyDescent="0.35">
      <c r="T393" t="str">
        <f t="shared" si="6"/>
        <v/>
      </c>
    </row>
    <row r="394" spans="20:20" x14ac:dyDescent="0.35">
      <c r="T394" t="str">
        <f t="shared" si="6"/>
        <v/>
      </c>
    </row>
    <row r="395" spans="20:20" x14ac:dyDescent="0.35">
      <c r="T395" t="str">
        <f t="shared" si="6"/>
        <v/>
      </c>
    </row>
    <row r="396" spans="20:20" x14ac:dyDescent="0.35">
      <c r="T396" t="str">
        <f t="shared" si="6"/>
        <v/>
      </c>
    </row>
    <row r="397" spans="20:20" x14ac:dyDescent="0.35">
      <c r="T397" t="str">
        <f t="shared" si="6"/>
        <v/>
      </c>
    </row>
    <row r="398" spans="20:20" x14ac:dyDescent="0.35">
      <c r="T398" t="str">
        <f t="shared" si="6"/>
        <v/>
      </c>
    </row>
    <row r="399" spans="20:20" x14ac:dyDescent="0.35">
      <c r="T399" t="str">
        <f t="shared" si="6"/>
        <v/>
      </c>
    </row>
    <row r="400" spans="20:20" x14ac:dyDescent="0.35">
      <c r="T400" t="str">
        <f t="shared" si="6"/>
        <v/>
      </c>
    </row>
    <row r="401" spans="20:20" x14ac:dyDescent="0.35">
      <c r="T401" t="str">
        <f t="shared" si="6"/>
        <v/>
      </c>
    </row>
    <row r="402" spans="20:20" x14ac:dyDescent="0.35">
      <c r="T402" t="str">
        <f t="shared" si="6"/>
        <v/>
      </c>
    </row>
    <row r="403" spans="20:20" x14ac:dyDescent="0.35">
      <c r="T403" t="str">
        <f t="shared" si="6"/>
        <v/>
      </c>
    </row>
    <row r="404" spans="20:20" x14ac:dyDescent="0.35">
      <c r="T404" t="str">
        <f t="shared" si="6"/>
        <v/>
      </c>
    </row>
    <row r="405" spans="20:20" x14ac:dyDescent="0.35">
      <c r="T405" t="str">
        <f t="shared" si="6"/>
        <v/>
      </c>
    </row>
    <row r="406" spans="20:20" x14ac:dyDescent="0.35">
      <c r="T406" t="str">
        <f t="shared" si="6"/>
        <v/>
      </c>
    </row>
    <row r="407" spans="20:20" x14ac:dyDescent="0.35">
      <c r="T407" t="str">
        <f t="shared" si="6"/>
        <v/>
      </c>
    </row>
    <row r="408" spans="20:20" x14ac:dyDescent="0.35">
      <c r="T408" t="str">
        <f t="shared" si="6"/>
        <v/>
      </c>
    </row>
    <row r="409" spans="20:20" x14ac:dyDescent="0.35">
      <c r="T409" t="str">
        <f t="shared" si="6"/>
        <v/>
      </c>
    </row>
    <row r="410" spans="20:20" x14ac:dyDescent="0.35">
      <c r="T410" t="str">
        <f t="shared" si="6"/>
        <v/>
      </c>
    </row>
    <row r="411" spans="20:20" x14ac:dyDescent="0.35">
      <c r="T411" t="str">
        <f t="shared" si="6"/>
        <v/>
      </c>
    </row>
    <row r="412" spans="20:20" x14ac:dyDescent="0.35">
      <c r="T412" t="str">
        <f t="shared" si="6"/>
        <v/>
      </c>
    </row>
    <row r="413" spans="20:20" x14ac:dyDescent="0.35">
      <c r="T413" t="str">
        <f t="shared" si="6"/>
        <v/>
      </c>
    </row>
    <row r="414" spans="20:20" x14ac:dyDescent="0.35">
      <c r="T414" t="str">
        <f t="shared" si="6"/>
        <v/>
      </c>
    </row>
    <row r="415" spans="20:20" x14ac:dyDescent="0.35">
      <c r="T415" t="str">
        <f t="shared" si="6"/>
        <v/>
      </c>
    </row>
    <row r="416" spans="20:20" x14ac:dyDescent="0.35">
      <c r="T416" t="str">
        <f t="shared" si="6"/>
        <v/>
      </c>
    </row>
    <row r="417" spans="20:20" x14ac:dyDescent="0.35">
      <c r="T417" t="str">
        <f t="shared" si="6"/>
        <v/>
      </c>
    </row>
    <row r="418" spans="20:20" x14ac:dyDescent="0.35">
      <c r="T418" t="str">
        <f t="shared" si="6"/>
        <v/>
      </c>
    </row>
    <row r="419" spans="20:20" x14ac:dyDescent="0.35">
      <c r="T419" t="str">
        <f t="shared" si="6"/>
        <v/>
      </c>
    </row>
    <row r="420" spans="20:20" x14ac:dyDescent="0.35">
      <c r="T420" t="str">
        <f t="shared" si="6"/>
        <v/>
      </c>
    </row>
    <row r="421" spans="20:20" x14ac:dyDescent="0.35">
      <c r="T421" t="str">
        <f t="shared" si="6"/>
        <v/>
      </c>
    </row>
    <row r="422" spans="20:20" x14ac:dyDescent="0.35">
      <c r="T422" t="str">
        <f t="shared" si="6"/>
        <v/>
      </c>
    </row>
    <row r="423" spans="20:20" x14ac:dyDescent="0.35">
      <c r="T423" t="str">
        <f t="shared" si="6"/>
        <v/>
      </c>
    </row>
    <row r="424" spans="20:20" x14ac:dyDescent="0.35">
      <c r="T424" t="str">
        <f t="shared" si="6"/>
        <v/>
      </c>
    </row>
    <row r="425" spans="20:20" x14ac:dyDescent="0.35">
      <c r="T425" t="str">
        <f t="shared" si="6"/>
        <v/>
      </c>
    </row>
    <row r="426" spans="20:20" x14ac:dyDescent="0.35">
      <c r="T426" t="str">
        <f t="shared" si="6"/>
        <v/>
      </c>
    </row>
    <row r="427" spans="20:20" x14ac:dyDescent="0.35">
      <c r="T427" t="str">
        <f t="shared" si="6"/>
        <v/>
      </c>
    </row>
    <row r="428" spans="20:20" x14ac:dyDescent="0.35">
      <c r="T428" t="str">
        <f t="shared" si="6"/>
        <v/>
      </c>
    </row>
    <row r="429" spans="20:20" x14ac:dyDescent="0.35">
      <c r="T429" t="str">
        <f t="shared" si="6"/>
        <v/>
      </c>
    </row>
    <row r="430" spans="20:20" x14ac:dyDescent="0.35">
      <c r="T430" t="str">
        <f t="shared" si="6"/>
        <v/>
      </c>
    </row>
    <row r="431" spans="20:20" x14ac:dyDescent="0.35">
      <c r="T431" t="str">
        <f t="shared" si="6"/>
        <v/>
      </c>
    </row>
    <row r="432" spans="20:20" x14ac:dyDescent="0.35">
      <c r="T432" t="str">
        <f t="shared" si="6"/>
        <v/>
      </c>
    </row>
    <row r="433" spans="20:20" x14ac:dyDescent="0.35">
      <c r="T433" t="str">
        <f t="shared" si="6"/>
        <v/>
      </c>
    </row>
    <row r="434" spans="20:20" x14ac:dyDescent="0.35">
      <c r="T434" t="str">
        <f t="shared" si="6"/>
        <v/>
      </c>
    </row>
    <row r="435" spans="20:20" x14ac:dyDescent="0.35">
      <c r="T435" t="str">
        <f t="shared" si="6"/>
        <v/>
      </c>
    </row>
    <row r="436" spans="20:20" x14ac:dyDescent="0.35">
      <c r="T436" t="str">
        <f t="shared" si="6"/>
        <v/>
      </c>
    </row>
    <row r="437" spans="20:20" x14ac:dyDescent="0.35">
      <c r="T437" t="str">
        <f t="shared" si="6"/>
        <v/>
      </c>
    </row>
    <row r="438" spans="20:20" x14ac:dyDescent="0.35">
      <c r="T438" t="str">
        <f t="shared" si="6"/>
        <v/>
      </c>
    </row>
    <row r="439" spans="20:20" x14ac:dyDescent="0.35">
      <c r="T439" t="str">
        <f t="shared" si="6"/>
        <v/>
      </c>
    </row>
    <row r="440" spans="20:20" x14ac:dyDescent="0.35">
      <c r="T440" t="str">
        <f t="shared" si="6"/>
        <v/>
      </c>
    </row>
    <row r="441" spans="20:20" x14ac:dyDescent="0.35">
      <c r="T441" t="str">
        <f t="shared" si="6"/>
        <v/>
      </c>
    </row>
    <row r="442" spans="20:20" x14ac:dyDescent="0.35">
      <c r="T442" t="str">
        <f t="shared" si="6"/>
        <v/>
      </c>
    </row>
    <row r="443" spans="20:20" x14ac:dyDescent="0.35">
      <c r="T443" t="str">
        <f t="shared" si="6"/>
        <v/>
      </c>
    </row>
    <row r="444" spans="20:20" x14ac:dyDescent="0.35">
      <c r="T444" t="str">
        <f t="shared" si="6"/>
        <v/>
      </c>
    </row>
    <row r="445" spans="20:20" x14ac:dyDescent="0.35">
      <c r="T445" t="str">
        <f t="shared" si="6"/>
        <v/>
      </c>
    </row>
    <row r="446" spans="20:20" x14ac:dyDescent="0.35">
      <c r="T446" t="str">
        <f t="shared" si="6"/>
        <v/>
      </c>
    </row>
    <row r="447" spans="20:20" x14ac:dyDescent="0.35">
      <c r="T447" t="str">
        <f t="shared" si="6"/>
        <v/>
      </c>
    </row>
    <row r="448" spans="20:20" x14ac:dyDescent="0.35">
      <c r="T448" t="str">
        <f t="shared" si="6"/>
        <v/>
      </c>
    </row>
    <row r="449" spans="20:20" x14ac:dyDescent="0.35">
      <c r="T449" t="str">
        <f t="shared" si="6"/>
        <v/>
      </c>
    </row>
    <row r="450" spans="20:20" x14ac:dyDescent="0.35">
      <c r="T450" t="str">
        <f t="shared" ref="T450:T513" si="7">IF(P450="","",YEAR(P450))</f>
        <v/>
      </c>
    </row>
    <row r="451" spans="20:20" x14ac:dyDescent="0.35">
      <c r="T451" t="str">
        <f t="shared" si="7"/>
        <v/>
      </c>
    </row>
    <row r="452" spans="20:20" x14ac:dyDescent="0.35">
      <c r="T452" t="str">
        <f t="shared" si="7"/>
        <v/>
      </c>
    </row>
    <row r="453" spans="20:20" x14ac:dyDescent="0.35">
      <c r="T453" t="str">
        <f t="shared" si="7"/>
        <v/>
      </c>
    </row>
    <row r="454" spans="20:20" x14ac:dyDescent="0.35">
      <c r="T454" t="str">
        <f t="shared" si="7"/>
        <v/>
      </c>
    </row>
    <row r="455" spans="20:20" x14ac:dyDescent="0.35">
      <c r="T455" t="str">
        <f t="shared" si="7"/>
        <v/>
      </c>
    </row>
    <row r="456" spans="20:20" x14ac:dyDescent="0.35">
      <c r="T456" t="str">
        <f t="shared" si="7"/>
        <v/>
      </c>
    </row>
    <row r="457" spans="20:20" x14ac:dyDescent="0.35">
      <c r="T457" t="str">
        <f t="shared" si="7"/>
        <v/>
      </c>
    </row>
    <row r="458" spans="20:20" x14ac:dyDescent="0.35">
      <c r="T458" t="str">
        <f t="shared" si="7"/>
        <v/>
      </c>
    </row>
    <row r="459" spans="20:20" x14ac:dyDescent="0.35">
      <c r="T459" t="str">
        <f t="shared" si="7"/>
        <v/>
      </c>
    </row>
    <row r="460" spans="20:20" x14ac:dyDescent="0.35">
      <c r="T460" t="str">
        <f t="shared" si="7"/>
        <v/>
      </c>
    </row>
    <row r="461" spans="20:20" x14ac:dyDescent="0.35">
      <c r="T461" t="str">
        <f t="shared" si="7"/>
        <v/>
      </c>
    </row>
    <row r="462" spans="20:20" x14ac:dyDescent="0.35">
      <c r="T462" t="str">
        <f t="shared" si="7"/>
        <v/>
      </c>
    </row>
    <row r="463" spans="20:20" x14ac:dyDescent="0.35">
      <c r="T463" t="str">
        <f t="shared" si="7"/>
        <v/>
      </c>
    </row>
    <row r="464" spans="20:20" x14ac:dyDescent="0.35">
      <c r="T464" t="str">
        <f t="shared" si="7"/>
        <v/>
      </c>
    </row>
    <row r="465" spans="20:20" x14ac:dyDescent="0.35">
      <c r="T465" t="str">
        <f t="shared" si="7"/>
        <v/>
      </c>
    </row>
    <row r="466" spans="20:20" x14ac:dyDescent="0.35">
      <c r="T466" t="str">
        <f t="shared" si="7"/>
        <v/>
      </c>
    </row>
    <row r="467" spans="20:20" x14ac:dyDescent="0.35">
      <c r="T467" t="str">
        <f t="shared" si="7"/>
        <v/>
      </c>
    </row>
    <row r="468" spans="20:20" x14ac:dyDescent="0.35">
      <c r="T468" t="str">
        <f t="shared" si="7"/>
        <v/>
      </c>
    </row>
    <row r="469" spans="20:20" x14ac:dyDescent="0.35">
      <c r="T469" t="str">
        <f t="shared" si="7"/>
        <v/>
      </c>
    </row>
    <row r="470" spans="20:20" x14ac:dyDescent="0.35">
      <c r="T470" t="str">
        <f t="shared" si="7"/>
        <v/>
      </c>
    </row>
    <row r="471" spans="20:20" x14ac:dyDescent="0.35">
      <c r="T471" t="str">
        <f t="shared" si="7"/>
        <v/>
      </c>
    </row>
    <row r="472" spans="20:20" x14ac:dyDescent="0.35">
      <c r="T472" t="str">
        <f t="shared" si="7"/>
        <v/>
      </c>
    </row>
    <row r="473" spans="20:20" x14ac:dyDescent="0.35">
      <c r="T473" t="str">
        <f t="shared" si="7"/>
        <v/>
      </c>
    </row>
    <row r="474" spans="20:20" x14ac:dyDescent="0.35">
      <c r="T474" t="str">
        <f t="shared" si="7"/>
        <v/>
      </c>
    </row>
    <row r="475" spans="20:20" x14ac:dyDescent="0.35">
      <c r="T475" t="str">
        <f t="shared" si="7"/>
        <v/>
      </c>
    </row>
    <row r="476" spans="20:20" x14ac:dyDescent="0.35">
      <c r="T476" t="str">
        <f t="shared" si="7"/>
        <v/>
      </c>
    </row>
    <row r="477" spans="20:20" x14ac:dyDescent="0.35">
      <c r="T477" t="str">
        <f t="shared" si="7"/>
        <v/>
      </c>
    </row>
    <row r="478" spans="20:20" x14ac:dyDescent="0.35">
      <c r="T478" t="str">
        <f t="shared" si="7"/>
        <v/>
      </c>
    </row>
    <row r="479" spans="20:20" x14ac:dyDescent="0.35">
      <c r="T479" t="str">
        <f t="shared" si="7"/>
        <v/>
      </c>
    </row>
    <row r="480" spans="20:20" x14ac:dyDescent="0.35">
      <c r="T480" t="str">
        <f t="shared" si="7"/>
        <v/>
      </c>
    </row>
    <row r="481" spans="20:20" x14ac:dyDescent="0.35">
      <c r="T481" t="str">
        <f t="shared" si="7"/>
        <v/>
      </c>
    </row>
    <row r="482" spans="20:20" x14ac:dyDescent="0.35">
      <c r="T482" t="str">
        <f t="shared" si="7"/>
        <v/>
      </c>
    </row>
    <row r="483" spans="20:20" x14ac:dyDescent="0.35">
      <c r="T483" t="str">
        <f t="shared" si="7"/>
        <v/>
      </c>
    </row>
    <row r="484" spans="20:20" x14ac:dyDescent="0.35">
      <c r="T484" t="str">
        <f t="shared" si="7"/>
        <v/>
      </c>
    </row>
    <row r="485" spans="20:20" x14ac:dyDescent="0.35">
      <c r="T485" t="str">
        <f t="shared" si="7"/>
        <v/>
      </c>
    </row>
    <row r="486" spans="20:20" x14ac:dyDescent="0.35">
      <c r="T486" t="str">
        <f t="shared" si="7"/>
        <v/>
      </c>
    </row>
    <row r="487" spans="20:20" x14ac:dyDescent="0.35">
      <c r="T487" t="str">
        <f t="shared" si="7"/>
        <v/>
      </c>
    </row>
    <row r="488" spans="20:20" x14ac:dyDescent="0.35">
      <c r="T488" t="str">
        <f t="shared" si="7"/>
        <v/>
      </c>
    </row>
    <row r="489" spans="20:20" x14ac:dyDescent="0.35">
      <c r="T489" t="str">
        <f t="shared" si="7"/>
        <v/>
      </c>
    </row>
    <row r="490" spans="20:20" x14ac:dyDescent="0.35">
      <c r="T490" t="str">
        <f t="shared" si="7"/>
        <v/>
      </c>
    </row>
    <row r="491" spans="20:20" x14ac:dyDescent="0.35">
      <c r="T491" t="str">
        <f t="shared" si="7"/>
        <v/>
      </c>
    </row>
    <row r="492" spans="20:20" x14ac:dyDescent="0.35">
      <c r="T492" t="str">
        <f t="shared" si="7"/>
        <v/>
      </c>
    </row>
    <row r="493" spans="20:20" x14ac:dyDescent="0.35">
      <c r="T493" t="str">
        <f t="shared" si="7"/>
        <v/>
      </c>
    </row>
    <row r="494" spans="20:20" x14ac:dyDescent="0.35">
      <c r="T494" t="str">
        <f t="shared" si="7"/>
        <v/>
      </c>
    </row>
    <row r="495" spans="20:20" x14ac:dyDescent="0.35">
      <c r="T495" t="str">
        <f t="shared" si="7"/>
        <v/>
      </c>
    </row>
    <row r="496" spans="20:20" x14ac:dyDescent="0.35">
      <c r="T496" t="str">
        <f t="shared" si="7"/>
        <v/>
      </c>
    </row>
    <row r="497" spans="20:20" x14ac:dyDescent="0.35">
      <c r="T497" t="str">
        <f t="shared" si="7"/>
        <v/>
      </c>
    </row>
    <row r="498" spans="20:20" x14ac:dyDescent="0.35">
      <c r="T498" t="str">
        <f t="shared" si="7"/>
        <v/>
      </c>
    </row>
    <row r="499" spans="20:20" x14ac:dyDescent="0.35">
      <c r="T499" t="str">
        <f t="shared" si="7"/>
        <v/>
      </c>
    </row>
    <row r="500" spans="20:20" x14ac:dyDescent="0.35">
      <c r="T500" t="str">
        <f t="shared" si="7"/>
        <v/>
      </c>
    </row>
    <row r="501" spans="20:20" x14ac:dyDescent="0.35">
      <c r="T501" t="str">
        <f t="shared" si="7"/>
        <v/>
      </c>
    </row>
    <row r="502" spans="20:20" x14ac:dyDescent="0.35">
      <c r="T502" t="str">
        <f t="shared" si="7"/>
        <v/>
      </c>
    </row>
    <row r="503" spans="20:20" x14ac:dyDescent="0.35">
      <c r="T503" t="str">
        <f t="shared" si="7"/>
        <v/>
      </c>
    </row>
    <row r="504" spans="20:20" x14ac:dyDescent="0.35">
      <c r="T504" t="str">
        <f t="shared" si="7"/>
        <v/>
      </c>
    </row>
    <row r="505" spans="20:20" x14ac:dyDescent="0.35">
      <c r="T505" t="str">
        <f t="shared" si="7"/>
        <v/>
      </c>
    </row>
    <row r="506" spans="20:20" x14ac:dyDescent="0.35">
      <c r="T506" t="str">
        <f t="shared" si="7"/>
        <v/>
      </c>
    </row>
    <row r="507" spans="20:20" x14ac:dyDescent="0.35">
      <c r="T507" t="str">
        <f t="shared" si="7"/>
        <v/>
      </c>
    </row>
    <row r="508" spans="20:20" x14ac:dyDescent="0.35">
      <c r="T508" t="str">
        <f t="shared" si="7"/>
        <v/>
      </c>
    </row>
    <row r="509" spans="20:20" x14ac:dyDescent="0.35">
      <c r="T509" t="str">
        <f t="shared" si="7"/>
        <v/>
      </c>
    </row>
    <row r="510" spans="20:20" x14ac:dyDescent="0.35">
      <c r="T510" t="str">
        <f t="shared" si="7"/>
        <v/>
      </c>
    </row>
    <row r="511" spans="20:20" x14ac:dyDescent="0.35">
      <c r="T511" t="str">
        <f t="shared" si="7"/>
        <v/>
      </c>
    </row>
    <row r="512" spans="20:20" x14ac:dyDescent="0.35">
      <c r="T512" t="str">
        <f t="shared" si="7"/>
        <v/>
      </c>
    </row>
    <row r="513" spans="20:20" x14ac:dyDescent="0.35">
      <c r="T513" t="str">
        <f t="shared" si="7"/>
        <v/>
      </c>
    </row>
    <row r="514" spans="20:20" x14ac:dyDescent="0.35">
      <c r="T514" t="str">
        <f t="shared" ref="T514:T577" si="8">IF(P514="","",YEAR(P514))</f>
        <v/>
      </c>
    </row>
    <row r="515" spans="20:20" x14ac:dyDescent="0.35">
      <c r="T515" t="str">
        <f t="shared" si="8"/>
        <v/>
      </c>
    </row>
    <row r="516" spans="20:20" x14ac:dyDescent="0.35">
      <c r="T516" t="str">
        <f t="shared" si="8"/>
        <v/>
      </c>
    </row>
    <row r="517" spans="20:20" x14ac:dyDescent="0.35">
      <c r="T517" t="str">
        <f t="shared" si="8"/>
        <v/>
      </c>
    </row>
    <row r="518" spans="20:20" x14ac:dyDescent="0.35">
      <c r="T518" t="str">
        <f t="shared" si="8"/>
        <v/>
      </c>
    </row>
    <row r="519" spans="20:20" x14ac:dyDescent="0.35">
      <c r="T519" t="str">
        <f t="shared" si="8"/>
        <v/>
      </c>
    </row>
    <row r="520" spans="20:20" x14ac:dyDescent="0.35">
      <c r="T520" t="str">
        <f t="shared" si="8"/>
        <v/>
      </c>
    </row>
    <row r="521" spans="20:20" x14ac:dyDescent="0.35">
      <c r="T521" t="str">
        <f t="shared" si="8"/>
        <v/>
      </c>
    </row>
    <row r="522" spans="20:20" x14ac:dyDescent="0.35">
      <c r="T522" t="str">
        <f t="shared" si="8"/>
        <v/>
      </c>
    </row>
    <row r="523" spans="20:20" x14ac:dyDescent="0.35">
      <c r="T523" t="str">
        <f t="shared" si="8"/>
        <v/>
      </c>
    </row>
    <row r="524" spans="20:20" x14ac:dyDescent="0.35">
      <c r="T524" t="str">
        <f t="shared" si="8"/>
        <v/>
      </c>
    </row>
    <row r="525" spans="20:20" x14ac:dyDescent="0.35">
      <c r="T525" t="str">
        <f t="shared" si="8"/>
        <v/>
      </c>
    </row>
    <row r="526" spans="20:20" x14ac:dyDescent="0.35">
      <c r="T526" t="str">
        <f t="shared" si="8"/>
        <v/>
      </c>
    </row>
    <row r="527" spans="20:20" x14ac:dyDescent="0.35">
      <c r="T527" t="str">
        <f t="shared" si="8"/>
        <v/>
      </c>
    </row>
    <row r="528" spans="20:20" x14ac:dyDescent="0.35">
      <c r="T528" t="str">
        <f t="shared" si="8"/>
        <v/>
      </c>
    </row>
    <row r="529" spans="20:20" x14ac:dyDescent="0.35">
      <c r="T529" t="str">
        <f t="shared" si="8"/>
        <v/>
      </c>
    </row>
    <row r="530" spans="20:20" x14ac:dyDescent="0.35">
      <c r="T530" t="str">
        <f t="shared" si="8"/>
        <v/>
      </c>
    </row>
    <row r="531" spans="20:20" x14ac:dyDescent="0.35">
      <c r="T531" t="str">
        <f t="shared" si="8"/>
        <v/>
      </c>
    </row>
    <row r="532" spans="20:20" x14ac:dyDescent="0.35">
      <c r="T532" t="str">
        <f t="shared" si="8"/>
        <v/>
      </c>
    </row>
    <row r="533" spans="20:20" x14ac:dyDescent="0.35">
      <c r="T533" t="str">
        <f t="shared" si="8"/>
        <v/>
      </c>
    </row>
    <row r="534" spans="20:20" x14ac:dyDescent="0.35">
      <c r="T534" t="str">
        <f t="shared" si="8"/>
        <v/>
      </c>
    </row>
    <row r="535" spans="20:20" x14ac:dyDescent="0.35">
      <c r="T535" t="str">
        <f t="shared" si="8"/>
        <v/>
      </c>
    </row>
    <row r="536" spans="20:20" x14ac:dyDescent="0.35">
      <c r="T536" t="str">
        <f t="shared" si="8"/>
        <v/>
      </c>
    </row>
    <row r="537" spans="20:20" x14ac:dyDescent="0.35">
      <c r="T537" t="str">
        <f t="shared" si="8"/>
        <v/>
      </c>
    </row>
    <row r="538" spans="20:20" x14ac:dyDescent="0.35">
      <c r="T538" t="str">
        <f t="shared" si="8"/>
        <v/>
      </c>
    </row>
    <row r="539" spans="20:20" x14ac:dyDescent="0.35">
      <c r="T539" t="str">
        <f t="shared" si="8"/>
        <v/>
      </c>
    </row>
    <row r="540" spans="20:20" x14ac:dyDescent="0.35">
      <c r="T540" t="str">
        <f t="shared" si="8"/>
        <v/>
      </c>
    </row>
    <row r="541" spans="20:20" x14ac:dyDescent="0.35">
      <c r="T541" t="str">
        <f t="shared" si="8"/>
        <v/>
      </c>
    </row>
    <row r="542" spans="20:20" x14ac:dyDescent="0.35">
      <c r="T542" t="str">
        <f t="shared" si="8"/>
        <v/>
      </c>
    </row>
    <row r="543" spans="20:20" x14ac:dyDescent="0.35">
      <c r="T543" t="str">
        <f t="shared" si="8"/>
        <v/>
      </c>
    </row>
    <row r="544" spans="20:20" x14ac:dyDescent="0.35">
      <c r="T544" t="str">
        <f t="shared" si="8"/>
        <v/>
      </c>
    </row>
    <row r="545" spans="20:20" x14ac:dyDescent="0.35">
      <c r="T545" t="str">
        <f t="shared" si="8"/>
        <v/>
      </c>
    </row>
    <row r="546" spans="20:20" x14ac:dyDescent="0.35">
      <c r="T546" t="str">
        <f t="shared" si="8"/>
        <v/>
      </c>
    </row>
    <row r="547" spans="20:20" x14ac:dyDescent="0.35">
      <c r="T547" t="str">
        <f t="shared" si="8"/>
        <v/>
      </c>
    </row>
    <row r="548" spans="20:20" x14ac:dyDescent="0.35">
      <c r="T548" t="str">
        <f t="shared" si="8"/>
        <v/>
      </c>
    </row>
    <row r="549" spans="20:20" x14ac:dyDescent="0.35">
      <c r="T549" t="str">
        <f t="shared" si="8"/>
        <v/>
      </c>
    </row>
    <row r="550" spans="20:20" x14ac:dyDescent="0.35">
      <c r="T550" t="str">
        <f t="shared" si="8"/>
        <v/>
      </c>
    </row>
    <row r="551" spans="20:20" x14ac:dyDescent="0.35">
      <c r="T551" t="str">
        <f t="shared" si="8"/>
        <v/>
      </c>
    </row>
    <row r="552" spans="20:20" x14ac:dyDescent="0.35">
      <c r="T552" t="str">
        <f t="shared" si="8"/>
        <v/>
      </c>
    </row>
    <row r="553" spans="20:20" x14ac:dyDescent="0.35">
      <c r="T553" t="str">
        <f t="shared" si="8"/>
        <v/>
      </c>
    </row>
    <row r="554" spans="20:20" x14ac:dyDescent="0.35">
      <c r="T554" t="str">
        <f t="shared" si="8"/>
        <v/>
      </c>
    </row>
    <row r="555" spans="20:20" x14ac:dyDescent="0.35">
      <c r="T555" t="str">
        <f t="shared" si="8"/>
        <v/>
      </c>
    </row>
    <row r="556" spans="20:20" x14ac:dyDescent="0.35">
      <c r="T556" t="str">
        <f t="shared" si="8"/>
        <v/>
      </c>
    </row>
    <row r="557" spans="20:20" x14ac:dyDescent="0.35">
      <c r="T557" t="str">
        <f t="shared" si="8"/>
        <v/>
      </c>
    </row>
    <row r="558" spans="20:20" x14ac:dyDescent="0.35">
      <c r="T558" t="str">
        <f t="shared" si="8"/>
        <v/>
      </c>
    </row>
    <row r="559" spans="20:20" x14ac:dyDescent="0.35">
      <c r="T559" t="str">
        <f t="shared" si="8"/>
        <v/>
      </c>
    </row>
    <row r="560" spans="20:20" x14ac:dyDescent="0.35">
      <c r="T560" t="str">
        <f t="shared" si="8"/>
        <v/>
      </c>
    </row>
    <row r="561" spans="20:20" x14ac:dyDescent="0.35">
      <c r="T561" t="str">
        <f t="shared" si="8"/>
        <v/>
      </c>
    </row>
    <row r="562" spans="20:20" x14ac:dyDescent="0.35">
      <c r="T562" t="str">
        <f t="shared" si="8"/>
        <v/>
      </c>
    </row>
    <row r="563" spans="20:20" x14ac:dyDescent="0.35">
      <c r="T563" t="str">
        <f t="shared" si="8"/>
        <v/>
      </c>
    </row>
    <row r="564" spans="20:20" x14ac:dyDescent="0.35">
      <c r="T564" t="str">
        <f t="shared" si="8"/>
        <v/>
      </c>
    </row>
    <row r="565" spans="20:20" x14ac:dyDescent="0.35">
      <c r="T565" t="str">
        <f t="shared" si="8"/>
        <v/>
      </c>
    </row>
    <row r="566" spans="20:20" x14ac:dyDescent="0.35">
      <c r="T566" t="str">
        <f t="shared" si="8"/>
        <v/>
      </c>
    </row>
    <row r="567" spans="20:20" x14ac:dyDescent="0.35">
      <c r="T567" t="str">
        <f t="shared" si="8"/>
        <v/>
      </c>
    </row>
    <row r="568" spans="20:20" x14ac:dyDescent="0.35">
      <c r="T568" t="str">
        <f t="shared" si="8"/>
        <v/>
      </c>
    </row>
    <row r="569" spans="20:20" x14ac:dyDescent="0.35">
      <c r="T569" t="str">
        <f t="shared" si="8"/>
        <v/>
      </c>
    </row>
    <row r="570" spans="20:20" x14ac:dyDescent="0.35">
      <c r="T570" t="str">
        <f t="shared" si="8"/>
        <v/>
      </c>
    </row>
    <row r="571" spans="20:20" x14ac:dyDescent="0.35">
      <c r="T571" t="str">
        <f t="shared" si="8"/>
        <v/>
      </c>
    </row>
    <row r="572" spans="20:20" x14ac:dyDescent="0.35">
      <c r="T572" t="str">
        <f t="shared" si="8"/>
        <v/>
      </c>
    </row>
    <row r="573" spans="20:20" x14ac:dyDescent="0.35">
      <c r="T573" t="str">
        <f t="shared" si="8"/>
        <v/>
      </c>
    </row>
    <row r="574" spans="20:20" x14ac:dyDescent="0.35">
      <c r="T574" t="str">
        <f t="shared" si="8"/>
        <v/>
      </c>
    </row>
    <row r="575" spans="20:20" x14ac:dyDescent="0.35">
      <c r="T575" t="str">
        <f t="shared" si="8"/>
        <v/>
      </c>
    </row>
    <row r="576" spans="20:20" x14ac:dyDescent="0.35">
      <c r="T576" t="str">
        <f t="shared" si="8"/>
        <v/>
      </c>
    </row>
    <row r="577" spans="20:20" x14ac:dyDescent="0.35">
      <c r="T577" t="str">
        <f t="shared" si="8"/>
        <v/>
      </c>
    </row>
    <row r="578" spans="20:20" x14ac:dyDescent="0.35">
      <c r="T578" t="str">
        <f t="shared" ref="T578:T641" si="9">IF(P578="","",YEAR(P578))</f>
        <v/>
      </c>
    </row>
    <row r="579" spans="20:20" x14ac:dyDescent="0.35">
      <c r="T579" t="str">
        <f t="shared" si="9"/>
        <v/>
      </c>
    </row>
    <row r="580" spans="20:20" x14ac:dyDescent="0.35">
      <c r="T580" t="str">
        <f t="shared" si="9"/>
        <v/>
      </c>
    </row>
    <row r="581" spans="20:20" x14ac:dyDescent="0.35">
      <c r="T581" t="str">
        <f t="shared" si="9"/>
        <v/>
      </c>
    </row>
    <row r="582" spans="20:20" x14ac:dyDescent="0.35">
      <c r="T582" t="str">
        <f t="shared" si="9"/>
        <v/>
      </c>
    </row>
    <row r="583" spans="20:20" x14ac:dyDescent="0.35">
      <c r="T583" t="str">
        <f t="shared" si="9"/>
        <v/>
      </c>
    </row>
    <row r="584" spans="20:20" x14ac:dyDescent="0.35">
      <c r="T584" t="str">
        <f t="shared" si="9"/>
        <v/>
      </c>
    </row>
    <row r="585" spans="20:20" x14ac:dyDescent="0.35">
      <c r="T585" t="str">
        <f t="shared" si="9"/>
        <v/>
      </c>
    </row>
    <row r="586" spans="20:20" x14ac:dyDescent="0.35">
      <c r="T586" t="str">
        <f t="shared" si="9"/>
        <v/>
      </c>
    </row>
    <row r="587" spans="20:20" x14ac:dyDescent="0.35">
      <c r="T587" t="str">
        <f t="shared" si="9"/>
        <v/>
      </c>
    </row>
    <row r="588" spans="20:20" x14ac:dyDescent="0.35">
      <c r="T588" t="str">
        <f t="shared" si="9"/>
        <v/>
      </c>
    </row>
    <row r="589" spans="20:20" x14ac:dyDescent="0.35">
      <c r="T589" t="str">
        <f t="shared" si="9"/>
        <v/>
      </c>
    </row>
    <row r="590" spans="20:20" x14ac:dyDescent="0.35">
      <c r="T590" t="str">
        <f t="shared" si="9"/>
        <v/>
      </c>
    </row>
    <row r="591" spans="20:20" x14ac:dyDescent="0.35">
      <c r="T591" t="str">
        <f t="shared" si="9"/>
        <v/>
      </c>
    </row>
    <row r="592" spans="20:20" x14ac:dyDescent="0.35">
      <c r="T592" t="str">
        <f t="shared" si="9"/>
        <v/>
      </c>
    </row>
    <row r="593" spans="20:20" x14ac:dyDescent="0.35">
      <c r="T593" t="str">
        <f t="shared" si="9"/>
        <v/>
      </c>
    </row>
    <row r="594" spans="20:20" x14ac:dyDescent="0.35">
      <c r="T594" t="str">
        <f t="shared" si="9"/>
        <v/>
      </c>
    </row>
    <row r="595" spans="20:20" x14ac:dyDescent="0.35">
      <c r="T595" t="str">
        <f t="shared" si="9"/>
        <v/>
      </c>
    </row>
    <row r="596" spans="20:20" x14ac:dyDescent="0.35">
      <c r="T596" t="str">
        <f t="shared" si="9"/>
        <v/>
      </c>
    </row>
    <row r="597" spans="20:20" x14ac:dyDescent="0.35">
      <c r="T597" t="str">
        <f t="shared" si="9"/>
        <v/>
      </c>
    </row>
    <row r="598" spans="20:20" x14ac:dyDescent="0.35">
      <c r="T598" t="str">
        <f t="shared" si="9"/>
        <v/>
      </c>
    </row>
    <row r="599" spans="20:20" x14ac:dyDescent="0.35">
      <c r="T599" t="str">
        <f t="shared" si="9"/>
        <v/>
      </c>
    </row>
    <row r="600" spans="20:20" x14ac:dyDescent="0.35">
      <c r="T600" t="str">
        <f t="shared" si="9"/>
        <v/>
      </c>
    </row>
    <row r="601" spans="20:20" x14ac:dyDescent="0.35">
      <c r="T601" t="str">
        <f t="shared" si="9"/>
        <v/>
      </c>
    </row>
    <row r="602" spans="20:20" x14ac:dyDescent="0.35">
      <c r="T602" t="str">
        <f t="shared" si="9"/>
        <v/>
      </c>
    </row>
    <row r="603" spans="20:20" x14ac:dyDescent="0.35">
      <c r="T603" t="str">
        <f t="shared" si="9"/>
        <v/>
      </c>
    </row>
    <row r="604" spans="20:20" x14ac:dyDescent="0.35">
      <c r="T604" t="str">
        <f t="shared" si="9"/>
        <v/>
      </c>
    </row>
    <row r="605" spans="20:20" x14ac:dyDescent="0.35">
      <c r="T605" t="str">
        <f t="shared" si="9"/>
        <v/>
      </c>
    </row>
    <row r="606" spans="20:20" x14ac:dyDescent="0.35">
      <c r="T606" t="str">
        <f t="shared" si="9"/>
        <v/>
      </c>
    </row>
    <row r="607" spans="20:20" x14ac:dyDescent="0.35">
      <c r="T607" t="str">
        <f t="shared" si="9"/>
        <v/>
      </c>
    </row>
    <row r="608" spans="20:20" x14ac:dyDescent="0.35">
      <c r="T608" t="str">
        <f t="shared" si="9"/>
        <v/>
      </c>
    </row>
    <row r="609" spans="20:20" x14ac:dyDescent="0.35">
      <c r="T609" t="str">
        <f t="shared" si="9"/>
        <v/>
      </c>
    </row>
    <row r="610" spans="20:20" x14ac:dyDescent="0.35">
      <c r="T610" t="str">
        <f t="shared" si="9"/>
        <v/>
      </c>
    </row>
    <row r="611" spans="20:20" x14ac:dyDescent="0.35">
      <c r="T611" t="str">
        <f t="shared" si="9"/>
        <v/>
      </c>
    </row>
    <row r="612" spans="20:20" x14ac:dyDescent="0.35">
      <c r="T612" t="str">
        <f t="shared" si="9"/>
        <v/>
      </c>
    </row>
    <row r="613" spans="20:20" x14ac:dyDescent="0.35">
      <c r="T613" t="str">
        <f t="shared" si="9"/>
        <v/>
      </c>
    </row>
    <row r="614" spans="20:20" x14ac:dyDescent="0.35">
      <c r="T614" t="str">
        <f t="shared" si="9"/>
        <v/>
      </c>
    </row>
    <row r="615" spans="20:20" x14ac:dyDescent="0.35">
      <c r="T615" t="str">
        <f t="shared" si="9"/>
        <v/>
      </c>
    </row>
    <row r="616" spans="20:20" x14ac:dyDescent="0.35">
      <c r="T616" t="str">
        <f t="shared" si="9"/>
        <v/>
      </c>
    </row>
    <row r="617" spans="20:20" x14ac:dyDescent="0.35">
      <c r="T617" t="str">
        <f t="shared" si="9"/>
        <v/>
      </c>
    </row>
    <row r="618" spans="20:20" x14ac:dyDescent="0.35">
      <c r="T618" t="str">
        <f t="shared" si="9"/>
        <v/>
      </c>
    </row>
    <row r="619" spans="20:20" x14ac:dyDescent="0.35">
      <c r="T619" t="str">
        <f t="shared" si="9"/>
        <v/>
      </c>
    </row>
    <row r="620" spans="20:20" x14ac:dyDescent="0.35">
      <c r="T620" t="str">
        <f t="shared" si="9"/>
        <v/>
      </c>
    </row>
    <row r="621" spans="20:20" x14ac:dyDescent="0.35">
      <c r="T621" t="str">
        <f t="shared" si="9"/>
        <v/>
      </c>
    </row>
    <row r="622" spans="20:20" x14ac:dyDescent="0.35">
      <c r="T622" t="str">
        <f t="shared" si="9"/>
        <v/>
      </c>
    </row>
    <row r="623" spans="20:20" x14ac:dyDescent="0.35">
      <c r="T623" t="str">
        <f t="shared" si="9"/>
        <v/>
      </c>
    </row>
    <row r="624" spans="20:20" x14ac:dyDescent="0.35">
      <c r="T624" t="str">
        <f t="shared" si="9"/>
        <v/>
      </c>
    </row>
    <row r="625" spans="20:20" x14ac:dyDescent="0.35">
      <c r="T625" t="str">
        <f t="shared" si="9"/>
        <v/>
      </c>
    </row>
    <row r="626" spans="20:20" x14ac:dyDescent="0.35">
      <c r="T626" t="str">
        <f t="shared" si="9"/>
        <v/>
      </c>
    </row>
    <row r="627" spans="20:20" x14ac:dyDescent="0.35">
      <c r="T627" t="str">
        <f t="shared" si="9"/>
        <v/>
      </c>
    </row>
    <row r="628" spans="20:20" x14ac:dyDescent="0.35">
      <c r="T628" t="str">
        <f t="shared" si="9"/>
        <v/>
      </c>
    </row>
    <row r="629" spans="20:20" x14ac:dyDescent="0.35">
      <c r="T629" t="str">
        <f t="shared" si="9"/>
        <v/>
      </c>
    </row>
    <row r="630" spans="20:20" x14ac:dyDescent="0.35">
      <c r="T630" t="str">
        <f t="shared" si="9"/>
        <v/>
      </c>
    </row>
    <row r="631" spans="20:20" x14ac:dyDescent="0.35">
      <c r="T631" t="str">
        <f t="shared" si="9"/>
        <v/>
      </c>
    </row>
    <row r="632" spans="20:20" x14ac:dyDescent="0.35">
      <c r="T632" t="str">
        <f t="shared" si="9"/>
        <v/>
      </c>
    </row>
    <row r="633" spans="20:20" x14ac:dyDescent="0.35">
      <c r="T633" t="str">
        <f t="shared" si="9"/>
        <v/>
      </c>
    </row>
    <row r="634" spans="20:20" x14ac:dyDescent="0.35">
      <c r="T634" t="str">
        <f t="shared" si="9"/>
        <v/>
      </c>
    </row>
    <row r="635" spans="20:20" x14ac:dyDescent="0.35">
      <c r="T635" t="str">
        <f t="shared" si="9"/>
        <v/>
      </c>
    </row>
    <row r="636" spans="20:20" x14ac:dyDescent="0.35">
      <c r="T636" t="str">
        <f t="shared" si="9"/>
        <v/>
      </c>
    </row>
    <row r="637" spans="20:20" x14ac:dyDescent="0.35">
      <c r="T637" t="str">
        <f t="shared" si="9"/>
        <v/>
      </c>
    </row>
    <row r="638" spans="20:20" x14ac:dyDescent="0.35">
      <c r="T638" t="str">
        <f t="shared" si="9"/>
        <v/>
      </c>
    </row>
    <row r="639" spans="20:20" x14ac:dyDescent="0.35">
      <c r="T639" t="str">
        <f t="shared" si="9"/>
        <v/>
      </c>
    </row>
    <row r="640" spans="20:20" x14ac:dyDescent="0.35">
      <c r="T640" t="str">
        <f t="shared" si="9"/>
        <v/>
      </c>
    </row>
    <row r="641" spans="20:20" x14ac:dyDescent="0.35">
      <c r="T641" t="str">
        <f t="shared" si="9"/>
        <v/>
      </c>
    </row>
    <row r="642" spans="20:20" x14ac:dyDescent="0.35">
      <c r="T642" t="str">
        <f t="shared" ref="T642:T705" si="10">IF(P642="","",YEAR(P642))</f>
        <v/>
      </c>
    </row>
    <row r="643" spans="20:20" x14ac:dyDescent="0.35">
      <c r="T643" t="str">
        <f t="shared" si="10"/>
        <v/>
      </c>
    </row>
    <row r="644" spans="20:20" x14ac:dyDescent="0.35">
      <c r="T644" t="str">
        <f t="shared" si="10"/>
        <v/>
      </c>
    </row>
    <row r="645" spans="20:20" x14ac:dyDescent="0.35">
      <c r="T645" t="str">
        <f t="shared" si="10"/>
        <v/>
      </c>
    </row>
    <row r="646" spans="20:20" x14ac:dyDescent="0.35">
      <c r="T646" t="str">
        <f t="shared" si="10"/>
        <v/>
      </c>
    </row>
    <row r="647" spans="20:20" x14ac:dyDescent="0.35">
      <c r="T647" t="str">
        <f t="shared" si="10"/>
        <v/>
      </c>
    </row>
    <row r="648" spans="20:20" x14ac:dyDescent="0.35">
      <c r="T648" t="str">
        <f t="shared" si="10"/>
        <v/>
      </c>
    </row>
    <row r="649" spans="20:20" x14ac:dyDescent="0.35">
      <c r="T649" t="str">
        <f t="shared" si="10"/>
        <v/>
      </c>
    </row>
    <row r="650" spans="20:20" x14ac:dyDescent="0.35">
      <c r="T650" t="str">
        <f t="shared" si="10"/>
        <v/>
      </c>
    </row>
    <row r="651" spans="20:20" x14ac:dyDescent="0.35">
      <c r="T651" t="str">
        <f t="shared" si="10"/>
        <v/>
      </c>
    </row>
    <row r="652" spans="20:20" x14ac:dyDescent="0.35">
      <c r="T652" t="str">
        <f t="shared" si="10"/>
        <v/>
      </c>
    </row>
    <row r="653" spans="20:20" x14ac:dyDescent="0.35">
      <c r="T653" t="str">
        <f t="shared" si="10"/>
        <v/>
      </c>
    </row>
    <row r="654" spans="20:20" x14ac:dyDescent="0.35">
      <c r="T654" t="str">
        <f t="shared" si="10"/>
        <v/>
      </c>
    </row>
    <row r="655" spans="20:20" x14ac:dyDescent="0.35">
      <c r="T655" t="str">
        <f t="shared" si="10"/>
        <v/>
      </c>
    </row>
    <row r="656" spans="20:20" x14ac:dyDescent="0.35">
      <c r="T656" t="str">
        <f t="shared" si="10"/>
        <v/>
      </c>
    </row>
    <row r="657" spans="20:20" x14ac:dyDescent="0.35">
      <c r="T657" t="str">
        <f t="shared" si="10"/>
        <v/>
      </c>
    </row>
    <row r="658" spans="20:20" x14ac:dyDescent="0.35">
      <c r="T658" t="str">
        <f t="shared" si="10"/>
        <v/>
      </c>
    </row>
    <row r="659" spans="20:20" x14ac:dyDescent="0.35">
      <c r="T659" t="str">
        <f t="shared" si="10"/>
        <v/>
      </c>
    </row>
    <row r="660" spans="20:20" x14ac:dyDescent="0.35">
      <c r="T660" t="str">
        <f t="shared" si="10"/>
        <v/>
      </c>
    </row>
    <row r="661" spans="20:20" x14ac:dyDescent="0.35">
      <c r="T661" t="str">
        <f t="shared" si="10"/>
        <v/>
      </c>
    </row>
    <row r="662" spans="20:20" x14ac:dyDescent="0.35">
      <c r="T662" t="str">
        <f t="shared" si="10"/>
        <v/>
      </c>
    </row>
    <row r="663" spans="20:20" x14ac:dyDescent="0.35">
      <c r="T663" t="str">
        <f t="shared" si="10"/>
        <v/>
      </c>
    </row>
    <row r="664" spans="20:20" x14ac:dyDescent="0.35">
      <c r="T664" t="str">
        <f t="shared" si="10"/>
        <v/>
      </c>
    </row>
    <row r="665" spans="20:20" x14ac:dyDescent="0.35">
      <c r="T665" t="str">
        <f t="shared" si="10"/>
        <v/>
      </c>
    </row>
    <row r="666" spans="20:20" x14ac:dyDescent="0.35">
      <c r="T666" t="str">
        <f t="shared" si="10"/>
        <v/>
      </c>
    </row>
    <row r="667" spans="20:20" x14ac:dyDescent="0.35">
      <c r="T667" t="str">
        <f t="shared" si="10"/>
        <v/>
      </c>
    </row>
    <row r="668" spans="20:20" x14ac:dyDescent="0.35">
      <c r="T668" t="str">
        <f t="shared" si="10"/>
        <v/>
      </c>
    </row>
    <row r="669" spans="20:20" x14ac:dyDescent="0.35">
      <c r="T669" t="str">
        <f t="shared" si="10"/>
        <v/>
      </c>
    </row>
    <row r="670" spans="20:20" x14ac:dyDescent="0.35">
      <c r="T670" t="str">
        <f t="shared" si="10"/>
        <v/>
      </c>
    </row>
    <row r="671" spans="20:20" x14ac:dyDescent="0.35">
      <c r="T671" t="str">
        <f t="shared" si="10"/>
        <v/>
      </c>
    </row>
    <row r="672" spans="20:20" x14ac:dyDescent="0.35">
      <c r="T672" t="str">
        <f t="shared" si="10"/>
        <v/>
      </c>
    </row>
    <row r="673" spans="20:20" x14ac:dyDescent="0.35">
      <c r="T673" t="str">
        <f t="shared" si="10"/>
        <v/>
      </c>
    </row>
    <row r="674" spans="20:20" x14ac:dyDescent="0.35">
      <c r="T674" t="str">
        <f t="shared" si="10"/>
        <v/>
      </c>
    </row>
    <row r="675" spans="20:20" x14ac:dyDescent="0.35">
      <c r="T675" t="str">
        <f t="shared" si="10"/>
        <v/>
      </c>
    </row>
    <row r="676" spans="20:20" x14ac:dyDescent="0.35">
      <c r="T676" t="str">
        <f t="shared" si="10"/>
        <v/>
      </c>
    </row>
    <row r="677" spans="20:20" x14ac:dyDescent="0.35">
      <c r="T677" t="str">
        <f t="shared" si="10"/>
        <v/>
      </c>
    </row>
    <row r="678" spans="20:20" x14ac:dyDescent="0.35">
      <c r="T678" t="str">
        <f t="shared" si="10"/>
        <v/>
      </c>
    </row>
    <row r="679" spans="20:20" x14ac:dyDescent="0.35">
      <c r="T679" t="str">
        <f t="shared" si="10"/>
        <v/>
      </c>
    </row>
    <row r="680" spans="20:20" x14ac:dyDescent="0.35">
      <c r="T680" t="str">
        <f t="shared" si="10"/>
        <v/>
      </c>
    </row>
    <row r="681" spans="20:20" x14ac:dyDescent="0.35">
      <c r="T681" t="str">
        <f t="shared" si="10"/>
        <v/>
      </c>
    </row>
    <row r="682" spans="20:20" x14ac:dyDescent="0.35">
      <c r="T682" t="str">
        <f t="shared" si="10"/>
        <v/>
      </c>
    </row>
    <row r="683" spans="20:20" x14ac:dyDescent="0.35">
      <c r="T683" t="str">
        <f t="shared" si="10"/>
        <v/>
      </c>
    </row>
    <row r="684" spans="20:20" x14ac:dyDescent="0.35">
      <c r="T684" t="str">
        <f t="shared" si="10"/>
        <v/>
      </c>
    </row>
    <row r="685" spans="20:20" x14ac:dyDescent="0.35">
      <c r="T685" t="str">
        <f t="shared" si="10"/>
        <v/>
      </c>
    </row>
    <row r="686" spans="20:20" x14ac:dyDescent="0.35">
      <c r="T686" t="str">
        <f t="shared" si="10"/>
        <v/>
      </c>
    </row>
    <row r="687" spans="20:20" x14ac:dyDescent="0.35">
      <c r="T687" t="str">
        <f t="shared" si="10"/>
        <v/>
      </c>
    </row>
    <row r="688" spans="20:20" x14ac:dyDescent="0.35">
      <c r="T688" t="str">
        <f t="shared" si="10"/>
        <v/>
      </c>
    </row>
    <row r="689" spans="20:20" x14ac:dyDescent="0.35">
      <c r="T689" t="str">
        <f t="shared" si="10"/>
        <v/>
      </c>
    </row>
    <row r="690" spans="20:20" x14ac:dyDescent="0.35">
      <c r="T690" t="str">
        <f t="shared" si="10"/>
        <v/>
      </c>
    </row>
    <row r="691" spans="20:20" x14ac:dyDescent="0.35">
      <c r="T691" t="str">
        <f t="shared" si="10"/>
        <v/>
      </c>
    </row>
    <row r="692" spans="20:20" x14ac:dyDescent="0.35">
      <c r="T692" t="str">
        <f t="shared" si="10"/>
        <v/>
      </c>
    </row>
    <row r="693" spans="20:20" x14ac:dyDescent="0.35">
      <c r="T693" t="str">
        <f t="shared" si="10"/>
        <v/>
      </c>
    </row>
    <row r="694" spans="20:20" x14ac:dyDescent="0.35">
      <c r="T694" t="str">
        <f t="shared" si="10"/>
        <v/>
      </c>
    </row>
    <row r="695" spans="20:20" x14ac:dyDescent="0.35">
      <c r="T695" t="str">
        <f t="shared" si="10"/>
        <v/>
      </c>
    </row>
    <row r="696" spans="20:20" x14ac:dyDescent="0.35">
      <c r="T696" t="str">
        <f t="shared" si="10"/>
        <v/>
      </c>
    </row>
    <row r="697" spans="20:20" x14ac:dyDescent="0.35">
      <c r="T697" t="str">
        <f t="shared" si="10"/>
        <v/>
      </c>
    </row>
    <row r="698" spans="20:20" x14ac:dyDescent="0.35">
      <c r="T698" t="str">
        <f t="shared" si="10"/>
        <v/>
      </c>
    </row>
    <row r="699" spans="20:20" x14ac:dyDescent="0.35">
      <c r="T699" t="str">
        <f t="shared" si="10"/>
        <v/>
      </c>
    </row>
    <row r="700" spans="20:20" x14ac:dyDescent="0.35">
      <c r="T700" t="str">
        <f t="shared" si="10"/>
        <v/>
      </c>
    </row>
    <row r="701" spans="20:20" x14ac:dyDescent="0.35">
      <c r="T701" t="str">
        <f t="shared" si="10"/>
        <v/>
      </c>
    </row>
    <row r="702" spans="20:20" x14ac:dyDescent="0.35">
      <c r="T702" t="str">
        <f t="shared" si="10"/>
        <v/>
      </c>
    </row>
    <row r="703" spans="20:20" x14ac:dyDescent="0.35">
      <c r="T703" t="str">
        <f t="shared" si="10"/>
        <v/>
      </c>
    </row>
    <row r="704" spans="20:20" x14ac:dyDescent="0.35">
      <c r="T704" t="str">
        <f t="shared" si="10"/>
        <v/>
      </c>
    </row>
    <row r="705" spans="20:20" x14ac:dyDescent="0.35">
      <c r="T705" t="str">
        <f t="shared" si="10"/>
        <v/>
      </c>
    </row>
    <row r="706" spans="20:20" x14ac:dyDescent="0.35">
      <c r="T706" t="str">
        <f t="shared" ref="T706:T769" si="11">IF(P706="","",YEAR(P706))</f>
        <v/>
      </c>
    </row>
    <row r="707" spans="20:20" x14ac:dyDescent="0.35">
      <c r="T707" t="str">
        <f t="shared" si="11"/>
        <v/>
      </c>
    </row>
    <row r="708" spans="20:20" x14ac:dyDescent="0.35">
      <c r="T708" t="str">
        <f t="shared" si="11"/>
        <v/>
      </c>
    </row>
    <row r="709" spans="20:20" x14ac:dyDescent="0.35">
      <c r="T709" t="str">
        <f t="shared" si="11"/>
        <v/>
      </c>
    </row>
    <row r="710" spans="20:20" x14ac:dyDescent="0.35">
      <c r="T710" t="str">
        <f t="shared" si="11"/>
        <v/>
      </c>
    </row>
    <row r="711" spans="20:20" x14ac:dyDescent="0.35">
      <c r="T711" t="str">
        <f t="shared" si="11"/>
        <v/>
      </c>
    </row>
    <row r="712" spans="20:20" x14ac:dyDescent="0.35">
      <c r="T712" t="str">
        <f t="shared" si="11"/>
        <v/>
      </c>
    </row>
    <row r="713" spans="20:20" x14ac:dyDescent="0.35">
      <c r="T713" t="str">
        <f t="shared" si="11"/>
        <v/>
      </c>
    </row>
    <row r="714" spans="20:20" x14ac:dyDescent="0.35">
      <c r="T714" t="str">
        <f t="shared" si="11"/>
        <v/>
      </c>
    </row>
    <row r="715" spans="20:20" x14ac:dyDescent="0.35">
      <c r="T715" t="str">
        <f t="shared" si="11"/>
        <v/>
      </c>
    </row>
    <row r="716" spans="20:20" x14ac:dyDescent="0.35">
      <c r="T716" t="str">
        <f t="shared" si="11"/>
        <v/>
      </c>
    </row>
    <row r="717" spans="20:20" x14ac:dyDescent="0.35">
      <c r="T717" t="str">
        <f t="shared" si="11"/>
        <v/>
      </c>
    </row>
    <row r="718" spans="20:20" x14ac:dyDescent="0.35">
      <c r="T718" t="str">
        <f t="shared" si="11"/>
        <v/>
      </c>
    </row>
    <row r="719" spans="20:20" x14ac:dyDescent="0.35">
      <c r="T719" t="str">
        <f t="shared" si="11"/>
        <v/>
      </c>
    </row>
    <row r="720" spans="20:20" x14ac:dyDescent="0.35">
      <c r="T720" t="str">
        <f t="shared" si="11"/>
        <v/>
      </c>
    </row>
    <row r="721" spans="20:20" x14ac:dyDescent="0.35">
      <c r="T721" t="str">
        <f t="shared" si="11"/>
        <v/>
      </c>
    </row>
    <row r="722" spans="20:20" x14ac:dyDescent="0.35">
      <c r="T722" t="str">
        <f t="shared" si="11"/>
        <v/>
      </c>
    </row>
    <row r="723" spans="20:20" x14ac:dyDescent="0.35">
      <c r="T723" t="str">
        <f t="shared" si="11"/>
        <v/>
      </c>
    </row>
    <row r="724" spans="20:20" x14ac:dyDescent="0.35">
      <c r="T724" t="str">
        <f t="shared" si="11"/>
        <v/>
      </c>
    </row>
    <row r="725" spans="20:20" x14ac:dyDescent="0.35">
      <c r="T725" t="str">
        <f t="shared" si="11"/>
        <v/>
      </c>
    </row>
    <row r="726" spans="20:20" x14ac:dyDescent="0.35">
      <c r="T726" t="str">
        <f t="shared" si="11"/>
        <v/>
      </c>
    </row>
    <row r="727" spans="20:20" x14ac:dyDescent="0.35">
      <c r="T727" t="str">
        <f t="shared" si="11"/>
        <v/>
      </c>
    </row>
    <row r="728" spans="20:20" x14ac:dyDescent="0.35">
      <c r="T728" t="str">
        <f t="shared" si="11"/>
        <v/>
      </c>
    </row>
    <row r="729" spans="20:20" x14ac:dyDescent="0.35">
      <c r="T729" t="str">
        <f t="shared" si="11"/>
        <v/>
      </c>
    </row>
    <row r="730" spans="20:20" x14ac:dyDescent="0.35">
      <c r="T730" t="str">
        <f t="shared" si="11"/>
        <v/>
      </c>
    </row>
    <row r="731" spans="20:20" x14ac:dyDescent="0.35">
      <c r="T731" t="str">
        <f t="shared" si="11"/>
        <v/>
      </c>
    </row>
    <row r="732" spans="20:20" x14ac:dyDescent="0.35">
      <c r="T732" t="str">
        <f t="shared" si="11"/>
        <v/>
      </c>
    </row>
    <row r="733" spans="20:20" x14ac:dyDescent="0.35">
      <c r="T733" t="str">
        <f t="shared" si="11"/>
        <v/>
      </c>
    </row>
    <row r="734" spans="20:20" x14ac:dyDescent="0.35">
      <c r="T734" t="str">
        <f t="shared" si="11"/>
        <v/>
      </c>
    </row>
    <row r="735" spans="20:20" x14ac:dyDescent="0.35">
      <c r="T735" t="str">
        <f t="shared" si="11"/>
        <v/>
      </c>
    </row>
    <row r="736" spans="20:20" x14ac:dyDescent="0.35">
      <c r="T736" t="str">
        <f t="shared" si="11"/>
        <v/>
      </c>
    </row>
    <row r="737" spans="20:20" x14ac:dyDescent="0.35">
      <c r="T737" t="str">
        <f t="shared" si="11"/>
        <v/>
      </c>
    </row>
    <row r="738" spans="20:20" x14ac:dyDescent="0.35">
      <c r="T738" t="str">
        <f t="shared" si="11"/>
        <v/>
      </c>
    </row>
    <row r="739" spans="20:20" x14ac:dyDescent="0.35">
      <c r="T739" t="str">
        <f t="shared" si="11"/>
        <v/>
      </c>
    </row>
    <row r="740" spans="20:20" x14ac:dyDescent="0.35">
      <c r="T740" t="str">
        <f t="shared" si="11"/>
        <v/>
      </c>
    </row>
    <row r="741" spans="20:20" x14ac:dyDescent="0.35">
      <c r="T741" t="str">
        <f t="shared" si="11"/>
        <v/>
      </c>
    </row>
    <row r="742" spans="20:20" x14ac:dyDescent="0.35">
      <c r="T742" t="str">
        <f t="shared" si="11"/>
        <v/>
      </c>
    </row>
    <row r="743" spans="20:20" x14ac:dyDescent="0.35">
      <c r="T743" t="str">
        <f t="shared" si="11"/>
        <v/>
      </c>
    </row>
    <row r="744" spans="20:20" x14ac:dyDescent="0.35">
      <c r="T744" t="str">
        <f t="shared" si="11"/>
        <v/>
      </c>
    </row>
    <row r="745" spans="20:20" x14ac:dyDescent="0.35">
      <c r="T745" t="str">
        <f t="shared" si="11"/>
        <v/>
      </c>
    </row>
    <row r="746" spans="20:20" x14ac:dyDescent="0.35">
      <c r="T746" t="str">
        <f t="shared" si="11"/>
        <v/>
      </c>
    </row>
    <row r="747" spans="20:20" x14ac:dyDescent="0.35">
      <c r="T747" t="str">
        <f t="shared" si="11"/>
        <v/>
      </c>
    </row>
    <row r="748" spans="20:20" x14ac:dyDescent="0.35">
      <c r="T748" t="str">
        <f t="shared" si="11"/>
        <v/>
      </c>
    </row>
    <row r="749" spans="20:20" x14ac:dyDescent="0.35">
      <c r="T749" t="str">
        <f t="shared" si="11"/>
        <v/>
      </c>
    </row>
    <row r="750" spans="20:20" x14ac:dyDescent="0.35">
      <c r="T750" t="str">
        <f t="shared" si="11"/>
        <v/>
      </c>
    </row>
    <row r="751" spans="20:20" x14ac:dyDescent="0.35">
      <c r="T751" t="str">
        <f t="shared" si="11"/>
        <v/>
      </c>
    </row>
    <row r="752" spans="20:20" x14ac:dyDescent="0.35">
      <c r="T752" t="str">
        <f t="shared" si="11"/>
        <v/>
      </c>
    </row>
    <row r="753" spans="20:20" x14ac:dyDescent="0.35">
      <c r="T753" t="str">
        <f t="shared" si="11"/>
        <v/>
      </c>
    </row>
    <row r="754" spans="20:20" x14ac:dyDescent="0.35">
      <c r="T754" t="str">
        <f t="shared" si="11"/>
        <v/>
      </c>
    </row>
    <row r="755" spans="20:20" x14ac:dyDescent="0.35">
      <c r="T755" t="str">
        <f t="shared" si="11"/>
        <v/>
      </c>
    </row>
    <row r="756" spans="20:20" x14ac:dyDescent="0.35">
      <c r="T756" t="str">
        <f t="shared" si="11"/>
        <v/>
      </c>
    </row>
    <row r="757" spans="20:20" x14ac:dyDescent="0.35">
      <c r="T757" t="str">
        <f t="shared" si="11"/>
        <v/>
      </c>
    </row>
    <row r="758" spans="20:20" x14ac:dyDescent="0.35">
      <c r="T758" t="str">
        <f t="shared" si="11"/>
        <v/>
      </c>
    </row>
    <row r="759" spans="20:20" x14ac:dyDescent="0.35">
      <c r="T759" t="str">
        <f t="shared" si="11"/>
        <v/>
      </c>
    </row>
    <row r="760" spans="20:20" x14ac:dyDescent="0.35">
      <c r="T760" t="str">
        <f t="shared" si="11"/>
        <v/>
      </c>
    </row>
    <row r="761" spans="20:20" x14ac:dyDescent="0.35">
      <c r="T761" t="str">
        <f t="shared" si="11"/>
        <v/>
      </c>
    </row>
    <row r="762" spans="20:20" x14ac:dyDescent="0.35">
      <c r="T762" t="str">
        <f t="shared" si="11"/>
        <v/>
      </c>
    </row>
    <row r="763" spans="20:20" x14ac:dyDescent="0.35">
      <c r="T763" t="str">
        <f t="shared" si="11"/>
        <v/>
      </c>
    </row>
    <row r="764" spans="20:20" x14ac:dyDescent="0.35">
      <c r="T764" t="str">
        <f t="shared" si="11"/>
        <v/>
      </c>
    </row>
    <row r="765" spans="20:20" x14ac:dyDescent="0.35">
      <c r="T765" t="str">
        <f t="shared" si="11"/>
        <v/>
      </c>
    </row>
    <row r="766" spans="20:20" x14ac:dyDescent="0.35">
      <c r="T766" t="str">
        <f t="shared" si="11"/>
        <v/>
      </c>
    </row>
    <row r="767" spans="20:20" x14ac:dyDescent="0.35">
      <c r="T767" t="str">
        <f t="shared" si="11"/>
        <v/>
      </c>
    </row>
    <row r="768" spans="20:20" x14ac:dyDescent="0.35">
      <c r="T768" t="str">
        <f t="shared" si="11"/>
        <v/>
      </c>
    </row>
    <row r="769" spans="20:20" x14ac:dyDescent="0.35">
      <c r="T769" t="str">
        <f t="shared" si="11"/>
        <v/>
      </c>
    </row>
    <row r="770" spans="20:20" x14ac:dyDescent="0.35">
      <c r="T770" t="str">
        <f t="shared" ref="T770:T833" si="12">IF(P770="","",YEAR(P770))</f>
        <v/>
      </c>
    </row>
    <row r="771" spans="20:20" x14ac:dyDescent="0.35">
      <c r="T771" t="str">
        <f t="shared" si="12"/>
        <v/>
      </c>
    </row>
    <row r="772" spans="20:20" x14ac:dyDescent="0.35">
      <c r="T772" t="str">
        <f t="shared" si="12"/>
        <v/>
      </c>
    </row>
    <row r="773" spans="20:20" x14ac:dyDescent="0.35">
      <c r="T773" t="str">
        <f t="shared" si="12"/>
        <v/>
      </c>
    </row>
    <row r="774" spans="20:20" x14ac:dyDescent="0.35">
      <c r="T774" t="str">
        <f t="shared" si="12"/>
        <v/>
      </c>
    </row>
    <row r="775" spans="20:20" x14ac:dyDescent="0.35">
      <c r="T775" t="str">
        <f t="shared" si="12"/>
        <v/>
      </c>
    </row>
    <row r="776" spans="20:20" x14ac:dyDescent="0.35">
      <c r="T776" t="str">
        <f t="shared" si="12"/>
        <v/>
      </c>
    </row>
    <row r="777" spans="20:20" x14ac:dyDescent="0.35">
      <c r="T777" t="str">
        <f t="shared" si="12"/>
        <v/>
      </c>
    </row>
    <row r="778" spans="20:20" x14ac:dyDescent="0.35">
      <c r="T778" t="str">
        <f t="shared" si="12"/>
        <v/>
      </c>
    </row>
    <row r="779" spans="20:20" x14ac:dyDescent="0.35">
      <c r="T779" t="str">
        <f t="shared" si="12"/>
        <v/>
      </c>
    </row>
    <row r="780" spans="20:20" x14ac:dyDescent="0.35">
      <c r="T780" t="str">
        <f t="shared" si="12"/>
        <v/>
      </c>
    </row>
    <row r="781" spans="20:20" x14ac:dyDescent="0.35">
      <c r="T781" t="str">
        <f t="shared" si="12"/>
        <v/>
      </c>
    </row>
    <row r="782" spans="20:20" x14ac:dyDescent="0.35">
      <c r="T782" t="str">
        <f t="shared" si="12"/>
        <v/>
      </c>
    </row>
    <row r="783" spans="20:20" x14ac:dyDescent="0.35">
      <c r="T783" t="str">
        <f t="shared" si="12"/>
        <v/>
      </c>
    </row>
    <row r="784" spans="20:20" x14ac:dyDescent="0.35">
      <c r="T784" t="str">
        <f t="shared" si="12"/>
        <v/>
      </c>
    </row>
    <row r="785" spans="20:20" x14ac:dyDescent="0.35">
      <c r="T785" t="str">
        <f t="shared" si="12"/>
        <v/>
      </c>
    </row>
    <row r="786" spans="20:20" x14ac:dyDescent="0.35">
      <c r="T786" t="str">
        <f t="shared" si="12"/>
        <v/>
      </c>
    </row>
    <row r="787" spans="20:20" x14ac:dyDescent="0.35">
      <c r="T787" t="str">
        <f t="shared" si="12"/>
        <v/>
      </c>
    </row>
    <row r="788" spans="20:20" x14ac:dyDescent="0.35">
      <c r="T788" t="str">
        <f t="shared" si="12"/>
        <v/>
      </c>
    </row>
    <row r="789" spans="20:20" x14ac:dyDescent="0.35">
      <c r="T789" t="str">
        <f t="shared" si="12"/>
        <v/>
      </c>
    </row>
    <row r="790" spans="20:20" x14ac:dyDescent="0.35">
      <c r="T790" t="str">
        <f t="shared" si="12"/>
        <v/>
      </c>
    </row>
    <row r="791" spans="20:20" x14ac:dyDescent="0.35">
      <c r="T791" t="str">
        <f t="shared" si="12"/>
        <v/>
      </c>
    </row>
    <row r="792" spans="20:20" x14ac:dyDescent="0.35">
      <c r="T792" t="str">
        <f t="shared" si="12"/>
        <v/>
      </c>
    </row>
    <row r="793" spans="20:20" x14ac:dyDescent="0.35">
      <c r="T793" t="str">
        <f t="shared" si="12"/>
        <v/>
      </c>
    </row>
    <row r="794" spans="20:20" x14ac:dyDescent="0.35">
      <c r="T794" t="str">
        <f t="shared" si="12"/>
        <v/>
      </c>
    </row>
    <row r="795" spans="20:20" x14ac:dyDescent="0.35">
      <c r="T795" t="str">
        <f t="shared" si="12"/>
        <v/>
      </c>
    </row>
    <row r="796" spans="20:20" x14ac:dyDescent="0.35">
      <c r="T796" t="str">
        <f t="shared" si="12"/>
        <v/>
      </c>
    </row>
    <row r="797" spans="20:20" x14ac:dyDescent="0.35">
      <c r="T797" t="str">
        <f t="shared" si="12"/>
        <v/>
      </c>
    </row>
    <row r="798" spans="20:20" x14ac:dyDescent="0.35">
      <c r="T798" t="str">
        <f t="shared" si="12"/>
        <v/>
      </c>
    </row>
    <row r="799" spans="20:20" x14ac:dyDescent="0.35">
      <c r="T799" t="str">
        <f t="shared" si="12"/>
        <v/>
      </c>
    </row>
    <row r="800" spans="20:20" x14ac:dyDescent="0.35">
      <c r="T800" t="str">
        <f t="shared" si="12"/>
        <v/>
      </c>
    </row>
    <row r="801" spans="20:20" x14ac:dyDescent="0.35">
      <c r="T801" t="str">
        <f t="shared" si="12"/>
        <v/>
      </c>
    </row>
    <row r="802" spans="20:20" x14ac:dyDescent="0.35">
      <c r="T802" t="str">
        <f t="shared" si="12"/>
        <v/>
      </c>
    </row>
    <row r="803" spans="20:20" x14ac:dyDescent="0.35">
      <c r="T803" t="str">
        <f t="shared" si="12"/>
        <v/>
      </c>
    </row>
    <row r="804" spans="20:20" x14ac:dyDescent="0.35">
      <c r="T804" t="str">
        <f t="shared" si="12"/>
        <v/>
      </c>
    </row>
    <row r="805" spans="20:20" x14ac:dyDescent="0.35">
      <c r="T805" t="str">
        <f t="shared" si="12"/>
        <v/>
      </c>
    </row>
    <row r="806" spans="20:20" x14ac:dyDescent="0.35">
      <c r="T806" t="str">
        <f t="shared" si="12"/>
        <v/>
      </c>
    </row>
    <row r="807" spans="20:20" x14ac:dyDescent="0.35">
      <c r="T807" t="str">
        <f t="shared" si="12"/>
        <v/>
      </c>
    </row>
    <row r="808" spans="20:20" x14ac:dyDescent="0.35">
      <c r="T808" t="str">
        <f t="shared" si="12"/>
        <v/>
      </c>
    </row>
    <row r="809" spans="20:20" x14ac:dyDescent="0.35">
      <c r="T809" t="str">
        <f t="shared" si="12"/>
        <v/>
      </c>
    </row>
    <row r="810" spans="20:20" x14ac:dyDescent="0.35">
      <c r="T810" t="str">
        <f t="shared" si="12"/>
        <v/>
      </c>
    </row>
    <row r="811" spans="20:20" x14ac:dyDescent="0.35">
      <c r="T811" t="str">
        <f t="shared" si="12"/>
        <v/>
      </c>
    </row>
    <row r="812" spans="20:20" x14ac:dyDescent="0.35">
      <c r="T812" t="str">
        <f t="shared" si="12"/>
        <v/>
      </c>
    </row>
    <row r="813" spans="20:20" x14ac:dyDescent="0.35">
      <c r="T813" t="str">
        <f t="shared" si="12"/>
        <v/>
      </c>
    </row>
    <row r="814" spans="20:20" x14ac:dyDescent="0.35">
      <c r="T814" t="str">
        <f t="shared" si="12"/>
        <v/>
      </c>
    </row>
    <row r="815" spans="20:20" x14ac:dyDescent="0.35">
      <c r="T815" t="str">
        <f t="shared" si="12"/>
        <v/>
      </c>
    </row>
    <row r="816" spans="20:20" x14ac:dyDescent="0.35">
      <c r="T816" t="str">
        <f t="shared" si="12"/>
        <v/>
      </c>
    </row>
    <row r="817" spans="20:20" x14ac:dyDescent="0.35">
      <c r="T817" t="str">
        <f t="shared" si="12"/>
        <v/>
      </c>
    </row>
    <row r="818" spans="20:20" x14ac:dyDescent="0.35">
      <c r="T818" t="str">
        <f t="shared" si="12"/>
        <v/>
      </c>
    </row>
    <row r="819" spans="20:20" x14ac:dyDescent="0.35">
      <c r="T819" t="str">
        <f t="shared" si="12"/>
        <v/>
      </c>
    </row>
    <row r="820" spans="20:20" x14ac:dyDescent="0.35">
      <c r="T820" t="str">
        <f t="shared" si="12"/>
        <v/>
      </c>
    </row>
    <row r="821" spans="20:20" x14ac:dyDescent="0.35">
      <c r="T821" t="str">
        <f t="shared" si="12"/>
        <v/>
      </c>
    </row>
    <row r="822" spans="20:20" x14ac:dyDescent="0.35">
      <c r="T822" t="str">
        <f t="shared" si="12"/>
        <v/>
      </c>
    </row>
    <row r="823" spans="20:20" x14ac:dyDescent="0.35">
      <c r="T823" t="str">
        <f t="shared" si="12"/>
        <v/>
      </c>
    </row>
    <row r="824" spans="20:20" x14ac:dyDescent="0.35">
      <c r="T824" t="str">
        <f t="shared" si="12"/>
        <v/>
      </c>
    </row>
    <row r="825" spans="20:20" x14ac:dyDescent="0.35">
      <c r="T825" t="str">
        <f t="shared" si="12"/>
        <v/>
      </c>
    </row>
    <row r="826" spans="20:20" x14ac:dyDescent="0.35">
      <c r="T826" t="str">
        <f t="shared" si="12"/>
        <v/>
      </c>
    </row>
    <row r="827" spans="20:20" x14ac:dyDescent="0.35">
      <c r="T827" t="str">
        <f t="shared" si="12"/>
        <v/>
      </c>
    </row>
    <row r="828" spans="20:20" x14ac:dyDescent="0.35">
      <c r="T828" t="str">
        <f t="shared" si="12"/>
        <v/>
      </c>
    </row>
    <row r="829" spans="20:20" x14ac:dyDescent="0.35">
      <c r="T829" t="str">
        <f t="shared" si="12"/>
        <v/>
      </c>
    </row>
    <row r="830" spans="20:20" x14ac:dyDescent="0.35">
      <c r="T830" t="str">
        <f t="shared" si="12"/>
        <v/>
      </c>
    </row>
    <row r="831" spans="20:20" x14ac:dyDescent="0.35">
      <c r="T831" t="str">
        <f t="shared" si="12"/>
        <v/>
      </c>
    </row>
    <row r="832" spans="20:20" x14ac:dyDescent="0.35">
      <c r="T832" t="str">
        <f t="shared" si="12"/>
        <v/>
      </c>
    </row>
    <row r="833" spans="20:20" x14ac:dyDescent="0.35">
      <c r="T833" t="str">
        <f t="shared" si="12"/>
        <v/>
      </c>
    </row>
    <row r="834" spans="20:20" x14ac:dyDescent="0.35">
      <c r="T834" t="str">
        <f t="shared" ref="T834:T897" si="13">IF(P834="","",YEAR(P834))</f>
        <v/>
      </c>
    </row>
    <row r="835" spans="20:20" x14ac:dyDescent="0.35">
      <c r="T835" t="str">
        <f t="shared" si="13"/>
        <v/>
      </c>
    </row>
    <row r="836" spans="20:20" x14ac:dyDescent="0.35">
      <c r="T836" t="str">
        <f t="shared" si="13"/>
        <v/>
      </c>
    </row>
    <row r="837" spans="20:20" x14ac:dyDescent="0.35">
      <c r="T837" t="str">
        <f t="shared" si="13"/>
        <v/>
      </c>
    </row>
    <row r="838" spans="20:20" x14ac:dyDescent="0.35">
      <c r="T838" t="str">
        <f t="shared" si="13"/>
        <v/>
      </c>
    </row>
    <row r="839" spans="20:20" x14ac:dyDescent="0.35">
      <c r="T839" t="str">
        <f t="shared" si="13"/>
        <v/>
      </c>
    </row>
    <row r="840" spans="20:20" x14ac:dyDescent="0.35">
      <c r="T840" t="str">
        <f t="shared" si="13"/>
        <v/>
      </c>
    </row>
    <row r="841" spans="20:20" x14ac:dyDescent="0.35">
      <c r="T841" t="str">
        <f t="shared" si="13"/>
        <v/>
      </c>
    </row>
    <row r="842" spans="20:20" x14ac:dyDescent="0.35">
      <c r="T842" t="str">
        <f t="shared" si="13"/>
        <v/>
      </c>
    </row>
    <row r="843" spans="20:20" x14ac:dyDescent="0.35">
      <c r="T843" t="str">
        <f t="shared" si="13"/>
        <v/>
      </c>
    </row>
    <row r="844" spans="20:20" x14ac:dyDescent="0.35">
      <c r="T844" t="str">
        <f t="shared" si="13"/>
        <v/>
      </c>
    </row>
    <row r="845" spans="20:20" x14ac:dyDescent="0.35">
      <c r="T845" t="str">
        <f t="shared" si="13"/>
        <v/>
      </c>
    </row>
    <row r="846" spans="20:20" x14ac:dyDescent="0.35">
      <c r="T846" t="str">
        <f t="shared" si="13"/>
        <v/>
      </c>
    </row>
    <row r="847" spans="20:20" x14ac:dyDescent="0.35">
      <c r="T847" t="str">
        <f t="shared" si="13"/>
        <v/>
      </c>
    </row>
    <row r="848" spans="20:20" x14ac:dyDescent="0.35">
      <c r="T848" t="str">
        <f t="shared" si="13"/>
        <v/>
      </c>
    </row>
    <row r="849" spans="20:20" x14ac:dyDescent="0.35">
      <c r="T849" t="str">
        <f t="shared" si="13"/>
        <v/>
      </c>
    </row>
    <row r="850" spans="20:20" x14ac:dyDescent="0.35">
      <c r="T850" t="str">
        <f t="shared" si="13"/>
        <v/>
      </c>
    </row>
    <row r="851" spans="20:20" x14ac:dyDescent="0.35">
      <c r="T851" t="str">
        <f t="shared" si="13"/>
        <v/>
      </c>
    </row>
    <row r="852" spans="20:20" x14ac:dyDescent="0.35">
      <c r="T852" t="str">
        <f t="shared" si="13"/>
        <v/>
      </c>
    </row>
    <row r="853" spans="20:20" x14ac:dyDescent="0.35">
      <c r="T853" t="str">
        <f t="shared" si="13"/>
        <v/>
      </c>
    </row>
    <row r="854" spans="20:20" x14ac:dyDescent="0.35">
      <c r="T854" t="str">
        <f t="shared" si="13"/>
        <v/>
      </c>
    </row>
    <row r="855" spans="20:20" x14ac:dyDescent="0.35">
      <c r="T855" t="str">
        <f t="shared" si="13"/>
        <v/>
      </c>
    </row>
    <row r="856" spans="20:20" x14ac:dyDescent="0.35">
      <c r="T856" t="str">
        <f t="shared" si="13"/>
        <v/>
      </c>
    </row>
    <row r="857" spans="20:20" x14ac:dyDescent="0.35">
      <c r="T857" t="str">
        <f t="shared" si="13"/>
        <v/>
      </c>
    </row>
    <row r="858" spans="20:20" x14ac:dyDescent="0.35">
      <c r="T858" t="str">
        <f t="shared" si="13"/>
        <v/>
      </c>
    </row>
    <row r="859" spans="20:20" x14ac:dyDescent="0.35">
      <c r="T859" t="str">
        <f t="shared" si="13"/>
        <v/>
      </c>
    </row>
    <row r="860" spans="20:20" x14ac:dyDescent="0.35">
      <c r="T860" t="str">
        <f t="shared" si="13"/>
        <v/>
      </c>
    </row>
    <row r="861" spans="20:20" x14ac:dyDescent="0.35">
      <c r="T861" t="str">
        <f t="shared" si="13"/>
        <v/>
      </c>
    </row>
    <row r="862" spans="20:20" x14ac:dyDescent="0.35">
      <c r="T862" t="str">
        <f t="shared" si="13"/>
        <v/>
      </c>
    </row>
    <row r="863" spans="20:20" x14ac:dyDescent="0.35">
      <c r="T863" t="str">
        <f t="shared" si="13"/>
        <v/>
      </c>
    </row>
    <row r="864" spans="20:20" x14ac:dyDescent="0.35">
      <c r="T864" t="str">
        <f t="shared" si="13"/>
        <v/>
      </c>
    </row>
    <row r="865" spans="20:20" x14ac:dyDescent="0.35">
      <c r="T865" t="str">
        <f t="shared" si="13"/>
        <v/>
      </c>
    </row>
    <row r="866" spans="20:20" x14ac:dyDescent="0.35">
      <c r="T866" t="str">
        <f t="shared" si="13"/>
        <v/>
      </c>
    </row>
    <row r="867" spans="20:20" x14ac:dyDescent="0.35">
      <c r="T867" t="str">
        <f t="shared" si="13"/>
        <v/>
      </c>
    </row>
    <row r="868" spans="20:20" x14ac:dyDescent="0.35">
      <c r="T868" t="str">
        <f t="shared" si="13"/>
        <v/>
      </c>
    </row>
    <row r="869" spans="20:20" x14ac:dyDescent="0.35">
      <c r="T869" t="str">
        <f t="shared" si="13"/>
        <v/>
      </c>
    </row>
    <row r="870" spans="20:20" x14ac:dyDescent="0.35">
      <c r="T870" t="str">
        <f t="shared" si="13"/>
        <v/>
      </c>
    </row>
    <row r="871" spans="20:20" x14ac:dyDescent="0.35">
      <c r="T871" t="str">
        <f t="shared" si="13"/>
        <v/>
      </c>
    </row>
    <row r="872" spans="20:20" x14ac:dyDescent="0.35">
      <c r="T872" t="str">
        <f t="shared" si="13"/>
        <v/>
      </c>
    </row>
    <row r="873" spans="20:20" x14ac:dyDescent="0.35">
      <c r="T873" t="str">
        <f t="shared" si="13"/>
        <v/>
      </c>
    </row>
    <row r="874" spans="20:20" x14ac:dyDescent="0.35">
      <c r="T874" t="str">
        <f t="shared" si="13"/>
        <v/>
      </c>
    </row>
    <row r="875" spans="20:20" x14ac:dyDescent="0.35">
      <c r="T875" t="str">
        <f t="shared" si="13"/>
        <v/>
      </c>
    </row>
    <row r="876" spans="20:20" x14ac:dyDescent="0.35">
      <c r="T876" t="str">
        <f t="shared" si="13"/>
        <v/>
      </c>
    </row>
    <row r="877" spans="20:20" x14ac:dyDescent="0.35">
      <c r="T877" t="str">
        <f t="shared" si="13"/>
        <v/>
      </c>
    </row>
    <row r="878" spans="20:20" x14ac:dyDescent="0.35">
      <c r="T878" t="str">
        <f t="shared" si="13"/>
        <v/>
      </c>
    </row>
    <row r="879" spans="20:20" x14ac:dyDescent="0.35">
      <c r="T879" t="str">
        <f t="shared" si="13"/>
        <v/>
      </c>
    </row>
    <row r="880" spans="20:20" x14ac:dyDescent="0.35">
      <c r="T880" t="str">
        <f t="shared" si="13"/>
        <v/>
      </c>
    </row>
    <row r="881" spans="20:20" x14ac:dyDescent="0.35">
      <c r="T881" t="str">
        <f t="shared" si="13"/>
        <v/>
      </c>
    </row>
    <row r="882" spans="20:20" x14ac:dyDescent="0.35">
      <c r="T882" t="str">
        <f t="shared" si="13"/>
        <v/>
      </c>
    </row>
    <row r="883" spans="20:20" x14ac:dyDescent="0.35">
      <c r="T883" t="str">
        <f t="shared" si="13"/>
        <v/>
      </c>
    </row>
    <row r="884" spans="20:20" x14ac:dyDescent="0.35">
      <c r="T884" t="str">
        <f t="shared" si="13"/>
        <v/>
      </c>
    </row>
    <row r="885" spans="20:20" x14ac:dyDescent="0.35">
      <c r="T885" t="str">
        <f t="shared" si="13"/>
        <v/>
      </c>
    </row>
    <row r="886" spans="20:20" x14ac:dyDescent="0.35">
      <c r="T886" t="str">
        <f t="shared" si="13"/>
        <v/>
      </c>
    </row>
    <row r="887" spans="20:20" x14ac:dyDescent="0.35">
      <c r="T887" t="str">
        <f t="shared" si="13"/>
        <v/>
      </c>
    </row>
    <row r="888" spans="20:20" x14ac:dyDescent="0.35">
      <c r="T888" t="str">
        <f t="shared" si="13"/>
        <v/>
      </c>
    </row>
    <row r="889" spans="20:20" x14ac:dyDescent="0.35">
      <c r="T889" t="str">
        <f t="shared" si="13"/>
        <v/>
      </c>
    </row>
    <row r="890" spans="20:20" x14ac:dyDescent="0.35">
      <c r="T890" t="str">
        <f t="shared" si="13"/>
        <v/>
      </c>
    </row>
    <row r="891" spans="20:20" x14ac:dyDescent="0.35">
      <c r="T891" t="str">
        <f t="shared" si="13"/>
        <v/>
      </c>
    </row>
    <row r="892" spans="20:20" x14ac:dyDescent="0.35">
      <c r="T892" t="str">
        <f t="shared" si="13"/>
        <v/>
      </c>
    </row>
    <row r="893" spans="20:20" x14ac:dyDescent="0.35">
      <c r="T893" t="str">
        <f t="shared" si="13"/>
        <v/>
      </c>
    </row>
    <row r="894" spans="20:20" x14ac:dyDescent="0.35">
      <c r="T894" t="str">
        <f t="shared" si="13"/>
        <v/>
      </c>
    </row>
    <row r="895" spans="20:20" x14ac:dyDescent="0.35">
      <c r="T895" t="str">
        <f t="shared" si="13"/>
        <v/>
      </c>
    </row>
    <row r="896" spans="20:20" x14ac:dyDescent="0.35">
      <c r="T896" t="str">
        <f t="shared" si="13"/>
        <v/>
      </c>
    </row>
    <row r="897" spans="20:20" x14ac:dyDescent="0.35">
      <c r="T897" t="str">
        <f t="shared" si="13"/>
        <v/>
      </c>
    </row>
    <row r="898" spans="20:20" x14ac:dyDescent="0.35">
      <c r="T898" t="str">
        <f t="shared" ref="T898:T961" si="14">IF(P898="","",YEAR(P898))</f>
        <v/>
      </c>
    </row>
    <row r="899" spans="20:20" x14ac:dyDescent="0.35">
      <c r="T899" t="str">
        <f t="shared" si="14"/>
        <v/>
      </c>
    </row>
    <row r="900" spans="20:20" x14ac:dyDescent="0.35">
      <c r="T900" t="str">
        <f t="shared" si="14"/>
        <v/>
      </c>
    </row>
    <row r="901" spans="20:20" x14ac:dyDescent="0.35">
      <c r="T901" t="str">
        <f t="shared" si="14"/>
        <v/>
      </c>
    </row>
    <row r="902" spans="20:20" x14ac:dyDescent="0.35">
      <c r="T902" t="str">
        <f t="shared" si="14"/>
        <v/>
      </c>
    </row>
    <row r="903" spans="20:20" x14ac:dyDescent="0.35">
      <c r="T903" t="str">
        <f t="shared" si="14"/>
        <v/>
      </c>
    </row>
    <row r="904" spans="20:20" x14ac:dyDescent="0.35">
      <c r="T904" t="str">
        <f t="shared" si="14"/>
        <v/>
      </c>
    </row>
    <row r="905" spans="20:20" x14ac:dyDescent="0.35">
      <c r="T905" t="str">
        <f t="shared" si="14"/>
        <v/>
      </c>
    </row>
    <row r="906" spans="20:20" x14ac:dyDescent="0.35">
      <c r="T906" t="str">
        <f t="shared" si="14"/>
        <v/>
      </c>
    </row>
    <row r="907" spans="20:20" x14ac:dyDescent="0.35">
      <c r="T907" t="str">
        <f t="shared" si="14"/>
        <v/>
      </c>
    </row>
    <row r="908" spans="20:20" x14ac:dyDescent="0.35">
      <c r="T908" t="str">
        <f t="shared" si="14"/>
        <v/>
      </c>
    </row>
    <row r="909" spans="20:20" x14ac:dyDescent="0.35">
      <c r="T909" t="str">
        <f t="shared" si="14"/>
        <v/>
      </c>
    </row>
    <row r="910" spans="20:20" x14ac:dyDescent="0.35">
      <c r="T910" t="str">
        <f t="shared" si="14"/>
        <v/>
      </c>
    </row>
    <row r="911" spans="20:20" x14ac:dyDescent="0.35">
      <c r="T911" t="str">
        <f t="shared" si="14"/>
        <v/>
      </c>
    </row>
    <row r="912" spans="20:20" x14ac:dyDescent="0.35">
      <c r="T912" t="str">
        <f t="shared" si="14"/>
        <v/>
      </c>
    </row>
    <row r="913" spans="20:20" x14ac:dyDescent="0.35">
      <c r="T913" t="str">
        <f t="shared" si="14"/>
        <v/>
      </c>
    </row>
    <row r="914" spans="20:20" x14ac:dyDescent="0.35">
      <c r="T914" t="str">
        <f t="shared" si="14"/>
        <v/>
      </c>
    </row>
    <row r="915" spans="20:20" x14ac:dyDescent="0.35">
      <c r="T915" t="str">
        <f t="shared" si="14"/>
        <v/>
      </c>
    </row>
    <row r="916" spans="20:20" x14ac:dyDescent="0.35">
      <c r="T916" t="str">
        <f t="shared" si="14"/>
        <v/>
      </c>
    </row>
    <row r="917" spans="20:20" x14ac:dyDescent="0.35">
      <c r="T917" t="str">
        <f t="shared" si="14"/>
        <v/>
      </c>
    </row>
    <row r="918" spans="20:20" x14ac:dyDescent="0.35">
      <c r="T918" t="str">
        <f t="shared" si="14"/>
        <v/>
      </c>
    </row>
    <row r="919" spans="20:20" x14ac:dyDescent="0.35">
      <c r="T919" t="str">
        <f t="shared" si="14"/>
        <v/>
      </c>
    </row>
    <row r="920" spans="20:20" x14ac:dyDescent="0.35">
      <c r="T920" t="str">
        <f t="shared" si="14"/>
        <v/>
      </c>
    </row>
    <row r="921" spans="20:20" x14ac:dyDescent="0.35">
      <c r="T921" t="str">
        <f t="shared" si="14"/>
        <v/>
      </c>
    </row>
    <row r="922" spans="20:20" x14ac:dyDescent="0.35">
      <c r="T922" t="str">
        <f t="shared" si="14"/>
        <v/>
      </c>
    </row>
    <row r="923" spans="20:20" x14ac:dyDescent="0.35">
      <c r="T923" t="str">
        <f t="shared" si="14"/>
        <v/>
      </c>
    </row>
    <row r="924" spans="20:20" x14ac:dyDescent="0.35">
      <c r="T924" t="str">
        <f t="shared" si="14"/>
        <v/>
      </c>
    </row>
    <row r="925" spans="20:20" x14ac:dyDescent="0.35">
      <c r="T925" t="str">
        <f t="shared" si="14"/>
        <v/>
      </c>
    </row>
    <row r="926" spans="20:20" x14ac:dyDescent="0.35">
      <c r="T926" t="str">
        <f t="shared" si="14"/>
        <v/>
      </c>
    </row>
    <row r="927" spans="20:20" x14ac:dyDescent="0.35">
      <c r="T927" t="str">
        <f t="shared" si="14"/>
        <v/>
      </c>
    </row>
    <row r="928" spans="20:20" x14ac:dyDescent="0.35">
      <c r="T928" t="str">
        <f t="shared" si="14"/>
        <v/>
      </c>
    </row>
    <row r="929" spans="20:20" x14ac:dyDescent="0.35">
      <c r="T929" t="str">
        <f t="shared" si="14"/>
        <v/>
      </c>
    </row>
    <row r="930" spans="20:20" x14ac:dyDescent="0.35">
      <c r="T930" t="str">
        <f t="shared" si="14"/>
        <v/>
      </c>
    </row>
    <row r="931" spans="20:20" x14ac:dyDescent="0.35">
      <c r="T931" t="str">
        <f t="shared" si="14"/>
        <v/>
      </c>
    </row>
    <row r="932" spans="20:20" x14ac:dyDescent="0.35">
      <c r="T932" t="str">
        <f t="shared" si="14"/>
        <v/>
      </c>
    </row>
    <row r="933" spans="20:20" x14ac:dyDescent="0.35">
      <c r="T933" t="str">
        <f t="shared" si="14"/>
        <v/>
      </c>
    </row>
    <row r="934" spans="20:20" x14ac:dyDescent="0.35">
      <c r="T934" t="str">
        <f t="shared" si="14"/>
        <v/>
      </c>
    </row>
    <row r="935" spans="20:20" x14ac:dyDescent="0.35">
      <c r="T935" t="str">
        <f t="shared" si="14"/>
        <v/>
      </c>
    </row>
    <row r="936" spans="20:20" x14ac:dyDescent="0.35">
      <c r="T936" t="str">
        <f t="shared" si="14"/>
        <v/>
      </c>
    </row>
    <row r="937" spans="20:20" x14ac:dyDescent="0.35">
      <c r="T937" t="str">
        <f t="shared" si="14"/>
        <v/>
      </c>
    </row>
    <row r="938" spans="20:20" x14ac:dyDescent="0.35">
      <c r="T938" t="str">
        <f t="shared" si="14"/>
        <v/>
      </c>
    </row>
    <row r="939" spans="20:20" x14ac:dyDescent="0.35">
      <c r="T939" t="str">
        <f t="shared" si="14"/>
        <v/>
      </c>
    </row>
    <row r="940" spans="20:20" x14ac:dyDescent="0.35">
      <c r="T940" t="str">
        <f t="shared" si="14"/>
        <v/>
      </c>
    </row>
    <row r="941" spans="20:20" x14ac:dyDescent="0.35">
      <c r="T941" t="str">
        <f t="shared" si="14"/>
        <v/>
      </c>
    </row>
    <row r="942" spans="20:20" x14ac:dyDescent="0.35">
      <c r="T942" t="str">
        <f t="shared" si="14"/>
        <v/>
      </c>
    </row>
    <row r="943" spans="20:20" x14ac:dyDescent="0.35">
      <c r="T943" t="str">
        <f t="shared" si="14"/>
        <v/>
      </c>
    </row>
    <row r="944" spans="20:20" x14ac:dyDescent="0.35">
      <c r="T944" t="str">
        <f t="shared" si="14"/>
        <v/>
      </c>
    </row>
    <row r="945" spans="20:20" x14ac:dyDescent="0.35">
      <c r="T945" t="str">
        <f t="shared" si="14"/>
        <v/>
      </c>
    </row>
    <row r="946" spans="20:20" x14ac:dyDescent="0.35">
      <c r="T946" t="str">
        <f t="shared" si="14"/>
        <v/>
      </c>
    </row>
    <row r="947" spans="20:20" x14ac:dyDescent="0.35">
      <c r="T947" t="str">
        <f t="shared" si="14"/>
        <v/>
      </c>
    </row>
    <row r="948" spans="20:20" x14ac:dyDescent="0.35">
      <c r="T948" t="str">
        <f t="shared" si="14"/>
        <v/>
      </c>
    </row>
    <row r="949" spans="20:20" x14ac:dyDescent="0.35">
      <c r="T949" t="str">
        <f t="shared" si="14"/>
        <v/>
      </c>
    </row>
    <row r="950" spans="20:20" x14ac:dyDescent="0.35">
      <c r="T950" t="str">
        <f t="shared" si="14"/>
        <v/>
      </c>
    </row>
    <row r="951" spans="20:20" x14ac:dyDescent="0.35">
      <c r="T951" t="str">
        <f t="shared" si="14"/>
        <v/>
      </c>
    </row>
    <row r="952" spans="20:20" x14ac:dyDescent="0.35">
      <c r="T952" t="str">
        <f t="shared" si="14"/>
        <v/>
      </c>
    </row>
    <row r="953" spans="20:20" x14ac:dyDescent="0.35">
      <c r="T953" t="str">
        <f t="shared" si="14"/>
        <v/>
      </c>
    </row>
    <row r="954" spans="20:20" x14ac:dyDescent="0.35">
      <c r="T954" t="str">
        <f t="shared" si="14"/>
        <v/>
      </c>
    </row>
    <row r="955" spans="20:20" x14ac:dyDescent="0.35">
      <c r="T955" t="str">
        <f t="shared" si="14"/>
        <v/>
      </c>
    </row>
    <row r="956" spans="20:20" x14ac:dyDescent="0.35">
      <c r="T956" t="str">
        <f t="shared" si="14"/>
        <v/>
      </c>
    </row>
    <row r="957" spans="20:20" x14ac:dyDescent="0.35">
      <c r="T957" t="str">
        <f t="shared" si="14"/>
        <v/>
      </c>
    </row>
    <row r="958" spans="20:20" x14ac:dyDescent="0.35">
      <c r="T958" t="str">
        <f t="shared" si="14"/>
        <v/>
      </c>
    </row>
    <row r="959" spans="20:20" x14ac:dyDescent="0.35">
      <c r="T959" t="str">
        <f t="shared" si="14"/>
        <v/>
      </c>
    </row>
    <row r="960" spans="20:20" x14ac:dyDescent="0.35">
      <c r="T960" t="str">
        <f t="shared" si="14"/>
        <v/>
      </c>
    </row>
    <row r="961" spans="20:20" x14ac:dyDescent="0.35">
      <c r="T961" t="str">
        <f t="shared" si="14"/>
        <v/>
      </c>
    </row>
    <row r="962" spans="20:20" x14ac:dyDescent="0.35">
      <c r="T962" t="str">
        <f t="shared" ref="T962:T1000" si="15">IF(P962="","",YEAR(P962))</f>
        <v/>
      </c>
    </row>
    <row r="963" spans="20:20" x14ac:dyDescent="0.35">
      <c r="T963" t="str">
        <f t="shared" si="15"/>
        <v/>
      </c>
    </row>
    <row r="964" spans="20:20" x14ac:dyDescent="0.35">
      <c r="T964" t="str">
        <f t="shared" si="15"/>
        <v/>
      </c>
    </row>
    <row r="965" spans="20:20" x14ac:dyDescent="0.35">
      <c r="T965" t="str">
        <f t="shared" si="15"/>
        <v/>
      </c>
    </row>
    <row r="966" spans="20:20" x14ac:dyDescent="0.35">
      <c r="T966" t="str">
        <f t="shared" si="15"/>
        <v/>
      </c>
    </row>
    <row r="967" spans="20:20" x14ac:dyDescent="0.35">
      <c r="T967" t="str">
        <f t="shared" si="15"/>
        <v/>
      </c>
    </row>
    <row r="968" spans="20:20" x14ac:dyDescent="0.35">
      <c r="T968" t="str">
        <f t="shared" si="15"/>
        <v/>
      </c>
    </row>
    <row r="969" spans="20:20" x14ac:dyDescent="0.35">
      <c r="T969" t="str">
        <f t="shared" si="15"/>
        <v/>
      </c>
    </row>
    <row r="970" spans="20:20" x14ac:dyDescent="0.35">
      <c r="T970" t="str">
        <f t="shared" si="15"/>
        <v/>
      </c>
    </row>
    <row r="971" spans="20:20" x14ac:dyDescent="0.35">
      <c r="T971" t="str">
        <f t="shared" si="15"/>
        <v/>
      </c>
    </row>
    <row r="972" spans="20:20" x14ac:dyDescent="0.35">
      <c r="T972" t="str">
        <f t="shared" si="15"/>
        <v/>
      </c>
    </row>
    <row r="973" spans="20:20" x14ac:dyDescent="0.35">
      <c r="T973" t="str">
        <f t="shared" si="15"/>
        <v/>
      </c>
    </row>
    <row r="974" spans="20:20" x14ac:dyDescent="0.35">
      <c r="T974" t="str">
        <f t="shared" si="15"/>
        <v/>
      </c>
    </row>
    <row r="975" spans="20:20" x14ac:dyDescent="0.35">
      <c r="T975" t="str">
        <f t="shared" si="15"/>
        <v/>
      </c>
    </row>
    <row r="976" spans="20:20" x14ac:dyDescent="0.35">
      <c r="T976" t="str">
        <f t="shared" si="15"/>
        <v/>
      </c>
    </row>
    <row r="977" spans="20:20" x14ac:dyDescent="0.35">
      <c r="T977" t="str">
        <f t="shared" si="15"/>
        <v/>
      </c>
    </row>
    <row r="978" spans="20:20" x14ac:dyDescent="0.35">
      <c r="T978" t="str">
        <f t="shared" si="15"/>
        <v/>
      </c>
    </row>
    <row r="979" spans="20:20" x14ac:dyDescent="0.35">
      <c r="T979" t="str">
        <f t="shared" si="15"/>
        <v/>
      </c>
    </row>
    <row r="980" spans="20:20" x14ac:dyDescent="0.35">
      <c r="T980" t="str">
        <f t="shared" si="15"/>
        <v/>
      </c>
    </row>
    <row r="981" spans="20:20" x14ac:dyDescent="0.35">
      <c r="T981" t="str">
        <f t="shared" si="15"/>
        <v/>
      </c>
    </row>
    <row r="982" spans="20:20" x14ac:dyDescent="0.35">
      <c r="T982" t="str">
        <f t="shared" si="15"/>
        <v/>
      </c>
    </row>
    <row r="983" spans="20:20" x14ac:dyDescent="0.35">
      <c r="T983" t="str">
        <f t="shared" si="15"/>
        <v/>
      </c>
    </row>
    <row r="984" spans="20:20" x14ac:dyDescent="0.35">
      <c r="T984" t="str">
        <f t="shared" si="15"/>
        <v/>
      </c>
    </row>
    <row r="985" spans="20:20" x14ac:dyDescent="0.35">
      <c r="T985" t="str">
        <f t="shared" si="15"/>
        <v/>
      </c>
    </row>
    <row r="986" spans="20:20" x14ac:dyDescent="0.35">
      <c r="T986" t="str">
        <f t="shared" si="15"/>
        <v/>
      </c>
    </row>
    <row r="987" spans="20:20" x14ac:dyDescent="0.35">
      <c r="T987" t="str">
        <f t="shared" si="15"/>
        <v/>
      </c>
    </row>
    <row r="988" spans="20:20" x14ac:dyDescent="0.35">
      <c r="T988" t="str">
        <f t="shared" si="15"/>
        <v/>
      </c>
    </row>
    <row r="989" spans="20:20" x14ac:dyDescent="0.35">
      <c r="T989" t="str">
        <f t="shared" si="15"/>
        <v/>
      </c>
    </row>
    <row r="990" spans="20:20" x14ac:dyDescent="0.35">
      <c r="T990" t="str">
        <f t="shared" si="15"/>
        <v/>
      </c>
    </row>
    <row r="991" spans="20:20" x14ac:dyDescent="0.35">
      <c r="T991" t="str">
        <f t="shared" si="15"/>
        <v/>
      </c>
    </row>
    <row r="992" spans="20:20" x14ac:dyDescent="0.35">
      <c r="T992" t="str">
        <f t="shared" si="15"/>
        <v/>
      </c>
    </row>
    <row r="993" spans="20:20" x14ac:dyDescent="0.35">
      <c r="T993" t="str">
        <f t="shared" si="15"/>
        <v/>
      </c>
    </row>
    <row r="994" spans="20:20" x14ac:dyDescent="0.35">
      <c r="T994" t="str">
        <f t="shared" si="15"/>
        <v/>
      </c>
    </row>
    <row r="995" spans="20:20" x14ac:dyDescent="0.35">
      <c r="T995" t="str">
        <f t="shared" si="15"/>
        <v/>
      </c>
    </row>
    <row r="996" spans="20:20" x14ac:dyDescent="0.35">
      <c r="T996" t="str">
        <f t="shared" si="15"/>
        <v/>
      </c>
    </row>
    <row r="997" spans="20:20" x14ac:dyDescent="0.35">
      <c r="T997" t="str">
        <f t="shared" si="15"/>
        <v/>
      </c>
    </row>
    <row r="998" spans="20:20" x14ac:dyDescent="0.35">
      <c r="T998" t="str">
        <f t="shared" si="15"/>
        <v/>
      </c>
    </row>
    <row r="999" spans="20:20" x14ac:dyDescent="0.35">
      <c r="T999" t="str">
        <f t="shared" si="15"/>
        <v/>
      </c>
    </row>
    <row r="1000" spans="20:20" x14ac:dyDescent="0.35">
      <c r="T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DB_Lookups!$A$2:$A$20</xm:f>
          </x14:formula1>
          <xm:sqref>M2:M1000</xm:sqref>
        </x14:dataValidation>
        <x14:dataValidation type="list" allowBlank="1" xr:uid="{00000000-0002-0000-0500-000001000000}">
          <x14:formula1>
            <xm:f>DB_Lookups!$D$2:$D$10</xm:f>
          </x14:formula1>
          <xm:sqref>T2:T1000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Y1000"/>
  <sheetViews>
    <sheetView rightToLeft="1" tabSelected="1" zoomScale="94" workbookViewId="0">
      <selection activeCell="A3" sqref="A3:XFD4"/>
    </sheetView>
  </sheetViews>
  <sheetFormatPr defaultRowHeight="16.8" x14ac:dyDescent="0.35"/>
  <cols>
    <col min="1" max="1" width="6.88671875" style="12" bestFit="1" customWidth="1"/>
    <col min="2" max="2" width="13.33203125" style="12" bestFit="1" customWidth="1"/>
    <col min="3" max="3" width="12" style="12" bestFit="1" customWidth="1"/>
    <col min="4" max="4" width="20.21875" style="12" bestFit="1" customWidth="1"/>
    <col min="5" max="6" width="14.6640625" style="12" bestFit="1" customWidth="1"/>
    <col min="7" max="7" width="11.33203125" style="12" bestFit="1" customWidth="1"/>
    <col min="8" max="8" width="30.77734375" style="12" bestFit="1" customWidth="1"/>
    <col min="9" max="9" width="9.5546875" style="12" bestFit="1" customWidth="1"/>
    <col min="10" max="10" width="7.6640625" style="12" bestFit="1" customWidth="1"/>
    <col min="11" max="11" width="16.6640625" style="12" bestFit="1" customWidth="1"/>
    <col min="12" max="12" width="9.88671875" style="12" bestFit="1" customWidth="1"/>
    <col min="13" max="13" width="20.33203125" style="12" bestFit="1" customWidth="1"/>
    <col min="14" max="14" width="15.6640625" style="12" bestFit="1" customWidth="1"/>
    <col min="15" max="15" width="8.21875" style="12" bestFit="1" customWidth="1"/>
    <col min="16" max="16" width="12.88671875" style="12" bestFit="1" customWidth="1"/>
    <col min="17" max="17" width="8.21875" style="12" bestFit="1" customWidth="1"/>
    <col min="18" max="18" width="13.109375" style="12" customWidth="1"/>
    <col min="19" max="19" width="8" style="12" customWidth="1"/>
    <col min="20" max="20" width="8.88671875" style="12" customWidth="1"/>
    <col min="21" max="22" width="8.88671875" style="3" customWidth="1"/>
    <col min="23" max="23" width="8.88671875" style="12" customWidth="1"/>
    <col min="24" max="24" width="18" customWidth="1"/>
    <col min="25" max="25" width="22" customWidth="1"/>
    <col min="26" max="16384" width="8.88671875" style="12"/>
  </cols>
  <sheetData>
    <row r="1" spans="1:25" s="15" customFormat="1" x14ac:dyDescent="0.35">
      <c r="A1" s="15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5" t="s">
        <v>38</v>
      </c>
      <c r="H1" s="15" t="s">
        <v>8</v>
      </c>
      <c r="I1" s="15" t="s">
        <v>70</v>
      </c>
      <c r="J1" s="16" t="s">
        <v>10</v>
      </c>
      <c r="K1" s="15" t="s">
        <v>71</v>
      </c>
      <c r="L1" s="15" t="s">
        <v>72</v>
      </c>
      <c r="M1" s="21" t="s">
        <v>11</v>
      </c>
      <c r="N1" s="16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W1" t="s">
        <v>18</v>
      </c>
      <c r="X1" t="s">
        <v>19</v>
      </c>
      <c r="Y1" t="s">
        <v>20</v>
      </c>
    </row>
    <row r="2" spans="1:25" x14ac:dyDescent="0.35">
      <c r="V2" s="12"/>
      <c r="W2" t="str">
        <f t="shared" ref="W2:W65" si="0">IF(P2="","",YEAR(P2))</f>
        <v/>
      </c>
    </row>
    <row r="3" spans="1:25" ht="22.2" customHeight="1" x14ac:dyDescent="0.35">
      <c r="J3" s="14"/>
      <c r="K3" s="13"/>
      <c r="N3" s="14"/>
      <c r="V3" s="12"/>
      <c r="W3"/>
    </row>
    <row r="4" spans="1:25" ht="22.2" customHeight="1" x14ac:dyDescent="0.35">
      <c r="J4" s="14"/>
      <c r="K4" s="13"/>
      <c r="N4" s="14"/>
      <c r="V4" s="12"/>
      <c r="W4"/>
    </row>
    <row r="5" spans="1:25" x14ac:dyDescent="0.35">
      <c r="V5" s="12"/>
      <c r="W5" t="str">
        <f t="shared" si="0"/>
        <v/>
      </c>
    </row>
    <row r="6" spans="1:25" s="3" customFormat="1" ht="14.4" customHeight="1" x14ac:dyDescent="0.3">
      <c r="W6" t="str">
        <f t="shared" si="0"/>
        <v/>
      </c>
    </row>
    <row r="7" spans="1:25" x14ac:dyDescent="0.35">
      <c r="E7" s="14"/>
      <c r="F7" s="14"/>
      <c r="G7" s="14"/>
      <c r="H7" s="14"/>
      <c r="I7" s="14"/>
      <c r="J7" s="14"/>
      <c r="K7" s="14"/>
      <c r="L7" s="14"/>
      <c r="N7" s="14"/>
      <c r="O7" s="14"/>
      <c r="V7" s="12"/>
      <c r="W7" t="str">
        <f t="shared" si="0"/>
        <v/>
      </c>
    </row>
    <row r="8" spans="1:25" x14ac:dyDescent="0.35">
      <c r="E8" s="14"/>
      <c r="F8" s="14"/>
      <c r="G8" s="14"/>
      <c r="H8" s="17"/>
      <c r="I8" s="14"/>
      <c r="J8" s="14"/>
      <c r="K8" s="14"/>
      <c r="L8" s="14"/>
      <c r="N8" s="14"/>
      <c r="O8" s="14"/>
      <c r="V8" s="12"/>
      <c r="W8" t="str">
        <f t="shared" si="0"/>
        <v/>
      </c>
    </row>
    <row r="9" spans="1:25" x14ac:dyDescent="0.35">
      <c r="G9" s="5"/>
      <c r="H9" s="5"/>
      <c r="V9" s="12"/>
      <c r="W9" t="str">
        <f t="shared" si="0"/>
        <v/>
      </c>
    </row>
    <row r="10" spans="1:25" x14ac:dyDescent="0.35">
      <c r="G10" s="5"/>
      <c r="H10" s="5"/>
      <c r="V10" s="12"/>
      <c r="W10" t="str">
        <f t="shared" si="0"/>
        <v/>
      </c>
    </row>
    <row r="11" spans="1:25" x14ac:dyDescent="0.35">
      <c r="G11" s="5"/>
      <c r="H11" s="5"/>
      <c r="V11" s="12"/>
      <c r="W11" t="str">
        <f t="shared" si="0"/>
        <v/>
      </c>
    </row>
    <row r="12" spans="1:25" x14ac:dyDescent="0.35">
      <c r="G12" s="5"/>
      <c r="H12" s="5"/>
      <c r="V12" s="12"/>
      <c r="W12" t="str">
        <f t="shared" si="0"/>
        <v/>
      </c>
    </row>
    <row r="13" spans="1:25" x14ac:dyDescent="0.35">
      <c r="G13" s="5"/>
      <c r="H13" s="5"/>
      <c r="V13" s="12"/>
      <c r="W13" t="str">
        <f t="shared" si="0"/>
        <v/>
      </c>
    </row>
    <row r="14" spans="1:25" x14ac:dyDescent="0.35">
      <c r="G14" s="5"/>
      <c r="H14" s="5"/>
      <c r="V14" s="12"/>
      <c r="W14" t="str">
        <f t="shared" si="0"/>
        <v/>
      </c>
    </row>
    <row r="15" spans="1:25" x14ac:dyDescent="0.35">
      <c r="G15" s="5"/>
      <c r="H15" s="5"/>
      <c r="V15" s="12"/>
      <c r="W15" t="str">
        <f t="shared" si="0"/>
        <v/>
      </c>
    </row>
    <row r="16" spans="1:25" x14ac:dyDescent="0.35">
      <c r="G16" s="5"/>
      <c r="H16" s="5"/>
      <c r="V16" s="12"/>
      <c r="W16" t="str">
        <f t="shared" si="0"/>
        <v/>
      </c>
    </row>
    <row r="17" spans="4:23" x14ac:dyDescent="0.35">
      <c r="G17" s="5"/>
      <c r="H17" s="5"/>
      <c r="V17" s="12"/>
      <c r="W17" t="str">
        <f t="shared" si="0"/>
        <v/>
      </c>
    </row>
    <row r="18" spans="4:23" x14ac:dyDescent="0.35">
      <c r="G18" s="5"/>
      <c r="H18" s="5"/>
      <c r="V18" s="12"/>
      <c r="W18" t="str">
        <f t="shared" si="0"/>
        <v/>
      </c>
    </row>
    <row r="19" spans="4:23" x14ac:dyDescent="0.35">
      <c r="G19" s="5"/>
      <c r="H19" s="5"/>
      <c r="J19" s="14"/>
      <c r="N19" s="14"/>
      <c r="V19" s="12"/>
      <c r="W19" t="str">
        <f t="shared" si="0"/>
        <v/>
      </c>
    </row>
    <row r="20" spans="4:23" x14ac:dyDescent="0.35">
      <c r="G20" s="5"/>
      <c r="H20" s="5"/>
      <c r="V20" s="12"/>
      <c r="W20" t="str">
        <f t="shared" si="0"/>
        <v/>
      </c>
    </row>
    <row r="21" spans="4:23" x14ac:dyDescent="0.35">
      <c r="G21" s="5"/>
      <c r="H21" s="5"/>
      <c r="V21" s="12"/>
      <c r="W21" t="str">
        <f t="shared" si="0"/>
        <v/>
      </c>
    </row>
    <row r="22" spans="4:23" x14ac:dyDescent="0.35">
      <c r="G22" s="5"/>
      <c r="H22" s="5"/>
      <c r="V22" s="12"/>
      <c r="W22" t="str">
        <f t="shared" si="0"/>
        <v/>
      </c>
    </row>
    <row r="23" spans="4:23" x14ac:dyDescent="0.35">
      <c r="V23" s="12"/>
      <c r="W23" t="str">
        <f t="shared" si="0"/>
        <v/>
      </c>
    </row>
    <row r="24" spans="4:23" x14ac:dyDescent="0.35">
      <c r="N24" s="14"/>
      <c r="O24" s="14"/>
      <c r="P24" s="14"/>
      <c r="Q24" s="14"/>
      <c r="V24" s="12"/>
      <c r="W24" t="str">
        <f t="shared" si="0"/>
        <v/>
      </c>
    </row>
    <row r="25" spans="4:23" x14ac:dyDescent="0.35">
      <c r="N25" s="14"/>
      <c r="O25" s="14"/>
      <c r="P25" s="14"/>
      <c r="Q25" s="14"/>
      <c r="V25" s="12"/>
      <c r="W25" t="str">
        <f t="shared" si="0"/>
        <v/>
      </c>
    </row>
    <row r="26" spans="4:23" x14ac:dyDescent="0.35">
      <c r="D26" s="14"/>
      <c r="E26" s="14"/>
      <c r="F26" s="14"/>
      <c r="G26" s="14"/>
      <c r="H26" s="14"/>
      <c r="I26" s="14"/>
      <c r="N26" s="14"/>
      <c r="O26" s="14"/>
      <c r="V26" s="12"/>
      <c r="W26" t="str">
        <f t="shared" si="0"/>
        <v/>
      </c>
    </row>
    <row r="27" spans="4:23" x14ac:dyDescent="0.35">
      <c r="D27" s="14"/>
      <c r="E27" s="14"/>
      <c r="F27" s="14"/>
      <c r="G27" s="14"/>
      <c r="H27" s="14"/>
      <c r="I27" s="14"/>
      <c r="N27" s="14"/>
      <c r="O27" s="14"/>
      <c r="V27" s="12"/>
      <c r="W27" t="str">
        <f t="shared" si="0"/>
        <v/>
      </c>
    </row>
    <row r="28" spans="4:23" x14ac:dyDescent="0.35">
      <c r="D28" s="14"/>
      <c r="E28" s="14"/>
      <c r="F28" s="14"/>
      <c r="G28" s="14"/>
      <c r="H28" s="14"/>
      <c r="I28" s="14"/>
      <c r="N28" s="14"/>
      <c r="O28" s="14"/>
      <c r="V28" s="12"/>
      <c r="W28" t="str">
        <f t="shared" si="0"/>
        <v/>
      </c>
    </row>
    <row r="29" spans="4:23" x14ac:dyDescent="0.35">
      <c r="D29" s="14"/>
      <c r="E29" s="14"/>
      <c r="F29" s="14"/>
      <c r="G29" s="14"/>
      <c r="H29" s="14"/>
      <c r="I29" s="14"/>
      <c r="V29" s="12"/>
      <c r="W29" t="str">
        <f t="shared" si="0"/>
        <v/>
      </c>
    </row>
    <row r="30" spans="4:23" x14ac:dyDescent="0.35">
      <c r="D30" s="14"/>
      <c r="E30" s="14"/>
      <c r="F30" s="14"/>
      <c r="G30" s="14"/>
      <c r="H30" s="14"/>
      <c r="I30" s="14"/>
      <c r="V30" s="12"/>
      <c r="W30" t="str">
        <f t="shared" si="0"/>
        <v/>
      </c>
    </row>
    <row r="31" spans="4:23" x14ac:dyDescent="0.35">
      <c r="D31" s="14"/>
      <c r="E31" s="14"/>
      <c r="F31" s="14"/>
      <c r="G31" s="14"/>
      <c r="H31" s="14"/>
      <c r="I31" s="14"/>
      <c r="V31" s="12"/>
      <c r="W31" t="str">
        <f t="shared" si="0"/>
        <v/>
      </c>
    </row>
    <row r="32" spans="4:23" x14ac:dyDescent="0.35">
      <c r="D32" s="14"/>
      <c r="E32" s="14"/>
      <c r="F32" s="14"/>
      <c r="I32" s="14"/>
      <c r="V32" s="12"/>
      <c r="W32" t="str">
        <f t="shared" si="0"/>
        <v/>
      </c>
    </row>
    <row r="33" spans="4:23" x14ac:dyDescent="0.35">
      <c r="D33" s="14"/>
      <c r="E33" s="14"/>
      <c r="F33" s="14"/>
      <c r="I33" s="14"/>
      <c r="V33" s="12"/>
      <c r="W33" t="str">
        <f t="shared" si="0"/>
        <v/>
      </c>
    </row>
    <row r="34" spans="4:23" x14ac:dyDescent="0.35">
      <c r="D34" s="14"/>
      <c r="E34" s="14"/>
      <c r="F34" s="14"/>
      <c r="I34" s="14"/>
      <c r="V34" s="12"/>
      <c r="W34" t="str">
        <f t="shared" si="0"/>
        <v/>
      </c>
    </row>
    <row r="35" spans="4:23" x14ac:dyDescent="0.35">
      <c r="D35" s="14"/>
      <c r="E35" s="14"/>
      <c r="F35" s="14"/>
      <c r="I35" s="14"/>
      <c r="V35" s="12"/>
      <c r="W35" t="str">
        <f t="shared" si="0"/>
        <v/>
      </c>
    </row>
    <row r="36" spans="4:23" x14ac:dyDescent="0.35">
      <c r="D36" s="14"/>
      <c r="E36" s="14"/>
      <c r="F36" s="14"/>
      <c r="I36" s="14"/>
      <c r="V36" s="12"/>
      <c r="W36" t="str">
        <f t="shared" si="0"/>
        <v/>
      </c>
    </row>
    <row r="37" spans="4:23" x14ac:dyDescent="0.35">
      <c r="D37" s="14"/>
      <c r="E37" s="14"/>
      <c r="F37" s="14"/>
      <c r="I37" s="14"/>
      <c r="V37" s="12"/>
      <c r="W37" t="str">
        <f t="shared" si="0"/>
        <v/>
      </c>
    </row>
    <row r="38" spans="4:23" x14ac:dyDescent="0.35">
      <c r="D38" s="14"/>
      <c r="E38" s="14"/>
      <c r="F38" s="14"/>
      <c r="I38" s="14"/>
      <c r="V38" s="12"/>
      <c r="W38" t="str">
        <f t="shared" si="0"/>
        <v/>
      </c>
    </row>
    <row r="39" spans="4:23" x14ac:dyDescent="0.35">
      <c r="D39" s="14"/>
      <c r="E39" s="14"/>
      <c r="F39" s="14"/>
      <c r="I39" s="14"/>
      <c r="V39" s="12"/>
      <c r="W39" t="str">
        <f t="shared" si="0"/>
        <v/>
      </c>
    </row>
    <row r="40" spans="4:23" x14ac:dyDescent="0.35">
      <c r="D40" s="14"/>
      <c r="E40" s="14"/>
      <c r="F40" s="14"/>
      <c r="I40" s="14"/>
      <c r="V40" s="12"/>
      <c r="W40" t="str">
        <f t="shared" si="0"/>
        <v/>
      </c>
    </row>
    <row r="41" spans="4:23" x14ac:dyDescent="0.35">
      <c r="D41" s="14"/>
      <c r="E41" s="14"/>
      <c r="F41" s="14"/>
      <c r="I41" s="14"/>
      <c r="V41" s="12"/>
      <c r="W41" t="str">
        <f t="shared" si="0"/>
        <v/>
      </c>
    </row>
    <row r="42" spans="4:23" x14ac:dyDescent="0.35">
      <c r="D42" s="14"/>
      <c r="E42" s="14"/>
      <c r="F42" s="14"/>
      <c r="I42" s="14"/>
      <c r="V42" s="12"/>
      <c r="W42" t="str">
        <f t="shared" si="0"/>
        <v/>
      </c>
    </row>
    <row r="43" spans="4:23" x14ac:dyDescent="0.35">
      <c r="D43" s="14"/>
      <c r="E43" s="14"/>
      <c r="V43" s="12"/>
      <c r="W43" t="str">
        <f t="shared" si="0"/>
        <v/>
      </c>
    </row>
    <row r="44" spans="4:23" x14ac:dyDescent="0.35">
      <c r="W44" t="str">
        <f t="shared" si="0"/>
        <v/>
      </c>
    </row>
    <row r="45" spans="4:23" x14ac:dyDescent="0.35">
      <c r="W45" t="str">
        <f t="shared" si="0"/>
        <v/>
      </c>
    </row>
    <row r="46" spans="4:23" x14ac:dyDescent="0.35">
      <c r="W46" t="str">
        <f t="shared" si="0"/>
        <v/>
      </c>
    </row>
    <row r="47" spans="4:23" x14ac:dyDescent="0.35">
      <c r="W47" t="str">
        <f t="shared" si="0"/>
        <v/>
      </c>
    </row>
    <row r="48" spans="4:23" x14ac:dyDescent="0.35">
      <c r="W48" t="str">
        <f t="shared" si="0"/>
        <v/>
      </c>
    </row>
    <row r="49" spans="23:23" x14ac:dyDescent="0.35">
      <c r="W49" t="str">
        <f t="shared" si="0"/>
        <v/>
      </c>
    </row>
    <row r="50" spans="23:23" x14ac:dyDescent="0.35">
      <c r="W50" t="str">
        <f t="shared" si="0"/>
        <v/>
      </c>
    </row>
    <row r="51" spans="23:23" x14ac:dyDescent="0.35">
      <c r="W51" t="str">
        <f t="shared" si="0"/>
        <v/>
      </c>
    </row>
    <row r="52" spans="23:23" x14ac:dyDescent="0.35">
      <c r="W52" t="str">
        <f t="shared" si="0"/>
        <v/>
      </c>
    </row>
    <row r="53" spans="23:23" x14ac:dyDescent="0.35">
      <c r="W53" t="str">
        <f t="shared" si="0"/>
        <v/>
      </c>
    </row>
    <row r="54" spans="23:23" x14ac:dyDescent="0.35">
      <c r="W54" t="str">
        <f t="shared" si="0"/>
        <v/>
      </c>
    </row>
    <row r="55" spans="23:23" x14ac:dyDescent="0.35">
      <c r="W55" t="str">
        <f t="shared" si="0"/>
        <v/>
      </c>
    </row>
    <row r="56" spans="23:23" x14ac:dyDescent="0.35">
      <c r="W56" t="str">
        <f t="shared" si="0"/>
        <v/>
      </c>
    </row>
    <row r="57" spans="23:23" x14ac:dyDescent="0.35">
      <c r="W57" t="str">
        <f t="shared" si="0"/>
        <v/>
      </c>
    </row>
    <row r="58" spans="23:23" x14ac:dyDescent="0.35">
      <c r="W58" t="str">
        <f t="shared" si="0"/>
        <v/>
      </c>
    </row>
    <row r="59" spans="23:23" x14ac:dyDescent="0.35">
      <c r="W59" t="str">
        <f t="shared" si="0"/>
        <v/>
      </c>
    </row>
    <row r="60" spans="23:23" x14ac:dyDescent="0.35">
      <c r="W60" t="str">
        <f t="shared" si="0"/>
        <v/>
      </c>
    </row>
    <row r="61" spans="23:23" x14ac:dyDescent="0.35">
      <c r="W61" t="str">
        <f t="shared" si="0"/>
        <v/>
      </c>
    </row>
    <row r="62" spans="23:23" x14ac:dyDescent="0.35">
      <c r="W62" t="str">
        <f t="shared" si="0"/>
        <v/>
      </c>
    </row>
    <row r="63" spans="23:23" x14ac:dyDescent="0.35">
      <c r="W63" t="str">
        <f t="shared" si="0"/>
        <v/>
      </c>
    </row>
    <row r="64" spans="23:23" x14ac:dyDescent="0.35">
      <c r="W64" t="str">
        <f t="shared" si="0"/>
        <v/>
      </c>
    </row>
    <row r="65" spans="23:23" x14ac:dyDescent="0.35">
      <c r="W65" t="str">
        <f t="shared" si="0"/>
        <v/>
      </c>
    </row>
    <row r="66" spans="23:23" x14ac:dyDescent="0.35">
      <c r="W66" t="str">
        <f t="shared" ref="W66:W129" si="1">IF(P66="","",YEAR(P66))</f>
        <v/>
      </c>
    </row>
    <row r="67" spans="23:23" x14ac:dyDescent="0.35">
      <c r="W67" t="str">
        <f t="shared" si="1"/>
        <v/>
      </c>
    </row>
    <row r="68" spans="23:23" x14ac:dyDescent="0.35">
      <c r="W68" t="str">
        <f t="shared" si="1"/>
        <v/>
      </c>
    </row>
    <row r="69" spans="23:23" x14ac:dyDescent="0.35">
      <c r="W69" t="str">
        <f t="shared" si="1"/>
        <v/>
      </c>
    </row>
    <row r="70" spans="23:23" x14ac:dyDescent="0.35">
      <c r="W70" t="str">
        <f t="shared" si="1"/>
        <v/>
      </c>
    </row>
    <row r="71" spans="23:23" x14ac:dyDescent="0.35">
      <c r="W71" t="str">
        <f t="shared" si="1"/>
        <v/>
      </c>
    </row>
    <row r="72" spans="23:23" x14ac:dyDescent="0.35">
      <c r="W72" t="str">
        <f t="shared" si="1"/>
        <v/>
      </c>
    </row>
    <row r="73" spans="23:23" x14ac:dyDescent="0.35">
      <c r="W73" t="str">
        <f t="shared" si="1"/>
        <v/>
      </c>
    </row>
    <row r="74" spans="23:23" x14ac:dyDescent="0.35">
      <c r="W74" t="str">
        <f t="shared" si="1"/>
        <v/>
      </c>
    </row>
    <row r="75" spans="23:23" x14ac:dyDescent="0.35">
      <c r="W75" t="str">
        <f t="shared" si="1"/>
        <v/>
      </c>
    </row>
    <row r="76" spans="23:23" x14ac:dyDescent="0.35">
      <c r="W76" t="str">
        <f t="shared" si="1"/>
        <v/>
      </c>
    </row>
    <row r="77" spans="23:23" x14ac:dyDescent="0.35">
      <c r="W77" t="str">
        <f t="shared" si="1"/>
        <v/>
      </c>
    </row>
    <row r="78" spans="23:23" x14ac:dyDescent="0.35">
      <c r="W78" t="str">
        <f t="shared" si="1"/>
        <v/>
      </c>
    </row>
    <row r="79" spans="23:23" x14ac:dyDescent="0.35">
      <c r="W79" t="str">
        <f t="shared" si="1"/>
        <v/>
      </c>
    </row>
    <row r="80" spans="23:23" x14ac:dyDescent="0.35">
      <c r="W80" t="str">
        <f t="shared" si="1"/>
        <v/>
      </c>
    </row>
    <row r="81" spans="23:23" x14ac:dyDescent="0.35">
      <c r="W81" t="str">
        <f t="shared" si="1"/>
        <v/>
      </c>
    </row>
    <row r="82" spans="23:23" x14ac:dyDescent="0.35">
      <c r="W82" t="str">
        <f t="shared" si="1"/>
        <v/>
      </c>
    </row>
    <row r="83" spans="23:23" x14ac:dyDescent="0.35">
      <c r="W83" t="str">
        <f t="shared" si="1"/>
        <v/>
      </c>
    </row>
    <row r="84" spans="23:23" x14ac:dyDescent="0.35">
      <c r="W84" t="str">
        <f t="shared" si="1"/>
        <v/>
      </c>
    </row>
    <row r="85" spans="23:23" x14ac:dyDescent="0.35">
      <c r="W85" t="str">
        <f t="shared" si="1"/>
        <v/>
      </c>
    </row>
    <row r="86" spans="23:23" x14ac:dyDescent="0.35">
      <c r="W86" t="str">
        <f t="shared" si="1"/>
        <v/>
      </c>
    </row>
    <row r="87" spans="23:23" x14ac:dyDescent="0.35">
      <c r="W87" t="str">
        <f t="shared" si="1"/>
        <v/>
      </c>
    </row>
    <row r="88" spans="23:23" x14ac:dyDescent="0.35">
      <c r="W88" t="str">
        <f t="shared" si="1"/>
        <v/>
      </c>
    </row>
    <row r="89" spans="23:23" x14ac:dyDescent="0.35">
      <c r="W89" t="str">
        <f t="shared" si="1"/>
        <v/>
      </c>
    </row>
    <row r="90" spans="23:23" x14ac:dyDescent="0.35">
      <c r="W90" t="str">
        <f t="shared" si="1"/>
        <v/>
      </c>
    </row>
    <row r="91" spans="23:23" x14ac:dyDescent="0.35">
      <c r="W91" t="str">
        <f t="shared" si="1"/>
        <v/>
      </c>
    </row>
    <row r="92" spans="23:23" x14ac:dyDescent="0.35">
      <c r="W92" t="str">
        <f t="shared" si="1"/>
        <v/>
      </c>
    </row>
    <row r="93" spans="23:23" x14ac:dyDescent="0.35">
      <c r="W93" t="str">
        <f t="shared" si="1"/>
        <v/>
      </c>
    </row>
    <row r="94" spans="23:23" x14ac:dyDescent="0.35">
      <c r="W94" t="str">
        <f t="shared" si="1"/>
        <v/>
      </c>
    </row>
    <row r="95" spans="23:23" x14ac:dyDescent="0.35">
      <c r="W95" t="str">
        <f t="shared" si="1"/>
        <v/>
      </c>
    </row>
    <row r="96" spans="23:23" x14ac:dyDescent="0.35">
      <c r="W96" t="str">
        <f t="shared" si="1"/>
        <v/>
      </c>
    </row>
    <row r="97" spans="23:23" x14ac:dyDescent="0.35">
      <c r="W97" t="str">
        <f t="shared" si="1"/>
        <v/>
      </c>
    </row>
    <row r="98" spans="23:23" x14ac:dyDescent="0.35">
      <c r="W98" t="str">
        <f t="shared" si="1"/>
        <v/>
      </c>
    </row>
    <row r="99" spans="23:23" x14ac:dyDescent="0.35">
      <c r="W99" t="str">
        <f t="shared" si="1"/>
        <v/>
      </c>
    </row>
    <row r="100" spans="23:23" x14ac:dyDescent="0.35">
      <c r="W100" t="str">
        <f t="shared" si="1"/>
        <v/>
      </c>
    </row>
    <row r="101" spans="23:23" x14ac:dyDescent="0.35">
      <c r="W101" t="str">
        <f t="shared" si="1"/>
        <v/>
      </c>
    </row>
    <row r="102" spans="23:23" x14ac:dyDescent="0.35">
      <c r="W102" t="str">
        <f t="shared" si="1"/>
        <v/>
      </c>
    </row>
    <row r="103" spans="23:23" x14ac:dyDescent="0.35">
      <c r="W103" t="str">
        <f t="shared" si="1"/>
        <v/>
      </c>
    </row>
    <row r="104" spans="23:23" x14ac:dyDescent="0.35">
      <c r="W104" t="str">
        <f t="shared" si="1"/>
        <v/>
      </c>
    </row>
    <row r="105" spans="23:23" x14ac:dyDescent="0.35">
      <c r="W105" t="str">
        <f t="shared" si="1"/>
        <v/>
      </c>
    </row>
    <row r="106" spans="23:23" x14ac:dyDescent="0.35">
      <c r="W106" t="str">
        <f t="shared" si="1"/>
        <v/>
      </c>
    </row>
    <row r="107" spans="23:23" x14ac:dyDescent="0.35">
      <c r="W107" t="str">
        <f t="shared" si="1"/>
        <v/>
      </c>
    </row>
    <row r="108" spans="23:23" x14ac:dyDescent="0.35">
      <c r="W108" t="str">
        <f t="shared" si="1"/>
        <v/>
      </c>
    </row>
    <row r="109" spans="23:23" x14ac:dyDescent="0.35">
      <c r="W109" t="str">
        <f t="shared" si="1"/>
        <v/>
      </c>
    </row>
    <row r="110" spans="23:23" x14ac:dyDescent="0.35">
      <c r="W110" t="str">
        <f t="shared" si="1"/>
        <v/>
      </c>
    </row>
    <row r="111" spans="23:23" x14ac:dyDescent="0.35">
      <c r="W111" t="str">
        <f t="shared" si="1"/>
        <v/>
      </c>
    </row>
    <row r="112" spans="23:23" x14ac:dyDescent="0.35">
      <c r="W112" t="str">
        <f t="shared" si="1"/>
        <v/>
      </c>
    </row>
    <row r="113" spans="23:23" x14ac:dyDescent="0.35">
      <c r="W113" t="str">
        <f t="shared" si="1"/>
        <v/>
      </c>
    </row>
    <row r="114" spans="23:23" x14ac:dyDescent="0.35">
      <c r="W114" t="str">
        <f t="shared" si="1"/>
        <v/>
      </c>
    </row>
    <row r="115" spans="23:23" x14ac:dyDescent="0.35">
      <c r="W115" t="str">
        <f t="shared" si="1"/>
        <v/>
      </c>
    </row>
    <row r="116" spans="23:23" x14ac:dyDescent="0.35">
      <c r="W116" t="str">
        <f t="shared" si="1"/>
        <v/>
      </c>
    </row>
    <row r="117" spans="23:23" x14ac:dyDescent="0.35">
      <c r="W117" t="str">
        <f t="shared" si="1"/>
        <v/>
      </c>
    </row>
    <row r="118" spans="23:23" x14ac:dyDescent="0.35">
      <c r="W118" t="str">
        <f t="shared" si="1"/>
        <v/>
      </c>
    </row>
    <row r="119" spans="23:23" x14ac:dyDescent="0.35">
      <c r="W119" t="str">
        <f t="shared" si="1"/>
        <v/>
      </c>
    </row>
    <row r="120" spans="23:23" x14ac:dyDescent="0.35">
      <c r="W120" t="str">
        <f t="shared" si="1"/>
        <v/>
      </c>
    </row>
    <row r="121" spans="23:23" x14ac:dyDescent="0.35">
      <c r="W121" t="str">
        <f t="shared" si="1"/>
        <v/>
      </c>
    </row>
    <row r="122" spans="23:23" x14ac:dyDescent="0.35">
      <c r="W122" t="str">
        <f t="shared" si="1"/>
        <v/>
      </c>
    </row>
    <row r="123" spans="23:23" x14ac:dyDescent="0.35">
      <c r="W123" t="str">
        <f t="shared" si="1"/>
        <v/>
      </c>
    </row>
    <row r="124" spans="23:23" x14ac:dyDescent="0.35">
      <c r="W124" t="str">
        <f t="shared" si="1"/>
        <v/>
      </c>
    </row>
    <row r="125" spans="23:23" x14ac:dyDescent="0.35">
      <c r="W125" t="str">
        <f t="shared" si="1"/>
        <v/>
      </c>
    </row>
    <row r="126" spans="23:23" x14ac:dyDescent="0.35">
      <c r="W126" t="str">
        <f t="shared" si="1"/>
        <v/>
      </c>
    </row>
    <row r="127" spans="23:23" x14ac:dyDescent="0.35">
      <c r="W127" t="str">
        <f t="shared" si="1"/>
        <v/>
      </c>
    </row>
    <row r="128" spans="23:23" x14ac:dyDescent="0.35">
      <c r="W128" t="str">
        <f t="shared" si="1"/>
        <v/>
      </c>
    </row>
    <row r="129" spans="23:23" x14ac:dyDescent="0.35">
      <c r="W129" t="str">
        <f t="shared" si="1"/>
        <v/>
      </c>
    </row>
    <row r="130" spans="23:23" x14ac:dyDescent="0.35">
      <c r="W130" t="str">
        <f t="shared" ref="W130:W193" si="2">IF(P130="","",YEAR(P130))</f>
        <v/>
      </c>
    </row>
    <row r="131" spans="23:23" x14ac:dyDescent="0.35">
      <c r="W131" t="str">
        <f t="shared" si="2"/>
        <v/>
      </c>
    </row>
    <row r="132" spans="23:23" x14ac:dyDescent="0.35">
      <c r="W132" t="str">
        <f t="shared" si="2"/>
        <v/>
      </c>
    </row>
    <row r="133" spans="23:23" x14ac:dyDescent="0.35">
      <c r="W133" t="str">
        <f t="shared" si="2"/>
        <v/>
      </c>
    </row>
    <row r="134" spans="23:23" x14ac:dyDescent="0.35">
      <c r="W134" t="str">
        <f t="shared" si="2"/>
        <v/>
      </c>
    </row>
    <row r="135" spans="23:23" x14ac:dyDescent="0.35">
      <c r="W135" t="str">
        <f t="shared" si="2"/>
        <v/>
      </c>
    </row>
    <row r="136" spans="23:23" x14ac:dyDescent="0.35">
      <c r="W136" t="str">
        <f t="shared" si="2"/>
        <v/>
      </c>
    </row>
    <row r="137" spans="23:23" x14ac:dyDescent="0.35">
      <c r="W137" t="str">
        <f t="shared" si="2"/>
        <v/>
      </c>
    </row>
    <row r="138" spans="23:23" x14ac:dyDescent="0.35">
      <c r="W138" t="str">
        <f t="shared" si="2"/>
        <v/>
      </c>
    </row>
    <row r="139" spans="23:23" x14ac:dyDescent="0.35">
      <c r="W139" t="str">
        <f t="shared" si="2"/>
        <v/>
      </c>
    </row>
    <row r="140" spans="23:23" x14ac:dyDescent="0.35">
      <c r="W140" t="str">
        <f t="shared" si="2"/>
        <v/>
      </c>
    </row>
    <row r="141" spans="23:23" x14ac:dyDescent="0.35">
      <c r="W141" t="str">
        <f t="shared" si="2"/>
        <v/>
      </c>
    </row>
    <row r="142" spans="23:23" x14ac:dyDescent="0.35">
      <c r="W142" t="str">
        <f t="shared" si="2"/>
        <v/>
      </c>
    </row>
    <row r="143" spans="23:23" x14ac:dyDescent="0.35">
      <c r="W143" t="str">
        <f t="shared" si="2"/>
        <v/>
      </c>
    </row>
    <row r="144" spans="23:23" x14ac:dyDescent="0.35">
      <c r="W144" t="str">
        <f t="shared" si="2"/>
        <v/>
      </c>
    </row>
    <row r="145" spans="23:23" x14ac:dyDescent="0.35">
      <c r="W145" t="str">
        <f t="shared" si="2"/>
        <v/>
      </c>
    </row>
    <row r="146" spans="23:23" x14ac:dyDescent="0.35">
      <c r="W146" t="str">
        <f t="shared" si="2"/>
        <v/>
      </c>
    </row>
    <row r="147" spans="23:23" x14ac:dyDescent="0.35">
      <c r="W147" t="str">
        <f t="shared" si="2"/>
        <v/>
      </c>
    </row>
    <row r="148" spans="23:23" x14ac:dyDescent="0.35">
      <c r="W148" t="str">
        <f t="shared" si="2"/>
        <v/>
      </c>
    </row>
    <row r="149" spans="23:23" x14ac:dyDescent="0.35">
      <c r="W149" t="str">
        <f t="shared" si="2"/>
        <v/>
      </c>
    </row>
    <row r="150" spans="23:23" x14ac:dyDescent="0.35">
      <c r="W150" t="str">
        <f t="shared" si="2"/>
        <v/>
      </c>
    </row>
    <row r="151" spans="23:23" x14ac:dyDescent="0.35">
      <c r="W151" t="str">
        <f t="shared" si="2"/>
        <v/>
      </c>
    </row>
    <row r="152" spans="23:23" x14ac:dyDescent="0.35">
      <c r="W152" t="str">
        <f t="shared" si="2"/>
        <v/>
      </c>
    </row>
    <row r="153" spans="23:23" x14ac:dyDescent="0.35">
      <c r="W153" t="str">
        <f t="shared" si="2"/>
        <v/>
      </c>
    </row>
    <row r="154" spans="23:23" x14ac:dyDescent="0.35">
      <c r="W154" t="str">
        <f t="shared" si="2"/>
        <v/>
      </c>
    </row>
    <row r="155" spans="23:23" x14ac:dyDescent="0.35">
      <c r="W155" t="str">
        <f t="shared" si="2"/>
        <v/>
      </c>
    </row>
    <row r="156" spans="23:23" x14ac:dyDescent="0.35">
      <c r="W156" t="str">
        <f t="shared" si="2"/>
        <v/>
      </c>
    </row>
    <row r="157" spans="23:23" x14ac:dyDescent="0.35">
      <c r="W157" t="str">
        <f t="shared" si="2"/>
        <v/>
      </c>
    </row>
    <row r="158" spans="23:23" x14ac:dyDescent="0.35">
      <c r="W158" t="str">
        <f t="shared" si="2"/>
        <v/>
      </c>
    </row>
    <row r="159" spans="23:23" x14ac:dyDescent="0.35">
      <c r="W159" t="str">
        <f t="shared" si="2"/>
        <v/>
      </c>
    </row>
    <row r="160" spans="23:23" x14ac:dyDescent="0.35">
      <c r="W160" t="str">
        <f t="shared" si="2"/>
        <v/>
      </c>
    </row>
    <row r="161" spans="23:23" x14ac:dyDescent="0.35">
      <c r="W161" t="str">
        <f t="shared" si="2"/>
        <v/>
      </c>
    </row>
    <row r="162" spans="23:23" x14ac:dyDescent="0.35">
      <c r="W162" t="str">
        <f t="shared" si="2"/>
        <v/>
      </c>
    </row>
    <row r="163" spans="23:23" x14ac:dyDescent="0.35">
      <c r="W163" t="str">
        <f t="shared" si="2"/>
        <v/>
      </c>
    </row>
    <row r="164" spans="23:23" x14ac:dyDescent="0.35">
      <c r="W164" t="str">
        <f t="shared" si="2"/>
        <v/>
      </c>
    </row>
    <row r="165" spans="23:23" x14ac:dyDescent="0.35">
      <c r="W165" t="str">
        <f t="shared" si="2"/>
        <v/>
      </c>
    </row>
    <row r="166" spans="23:23" x14ac:dyDescent="0.35">
      <c r="W166" t="str">
        <f t="shared" si="2"/>
        <v/>
      </c>
    </row>
    <row r="167" spans="23:23" x14ac:dyDescent="0.35">
      <c r="W167" t="str">
        <f t="shared" si="2"/>
        <v/>
      </c>
    </row>
    <row r="168" spans="23:23" x14ac:dyDescent="0.35">
      <c r="W168" t="str">
        <f t="shared" si="2"/>
        <v/>
      </c>
    </row>
    <row r="169" spans="23:23" x14ac:dyDescent="0.35">
      <c r="W169" t="str">
        <f t="shared" si="2"/>
        <v/>
      </c>
    </row>
    <row r="170" spans="23:23" x14ac:dyDescent="0.35">
      <c r="W170" t="str">
        <f t="shared" si="2"/>
        <v/>
      </c>
    </row>
    <row r="171" spans="23:23" x14ac:dyDescent="0.35">
      <c r="W171" t="str">
        <f t="shared" si="2"/>
        <v/>
      </c>
    </row>
    <row r="172" spans="23:23" x14ac:dyDescent="0.35">
      <c r="W172" t="str">
        <f t="shared" si="2"/>
        <v/>
      </c>
    </row>
    <row r="173" spans="23:23" x14ac:dyDescent="0.35">
      <c r="W173" t="str">
        <f t="shared" si="2"/>
        <v/>
      </c>
    </row>
    <row r="174" spans="23:23" x14ac:dyDescent="0.35">
      <c r="W174" t="str">
        <f t="shared" si="2"/>
        <v/>
      </c>
    </row>
    <row r="175" spans="23:23" x14ac:dyDescent="0.35">
      <c r="W175" t="str">
        <f t="shared" si="2"/>
        <v/>
      </c>
    </row>
    <row r="176" spans="23:23" x14ac:dyDescent="0.35">
      <c r="W176" t="str">
        <f t="shared" si="2"/>
        <v/>
      </c>
    </row>
    <row r="177" spans="23:23" x14ac:dyDescent="0.35">
      <c r="W177" t="str">
        <f t="shared" si="2"/>
        <v/>
      </c>
    </row>
    <row r="178" spans="23:23" x14ac:dyDescent="0.35">
      <c r="W178" t="str">
        <f t="shared" si="2"/>
        <v/>
      </c>
    </row>
    <row r="179" spans="23:23" x14ac:dyDescent="0.35">
      <c r="W179" t="str">
        <f t="shared" si="2"/>
        <v/>
      </c>
    </row>
    <row r="180" spans="23:23" x14ac:dyDescent="0.35">
      <c r="W180" t="str">
        <f t="shared" si="2"/>
        <v/>
      </c>
    </row>
    <row r="181" spans="23:23" x14ac:dyDescent="0.35">
      <c r="W181" t="str">
        <f t="shared" si="2"/>
        <v/>
      </c>
    </row>
    <row r="182" spans="23:23" x14ac:dyDescent="0.35">
      <c r="W182" t="str">
        <f t="shared" si="2"/>
        <v/>
      </c>
    </row>
    <row r="183" spans="23:23" x14ac:dyDescent="0.35">
      <c r="W183" t="str">
        <f t="shared" si="2"/>
        <v/>
      </c>
    </row>
    <row r="184" spans="23:23" x14ac:dyDescent="0.35">
      <c r="W184" t="str">
        <f t="shared" si="2"/>
        <v/>
      </c>
    </row>
    <row r="185" spans="23:23" x14ac:dyDescent="0.35">
      <c r="W185" t="str">
        <f t="shared" si="2"/>
        <v/>
      </c>
    </row>
    <row r="186" spans="23:23" x14ac:dyDescent="0.35">
      <c r="W186" t="str">
        <f t="shared" si="2"/>
        <v/>
      </c>
    </row>
    <row r="187" spans="23:23" x14ac:dyDescent="0.35">
      <c r="W187" t="str">
        <f t="shared" si="2"/>
        <v/>
      </c>
    </row>
    <row r="188" spans="23:23" x14ac:dyDescent="0.35">
      <c r="W188" t="str">
        <f t="shared" si="2"/>
        <v/>
      </c>
    </row>
    <row r="189" spans="23:23" x14ac:dyDescent="0.35">
      <c r="W189" t="str">
        <f t="shared" si="2"/>
        <v/>
      </c>
    </row>
    <row r="190" spans="23:23" x14ac:dyDescent="0.35">
      <c r="W190" t="str">
        <f t="shared" si="2"/>
        <v/>
      </c>
    </row>
    <row r="191" spans="23:23" x14ac:dyDescent="0.35">
      <c r="W191" t="str">
        <f t="shared" si="2"/>
        <v/>
      </c>
    </row>
    <row r="192" spans="23:23" x14ac:dyDescent="0.35">
      <c r="W192" t="str">
        <f t="shared" si="2"/>
        <v/>
      </c>
    </row>
    <row r="193" spans="23:23" x14ac:dyDescent="0.35">
      <c r="W193" t="str">
        <f t="shared" si="2"/>
        <v/>
      </c>
    </row>
    <row r="194" spans="23:23" x14ac:dyDescent="0.35">
      <c r="W194" t="str">
        <f t="shared" ref="W194:W257" si="3">IF(P194="","",YEAR(P194))</f>
        <v/>
      </c>
    </row>
    <row r="195" spans="23:23" x14ac:dyDescent="0.35">
      <c r="W195" t="str">
        <f t="shared" si="3"/>
        <v/>
      </c>
    </row>
    <row r="196" spans="23:23" x14ac:dyDescent="0.35">
      <c r="W196" t="str">
        <f t="shared" si="3"/>
        <v/>
      </c>
    </row>
    <row r="197" spans="23:23" x14ac:dyDescent="0.35">
      <c r="W197" t="str">
        <f t="shared" si="3"/>
        <v/>
      </c>
    </row>
    <row r="198" spans="23:23" x14ac:dyDescent="0.35">
      <c r="W198" t="str">
        <f t="shared" si="3"/>
        <v/>
      </c>
    </row>
    <row r="199" spans="23:23" x14ac:dyDescent="0.35">
      <c r="W199" t="str">
        <f t="shared" si="3"/>
        <v/>
      </c>
    </row>
    <row r="200" spans="23:23" x14ac:dyDescent="0.35">
      <c r="W200" t="str">
        <f t="shared" si="3"/>
        <v/>
      </c>
    </row>
    <row r="201" spans="23:23" x14ac:dyDescent="0.35">
      <c r="W201" t="str">
        <f t="shared" si="3"/>
        <v/>
      </c>
    </row>
    <row r="202" spans="23:23" x14ac:dyDescent="0.35">
      <c r="W202" t="str">
        <f t="shared" si="3"/>
        <v/>
      </c>
    </row>
    <row r="203" spans="23:23" x14ac:dyDescent="0.35">
      <c r="W203" t="str">
        <f t="shared" si="3"/>
        <v/>
      </c>
    </row>
    <row r="204" spans="23:23" x14ac:dyDescent="0.35">
      <c r="W204" t="str">
        <f t="shared" si="3"/>
        <v/>
      </c>
    </row>
    <row r="205" spans="23:23" x14ac:dyDescent="0.35">
      <c r="W205" t="str">
        <f t="shared" si="3"/>
        <v/>
      </c>
    </row>
    <row r="206" spans="23:23" x14ac:dyDescent="0.35">
      <c r="W206" t="str">
        <f t="shared" si="3"/>
        <v/>
      </c>
    </row>
    <row r="207" spans="23:23" x14ac:dyDescent="0.35">
      <c r="W207" t="str">
        <f t="shared" si="3"/>
        <v/>
      </c>
    </row>
    <row r="208" spans="23:23" x14ac:dyDescent="0.35">
      <c r="W208" t="str">
        <f t="shared" si="3"/>
        <v/>
      </c>
    </row>
    <row r="209" spans="23:23" x14ac:dyDescent="0.35">
      <c r="W209" t="str">
        <f t="shared" si="3"/>
        <v/>
      </c>
    </row>
    <row r="210" spans="23:23" x14ac:dyDescent="0.35">
      <c r="W210" t="str">
        <f t="shared" si="3"/>
        <v/>
      </c>
    </row>
    <row r="211" spans="23:23" x14ac:dyDescent="0.35">
      <c r="W211" t="str">
        <f t="shared" si="3"/>
        <v/>
      </c>
    </row>
    <row r="212" spans="23:23" x14ac:dyDescent="0.35">
      <c r="W212" t="str">
        <f t="shared" si="3"/>
        <v/>
      </c>
    </row>
    <row r="213" spans="23:23" x14ac:dyDescent="0.35">
      <c r="W213" t="str">
        <f t="shared" si="3"/>
        <v/>
      </c>
    </row>
    <row r="214" spans="23:23" x14ac:dyDescent="0.35">
      <c r="W214" t="str">
        <f t="shared" si="3"/>
        <v/>
      </c>
    </row>
    <row r="215" spans="23:23" x14ac:dyDescent="0.35">
      <c r="W215" t="str">
        <f t="shared" si="3"/>
        <v/>
      </c>
    </row>
    <row r="216" spans="23:23" x14ac:dyDescent="0.35">
      <c r="W216" t="str">
        <f t="shared" si="3"/>
        <v/>
      </c>
    </row>
    <row r="217" spans="23:23" x14ac:dyDescent="0.35">
      <c r="W217" t="str">
        <f t="shared" si="3"/>
        <v/>
      </c>
    </row>
    <row r="218" spans="23:23" x14ac:dyDescent="0.35">
      <c r="W218" t="str">
        <f t="shared" si="3"/>
        <v/>
      </c>
    </row>
    <row r="219" spans="23:23" x14ac:dyDescent="0.35">
      <c r="W219" t="str">
        <f t="shared" si="3"/>
        <v/>
      </c>
    </row>
    <row r="220" spans="23:23" x14ac:dyDescent="0.35">
      <c r="W220" t="str">
        <f t="shared" si="3"/>
        <v/>
      </c>
    </row>
    <row r="221" spans="23:23" x14ac:dyDescent="0.35">
      <c r="W221" t="str">
        <f t="shared" si="3"/>
        <v/>
      </c>
    </row>
    <row r="222" spans="23:23" x14ac:dyDescent="0.35">
      <c r="W222" t="str">
        <f t="shared" si="3"/>
        <v/>
      </c>
    </row>
    <row r="223" spans="23:23" x14ac:dyDescent="0.35">
      <c r="W223" t="str">
        <f t="shared" si="3"/>
        <v/>
      </c>
    </row>
    <row r="224" spans="23:23" x14ac:dyDescent="0.35">
      <c r="W224" t="str">
        <f t="shared" si="3"/>
        <v/>
      </c>
    </row>
    <row r="225" spans="23:23" x14ac:dyDescent="0.35">
      <c r="W225" t="str">
        <f t="shared" si="3"/>
        <v/>
      </c>
    </row>
    <row r="226" spans="23:23" x14ac:dyDescent="0.35">
      <c r="W226" t="str">
        <f t="shared" si="3"/>
        <v/>
      </c>
    </row>
    <row r="227" spans="23:23" x14ac:dyDescent="0.35">
      <c r="W227" t="str">
        <f t="shared" si="3"/>
        <v/>
      </c>
    </row>
    <row r="228" spans="23:23" x14ac:dyDescent="0.35">
      <c r="W228" t="str">
        <f t="shared" si="3"/>
        <v/>
      </c>
    </row>
    <row r="229" spans="23:23" x14ac:dyDescent="0.35">
      <c r="W229" t="str">
        <f t="shared" si="3"/>
        <v/>
      </c>
    </row>
    <row r="230" spans="23:23" x14ac:dyDescent="0.35">
      <c r="W230" t="str">
        <f t="shared" si="3"/>
        <v/>
      </c>
    </row>
    <row r="231" spans="23:23" x14ac:dyDescent="0.35">
      <c r="W231" t="str">
        <f t="shared" si="3"/>
        <v/>
      </c>
    </row>
    <row r="232" spans="23:23" x14ac:dyDescent="0.35">
      <c r="W232" t="str">
        <f t="shared" si="3"/>
        <v/>
      </c>
    </row>
    <row r="233" spans="23:23" x14ac:dyDescent="0.35">
      <c r="W233" t="str">
        <f t="shared" si="3"/>
        <v/>
      </c>
    </row>
    <row r="234" spans="23:23" x14ac:dyDescent="0.35">
      <c r="W234" t="str">
        <f t="shared" si="3"/>
        <v/>
      </c>
    </row>
    <row r="235" spans="23:23" x14ac:dyDescent="0.35">
      <c r="W235" t="str">
        <f t="shared" si="3"/>
        <v/>
      </c>
    </row>
    <row r="236" spans="23:23" x14ac:dyDescent="0.35">
      <c r="W236" t="str">
        <f t="shared" si="3"/>
        <v/>
      </c>
    </row>
    <row r="237" spans="23:23" x14ac:dyDescent="0.35">
      <c r="W237" t="str">
        <f t="shared" si="3"/>
        <v/>
      </c>
    </row>
    <row r="238" spans="23:23" x14ac:dyDescent="0.35">
      <c r="W238" t="str">
        <f t="shared" si="3"/>
        <v/>
      </c>
    </row>
    <row r="239" spans="23:23" x14ac:dyDescent="0.35">
      <c r="W239" t="str">
        <f t="shared" si="3"/>
        <v/>
      </c>
    </row>
    <row r="240" spans="23:23" x14ac:dyDescent="0.35">
      <c r="W240" t="str">
        <f t="shared" si="3"/>
        <v/>
      </c>
    </row>
    <row r="241" spans="23:23" x14ac:dyDescent="0.35">
      <c r="W241" t="str">
        <f t="shared" si="3"/>
        <v/>
      </c>
    </row>
    <row r="242" spans="23:23" x14ac:dyDescent="0.35">
      <c r="W242" t="str">
        <f t="shared" si="3"/>
        <v/>
      </c>
    </row>
    <row r="243" spans="23:23" x14ac:dyDescent="0.35">
      <c r="W243" t="str">
        <f t="shared" si="3"/>
        <v/>
      </c>
    </row>
    <row r="244" spans="23:23" x14ac:dyDescent="0.35">
      <c r="W244" t="str">
        <f t="shared" si="3"/>
        <v/>
      </c>
    </row>
    <row r="245" spans="23:23" x14ac:dyDescent="0.35">
      <c r="W245" t="str">
        <f t="shared" si="3"/>
        <v/>
      </c>
    </row>
    <row r="246" spans="23:23" x14ac:dyDescent="0.35">
      <c r="W246" t="str">
        <f t="shared" si="3"/>
        <v/>
      </c>
    </row>
    <row r="247" spans="23:23" x14ac:dyDescent="0.35">
      <c r="W247" t="str">
        <f t="shared" si="3"/>
        <v/>
      </c>
    </row>
    <row r="248" spans="23:23" x14ac:dyDescent="0.35">
      <c r="W248" t="str">
        <f t="shared" si="3"/>
        <v/>
      </c>
    </row>
    <row r="249" spans="23:23" x14ac:dyDescent="0.35">
      <c r="W249" t="str">
        <f t="shared" si="3"/>
        <v/>
      </c>
    </row>
    <row r="250" spans="23:23" x14ac:dyDescent="0.35">
      <c r="W250" t="str">
        <f t="shared" si="3"/>
        <v/>
      </c>
    </row>
    <row r="251" spans="23:23" x14ac:dyDescent="0.35">
      <c r="W251" t="str">
        <f t="shared" si="3"/>
        <v/>
      </c>
    </row>
    <row r="252" spans="23:23" x14ac:dyDescent="0.35">
      <c r="W252" t="str">
        <f t="shared" si="3"/>
        <v/>
      </c>
    </row>
    <row r="253" spans="23:23" x14ac:dyDescent="0.35">
      <c r="W253" t="str">
        <f t="shared" si="3"/>
        <v/>
      </c>
    </row>
    <row r="254" spans="23:23" x14ac:dyDescent="0.35">
      <c r="W254" t="str">
        <f t="shared" si="3"/>
        <v/>
      </c>
    </row>
    <row r="255" spans="23:23" x14ac:dyDescent="0.35">
      <c r="W255" t="str">
        <f t="shared" si="3"/>
        <v/>
      </c>
    </row>
    <row r="256" spans="23:23" x14ac:dyDescent="0.35">
      <c r="W256" t="str">
        <f t="shared" si="3"/>
        <v/>
      </c>
    </row>
    <row r="257" spans="23:23" x14ac:dyDescent="0.35">
      <c r="W257" t="str">
        <f t="shared" si="3"/>
        <v/>
      </c>
    </row>
    <row r="258" spans="23:23" x14ac:dyDescent="0.35">
      <c r="W258" t="str">
        <f t="shared" ref="W258:W321" si="4">IF(P258="","",YEAR(P258))</f>
        <v/>
      </c>
    </row>
    <row r="259" spans="23:23" x14ac:dyDescent="0.35">
      <c r="W259" t="str">
        <f t="shared" si="4"/>
        <v/>
      </c>
    </row>
    <row r="260" spans="23:23" x14ac:dyDescent="0.35">
      <c r="W260" t="str">
        <f t="shared" si="4"/>
        <v/>
      </c>
    </row>
    <row r="261" spans="23:23" x14ac:dyDescent="0.35">
      <c r="W261" t="str">
        <f t="shared" si="4"/>
        <v/>
      </c>
    </row>
    <row r="262" spans="23:23" x14ac:dyDescent="0.35">
      <c r="W262" t="str">
        <f t="shared" si="4"/>
        <v/>
      </c>
    </row>
    <row r="263" spans="23:23" x14ac:dyDescent="0.35">
      <c r="W263" t="str">
        <f t="shared" si="4"/>
        <v/>
      </c>
    </row>
    <row r="264" spans="23:23" x14ac:dyDescent="0.35">
      <c r="W264" t="str">
        <f t="shared" si="4"/>
        <v/>
      </c>
    </row>
    <row r="265" spans="23:23" x14ac:dyDescent="0.35">
      <c r="W265" t="str">
        <f t="shared" si="4"/>
        <v/>
      </c>
    </row>
    <row r="266" spans="23:23" x14ac:dyDescent="0.35">
      <c r="W266" t="str">
        <f t="shared" si="4"/>
        <v/>
      </c>
    </row>
    <row r="267" spans="23:23" x14ac:dyDescent="0.35">
      <c r="W267" t="str">
        <f t="shared" si="4"/>
        <v/>
      </c>
    </row>
    <row r="268" spans="23:23" x14ac:dyDescent="0.35">
      <c r="W268" t="str">
        <f t="shared" si="4"/>
        <v/>
      </c>
    </row>
    <row r="269" spans="23:23" x14ac:dyDescent="0.35">
      <c r="W269" t="str">
        <f t="shared" si="4"/>
        <v/>
      </c>
    </row>
    <row r="270" spans="23:23" x14ac:dyDescent="0.35">
      <c r="W270" t="str">
        <f t="shared" si="4"/>
        <v/>
      </c>
    </row>
    <row r="271" spans="23:23" x14ac:dyDescent="0.35">
      <c r="W271" t="str">
        <f t="shared" si="4"/>
        <v/>
      </c>
    </row>
    <row r="272" spans="23:23" x14ac:dyDescent="0.35">
      <c r="W272" t="str">
        <f t="shared" si="4"/>
        <v/>
      </c>
    </row>
    <row r="273" spans="23:23" x14ac:dyDescent="0.35">
      <c r="W273" t="str">
        <f t="shared" si="4"/>
        <v/>
      </c>
    </row>
    <row r="274" spans="23:23" x14ac:dyDescent="0.35">
      <c r="W274" t="str">
        <f t="shared" si="4"/>
        <v/>
      </c>
    </row>
    <row r="275" spans="23:23" x14ac:dyDescent="0.35">
      <c r="W275" t="str">
        <f t="shared" si="4"/>
        <v/>
      </c>
    </row>
    <row r="276" spans="23:23" x14ac:dyDescent="0.35">
      <c r="W276" t="str">
        <f t="shared" si="4"/>
        <v/>
      </c>
    </row>
    <row r="277" spans="23:23" x14ac:dyDescent="0.35">
      <c r="W277" t="str">
        <f t="shared" si="4"/>
        <v/>
      </c>
    </row>
    <row r="278" spans="23:23" x14ac:dyDescent="0.35">
      <c r="W278" t="str">
        <f t="shared" si="4"/>
        <v/>
      </c>
    </row>
    <row r="279" spans="23:23" x14ac:dyDescent="0.35">
      <c r="W279" t="str">
        <f t="shared" si="4"/>
        <v/>
      </c>
    </row>
    <row r="280" spans="23:23" x14ac:dyDescent="0.35">
      <c r="W280" t="str">
        <f t="shared" si="4"/>
        <v/>
      </c>
    </row>
    <row r="281" spans="23:23" x14ac:dyDescent="0.35">
      <c r="W281" t="str">
        <f t="shared" si="4"/>
        <v/>
      </c>
    </row>
    <row r="282" spans="23:23" x14ac:dyDescent="0.35">
      <c r="W282" t="str">
        <f t="shared" si="4"/>
        <v/>
      </c>
    </row>
    <row r="283" spans="23:23" x14ac:dyDescent="0.35">
      <c r="W283" t="str">
        <f t="shared" si="4"/>
        <v/>
      </c>
    </row>
    <row r="284" spans="23:23" x14ac:dyDescent="0.35">
      <c r="W284" t="str">
        <f t="shared" si="4"/>
        <v/>
      </c>
    </row>
    <row r="285" spans="23:23" x14ac:dyDescent="0.35">
      <c r="W285" t="str">
        <f t="shared" si="4"/>
        <v/>
      </c>
    </row>
    <row r="286" spans="23:23" x14ac:dyDescent="0.35">
      <c r="W286" t="str">
        <f t="shared" si="4"/>
        <v/>
      </c>
    </row>
    <row r="287" spans="23:23" x14ac:dyDescent="0.35">
      <c r="W287" t="str">
        <f t="shared" si="4"/>
        <v/>
      </c>
    </row>
    <row r="288" spans="23:23" x14ac:dyDescent="0.35">
      <c r="W288" t="str">
        <f t="shared" si="4"/>
        <v/>
      </c>
    </row>
    <row r="289" spans="23:23" x14ac:dyDescent="0.35">
      <c r="W289" t="str">
        <f t="shared" si="4"/>
        <v/>
      </c>
    </row>
    <row r="290" spans="23:23" x14ac:dyDescent="0.35">
      <c r="W290" t="str">
        <f t="shared" si="4"/>
        <v/>
      </c>
    </row>
    <row r="291" spans="23:23" x14ac:dyDescent="0.35">
      <c r="W291" t="str">
        <f t="shared" si="4"/>
        <v/>
      </c>
    </row>
    <row r="292" spans="23:23" x14ac:dyDescent="0.35">
      <c r="W292" t="str">
        <f t="shared" si="4"/>
        <v/>
      </c>
    </row>
    <row r="293" spans="23:23" x14ac:dyDescent="0.35">
      <c r="W293" t="str">
        <f t="shared" si="4"/>
        <v/>
      </c>
    </row>
    <row r="294" spans="23:23" x14ac:dyDescent="0.35">
      <c r="W294" t="str">
        <f t="shared" si="4"/>
        <v/>
      </c>
    </row>
    <row r="295" spans="23:23" x14ac:dyDescent="0.35">
      <c r="W295" t="str">
        <f t="shared" si="4"/>
        <v/>
      </c>
    </row>
    <row r="296" spans="23:23" x14ac:dyDescent="0.35">
      <c r="W296" t="str">
        <f t="shared" si="4"/>
        <v/>
      </c>
    </row>
    <row r="297" spans="23:23" x14ac:dyDescent="0.35">
      <c r="W297" t="str">
        <f t="shared" si="4"/>
        <v/>
      </c>
    </row>
    <row r="298" spans="23:23" x14ac:dyDescent="0.35">
      <c r="W298" t="str">
        <f t="shared" si="4"/>
        <v/>
      </c>
    </row>
    <row r="299" spans="23:23" x14ac:dyDescent="0.35">
      <c r="W299" t="str">
        <f t="shared" si="4"/>
        <v/>
      </c>
    </row>
    <row r="300" spans="23:23" x14ac:dyDescent="0.35">
      <c r="W300" t="str">
        <f t="shared" si="4"/>
        <v/>
      </c>
    </row>
    <row r="301" spans="23:23" x14ac:dyDescent="0.35">
      <c r="W301" t="str">
        <f t="shared" si="4"/>
        <v/>
      </c>
    </row>
    <row r="302" spans="23:23" x14ac:dyDescent="0.35">
      <c r="W302" t="str">
        <f t="shared" si="4"/>
        <v/>
      </c>
    </row>
    <row r="303" spans="23:23" x14ac:dyDescent="0.35">
      <c r="W303" t="str">
        <f t="shared" si="4"/>
        <v/>
      </c>
    </row>
    <row r="304" spans="23:23" x14ac:dyDescent="0.35">
      <c r="W304" t="str">
        <f t="shared" si="4"/>
        <v/>
      </c>
    </row>
    <row r="305" spans="23:23" x14ac:dyDescent="0.35">
      <c r="W305" t="str">
        <f t="shared" si="4"/>
        <v/>
      </c>
    </row>
    <row r="306" spans="23:23" x14ac:dyDescent="0.35">
      <c r="W306" t="str">
        <f t="shared" si="4"/>
        <v/>
      </c>
    </row>
    <row r="307" spans="23:23" x14ac:dyDescent="0.35">
      <c r="W307" t="str">
        <f t="shared" si="4"/>
        <v/>
      </c>
    </row>
    <row r="308" spans="23:23" x14ac:dyDescent="0.35">
      <c r="W308" t="str">
        <f t="shared" si="4"/>
        <v/>
      </c>
    </row>
    <row r="309" spans="23:23" x14ac:dyDescent="0.35">
      <c r="W309" t="str">
        <f t="shared" si="4"/>
        <v/>
      </c>
    </row>
    <row r="310" spans="23:23" x14ac:dyDescent="0.35">
      <c r="W310" t="str">
        <f t="shared" si="4"/>
        <v/>
      </c>
    </row>
    <row r="311" spans="23:23" x14ac:dyDescent="0.35">
      <c r="W311" t="str">
        <f t="shared" si="4"/>
        <v/>
      </c>
    </row>
    <row r="312" spans="23:23" x14ac:dyDescent="0.35">
      <c r="W312" t="str">
        <f t="shared" si="4"/>
        <v/>
      </c>
    </row>
    <row r="313" spans="23:23" x14ac:dyDescent="0.35">
      <c r="W313" t="str">
        <f t="shared" si="4"/>
        <v/>
      </c>
    </row>
    <row r="314" spans="23:23" x14ac:dyDescent="0.35">
      <c r="W314" t="str">
        <f t="shared" si="4"/>
        <v/>
      </c>
    </row>
    <row r="315" spans="23:23" x14ac:dyDescent="0.35">
      <c r="W315" t="str">
        <f t="shared" si="4"/>
        <v/>
      </c>
    </row>
    <row r="316" spans="23:23" x14ac:dyDescent="0.35">
      <c r="W316" t="str">
        <f t="shared" si="4"/>
        <v/>
      </c>
    </row>
    <row r="317" spans="23:23" x14ac:dyDescent="0.35">
      <c r="W317" t="str">
        <f t="shared" si="4"/>
        <v/>
      </c>
    </row>
    <row r="318" spans="23:23" x14ac:dyDescent="0.35">
      <c r="W318" t="str">
        <f t="shared" si="4"/>
        <v/>
      </c>
    </row>
    <row r="319" spans="23:23" x14ac:dyDescent="0.35">
      <c r="W319" t="str">
        <f t="shared" si="4"/>
        <v/>
      </c>
    </row>
    <row r="320" spans="23:23" x14ac:dyDescent="0.35">
      <c r="W320" t="str">
        <f t="shared" si="4"/>
        <v/>
      </c>
    </row>
    <row r="321" spans="23:23" x14ac:dyDescent="0.35">
      <c r="W321" t="str">
        <f t="shared" si="4"/>
        <v/>
      </c>
    </row>
    <row r="322" spans="23:23" x14ac:dyDescent="0.35">
      <c r="W322" t="str">
        <f t="shared" ref="W322:W385" si="5">IF(P322="","",YEAR(P322))</f>
        <v/>
      </c>
    </row>
    <row r="323" spans="23:23" x14ac:dyDescent="0.35">
      <c r="W323" t="str">
        <f t="shared" si="5"/>
        <v/>
      </c>
    </row>
    <row r="324" spans="23:23" x14ac:dyDescent="0.35">
      <c r="W324" t="str">
        <f t="shared" si="5"/>
        <v/>
      </c>
    </row>
    <row r="325" spans="23:23" x14ac:dyDescent="0.35">
      <c r="W325" t="str">
        <f t="shared" si="5"/>
        <v/>
      </c>
    </row>
    <row r="326" spans="23:23" x14ac:dyDescent="0.35">
      <c r="W326" t="str">
        <f t="shared" si="5"/>
        <v/>
      </c>
    </row>
    <row r="327" spans="23:23" x14ac:dyDescent="0.35">
      <c r="W327" t="str">
        <f t="shared" si="5"/>
        <v/>
      </c>
    </row>
    <row r="328" spans="23:23" x14ac:dyDescent="0.35">
      <c r="W328" t="str">
        <f t="shared" si="5"/>
        <v/>
      </c>
    </row>
    <row r="329" spans="23:23" x14ac:dyDescent="0.35">
      <c r="W329" t="str">
        <f t="shared" si="5"/>
        <v/>
      </c>
    </row>
    <row r="330" spans="23:23" x14ac:dyDescent="0.35">
      <c r="W330" t="str">
        <f t="shared" si="5"/>
        <v/>
      </c>
    </row>
    <row r="331" spans="23:23" x14ac:dyDescent="0.35">
      <c r="W331" t="str">
        <f t="shared" si="5"/>
        <v/>
      </c>
    </row>
    <row r="332" spans="23:23" x14ac:dyDescent="0.35">
      <c r="W332" t="str">
        <f t="shared" si="5"/>
        <v/>
      </c>
    </row>
    <row r="333" spans="23:23" x14ac:dyDescent="0.35">
      <c r="W333" t="str">
        <f t="shared" si="5"/>
        <v/>
      </c>
    </row>
    <row r="334" spans="23:23" x14ac:dyDescent="0.35">
      <c r="W334" t="str">
        <f t="shared" si="5"/>
        <v/>
      </c>
    </row>
    <row r="335" spans="23:23" x14ac:dyDescent="0.35">
      <c r="W335" t="str">
        <f t="shared" si="5"/>
        <v/>
      </c>
    </row>
    <row r="336" spans="23:23" x14ac:dyDescent="0.35">
      <c r="W336" t="str">
        <f t="shared" si="5"/>
        <v/>
      </c>
    </row>
    <row r="337" spans="23:23" x14ac:dyDescent="0.35">
      <c r="W337" t="str">
        <f t="shared" si="5"/>
        <v/>
      </c>
    </row>
    <row r="338" spans="23:23" x14ac:dyDescent="0.35">
      <c r="W338" t="str">
        <f t="shared" si="5"/>
        <v/>
      </c>
    </row>
    <row r="339" spans="23:23" x14ac:dyDescent="0.35">
      <c r="W339" t="str">
        <f t="shared" si="5"/>
        <v/>
      </c>
    </row>
    <row r="340" spans="23:23" x14ac:dyDescent="0.35">
      <c r="W340" t="str">
        <f t="shared" si="5"/>
        <v/>
      </c>
    </row>
    <row r="341" spans="23:23" x14ac:dyDescent="0.35">
      <c r="W341" t="str">
        <f t="shared" si="5"/>
        <v/>
      </c>
    </row>
    <row r="342" spans="23:23" x14ac:dyDescent="0.35">
      <c r="W342" t="str">
        <f t="shared" si="5"/>
        <v/>
      </c>
    </row>
    <row r="343" spans="23:23" x14ac:dyDescent="0.35">
      <c r="W343" t="str">
        <f t="shared" si="5"/>
        <v/>
      </c>
    </row>
    <row r="344" spans="23:23" x14ac:dyDescent="0.35">
      <c r="W344" t="str">
        <f t="shared" si="5"/>
        <v/>
      </c>
    </row>
    <row r="345" spans="23:23" x14ac:dyDescent="0.35">
      <c r="W345" t="str">
        <f t="shared" si="5"/>
        <v/>
      </c>
    </row>
    <row r="346" spans="23:23" x14ac:dyDescent="0.35">
      <c r="W346" t="str">
        <f t="shared" si="5"/>
        <v/>
      </c>
    </row>
    <row r="347" spans="23:23" x14ac:dyDescent="0.35">
      <c r="W347" t="str">
        <f t="shared" si="5"/>
        <v/>
      </c>
    </row>
    <row r="348" spans="23:23" x14ac:dyDescent="0.35">
      <c r="W348" t="str">
        <f t="shared" si="5"/>
        <v/>
      </c>
    </row>
    <row r="349" spans="23:23" x14ac:dyDescent="0.35">
      <c r="W349" t="str">
        <f t="shared" si="5"/>
        <v/>
      </c>
    </row>
    <row r="350" spans="23:23" x14ac:dyDescent="0.35">
      <c r="W350" t="str">
        <f t="shared" si="5"/>
        <v/>
      </c>
    </row>
    <row r="351" spans="23:23" x14ac:dyDescent="0.35">
      <c r="W351" t="str">
        <f t="shared" si="5"/>
        <v/>
      </c>
    </row>
    <row r="352" spans="23:23" x14ac:dyDescent="0.35">
      <c r="W352" t="str">
        <f t="shared" si="5"/>
        <v/>
      </c>
    </row>
    <row r="353" spans="23:23" x14ac:dyDescent="0.35">
      <c r="W353" t="str">
        <f t="shared" si="5"/>
        <v/>
      </c>
    </row>
    <row r="354" spans="23:23" x14ac:dyDescent="0.35">
      <c r="W354" t="str">
        <f t="shared" si="5"/>
        <v/>
      </c>
    </row>
    <row r="355" spans="23:23" x14ac:dyDescent="0.35">
      <c r="W355" t="str">
        <f t="shared" si="5"/>
        <v/>
      </c>
    </row>
    <row r="356" spans="23:23" x14ac:dyDescent="0.35">
      <c r="W356" t="str">
        <f t="shared" si="5"/>
        <v/>
      </c>
    </row>
    <row r="357" spans="23:23" x14ac:dyDescent="0.35">
      <c r="W357" t="str">
        <f t="shared" si="5"/>
        <v/>
      </c>
    </row>
    <row r="358" spans="23:23" x14ac:dyDescent="0.35">
      <c r="W358" t="str">
        <f t="shared" si="5"/>
        <v/>
      </c>
    </row>
    <row r="359" spans="23:23" x14ac:dyDescent="0.35">
      <c r="W359" t="str">
        <f t="shared" si="5"/>
        <v/>
      </c>
    </row>
    <row r="360" spans="23:23" x14ac:dyDescent="0.35">
      <c r="W360" t="str">
        <f t="shared" si="5"/>
        <v/>
      </c>
    </row>
    <row r="361" spans="23:23" x14ac:dyDescent="0.35">
      <c r="W361" t="str">
        <f t="shared" si="5"/>
        <v/>
      </c>
    </row>
    <row r="362" spans="23:23" x14ac:dyDescent="0.35">
      <c r="W362" t="str">
        <f t="shared" si="5"/>
        <v/>
      </c>
    </row>
    <row r="363" spans="23:23" x14ac:dyDescent="0.35">
      <c r="W363" t="str">
        <f t="shared" si="5"/>
        <v/>
      </c>
    </row>
    <row r="364" spans="23:23" x14ac:dyDescent="0.35">
      <c r="W364" t="str">
        <f t="shared" si="5"/>
        <v/>
      </c>
    </row>
    <row r="365" spans="23:23" x14ac:dyDescent="0.35">
      <c r="W365" t="str">
        <f t="shared" si="5"/>
        <v/>
      </c>
    </row>
    <row r="366" spans="23:23" x14ac:dyDescent="0.35">
      <c r="W366" t="str">
        <f t="shared" si="5"/>
        <v/>
      </c>
    </row>
    <row r="367" spans="23:23" x14ac:dyDescent="0.35">
      <c r="W367" t="str">
        <f t="shared" si="5"/>
        <v/>
      </c>
    </row>
    <row r="368" spans="23:23" x14ac:dyDescent="0.35">
      <c r="W368" t="str">
        <f t="shared" si="5"/>
        <v/>
      </c>
    </row>
    <row r="369" spans="23:23" x14ac:dyDescent="0.35">
      <c r="W369" t="str">
        <f t="shared" si="5"/>
        <v/>
      </c>
    </row>
    <row r="370" spans="23:23" x14ac:dyDescent="0.35">
      <c r="W370" t="str">
        <f t="shared" si="5"/>
        <v/>
      </c>
    </row>
    <row r="371" spans="23:23" x14ac:dyDescent="0.35">
      <c r="W371" t="str">
        <f t="shared" si="5"/>
        <v/>
      </c>
    </row>
    <row r="372" spans="23:23" x14ac:dyDescent="0.35">
      <c r="W372" t="str">
        <f t="shared" si="5"/>
        <v/>
      </c>
    </row>
    <row r="373" spans="23:23" x14ac:dyDescent="0.35">
      <c r="W373" t="str">
        <f t="shared" si="5"/>
        <v/>
      </c>
    </row>
    <row r="374" spans="23:23" x14ac:dyDescent="0.35">
      <c r="W374" t="str">
        <f t="shared" si="5"/>
        <v/>
      </c>
    </row>
    <row r="375" spans="23:23" x14ac:dyDescent="0.35">
      <c r="W375" t="str">
        <f t="shared" si="5"/>
        <v/>
      </c>
    </row>
    <row r="376" spans="23:23" x14ac:dyDescent="0.35">
      <c r="W376" t="str">
        <f t="shared" si="5"/>
        <v/>
      </c>
    </row>
    <row r="377" spans="23:23" x14ac:dyDescent="0.35">
      <c r="W377" t="str">
        <f t="shared" si="5"/>
        <v/>
      </c>
    </row>
    <row r="378" spans="23:23" x14ac:dyDescent="0.35">
      <c r="W378" t="str">
        <f t="shared" si="5"/>
        <v/>
      </c>
    </row>
    <row r="379" spans="23:23" x14ac:dyDescent="0.35">
      <c r="W379" t="str">
        <f t="shared" si="5"/>
        <v/>
      </c>
    </row>
    <row r="380" spans="23:23" x14ac:dyDescent="0.35">
      <c r="W380" t="str">
        <f t="shared" si="5"/>
        <v/>
      </c>
    </row>
    <row r="381" spans="23:23" x14ac:dyDescent="0.35">
      <c r="W381" t="str">
        <f t="shared" si="5"/>
        <v/>
      </c>
    </row>
    <row r="382" spans="23:23" x14ac:dyDescent="0.35">
      <c r="W382" t="str">
        <f t="shared" si="5"/>
        <v/>
      </c>
    </row>
    <row r="383" spans="23:23" x14ac:dyDescent="0.35">
      <c r="W383" t="str">
        <f t="shared" si="5"/>
        <v/>
      </c>
    </row>
    <row r="384" spans="23:23" x14ac:dyDescent="0.35">
      <c r="W384" t="str">
        <f t="shared" si="5"/>
        <v/>
      </c>
    </row>
    <row r="385" spans="23:23" x14ac:dyDescent="0.35">
      <c r="W385" t="str">
        <f t="shared" si="5"/>
        <v/>
      </c>
    </row>
    <row r="386" spans="23:23" x14ac:dyDescent="0.35">
      <c r="W386" t="str">
        <f t="shared" ref="W386:W449" si="6">IF(P386="","",YEAR(P386))</f>
        <v/>
      </c>
    </row>
    <row r="387" spans="23:23" x14ac:dyDescent="0.35">
      <c r="W387" t="str">
        <f t="shared" si="6"/>
        <v/>
      </c>
    </row>
    <row r="388" spans="23:23" x14ac:dyDescent="0.35">
      <c r="W388" t="str">
        <f t="shared" si="6"/>
        <v/>
      </c>
    </row>
    <row r="389" spans="23:23" x14ac:dyDescent="0.35">
      <c r="W389" t="str">
        <f t="shared" si="6"/>
        <v/>
      </c>
    </row>
    <row r="390" spans="23:23" x14ac:dyDescent="0.35">
      <c r="W390" t="str">
        <f t="shared" si="6"/>
        <v/>
      </c>
    </row>
    <row r="391" spans="23:23" x14ac:dyDescent="0.35">
      <c r="W391" t="str">
        <f t="shared" si="6"/>
        <v/>
      </c>
    </row>
    <row r="392" spans="23:23" x14ac:dyDescent="0.35">
      <c r="W392" t="str">
        <f t="shared" si="6"/>
        <v/>
      </c>
    </row>
    <row r="393" spans="23:23" x14ac:dyDescent="0.35">
      <c r="W393" t="str">
        <f t="shared" si="6"/>
        <v/>
      </c>
    </row>
    <row r="394" spans="23:23" x14ac:dyDescent="0.35">
      <c r="W394" t="str">
        <f t="shared" si="6"/>
        <v/>
      </c>
    </row>
    <row r="395" spans="23:23" x14ac:dyDescent="0.35">
      <c r="W395" t="str">
        <f t="shared" si="6"/>
        <v/>
      </c>
    </row>
    <row r="396" spans="23:23" x14ac:dyDescent="0.35">
      <c r="W396" t="str">
        <f t="shared" si="6"/>
        <v/>
      </c>
    </row>
    <row r="397" spans="23:23" x14ac:dyDescent="0.35">
      <c r="W397" t="str">
        <f t="shared" si="6"/>
        <v/>
      </c>
    </row>
    <row r="398" spans="23:23" x14ac:dyDescent="0.35">
      <c r="W398" t="str">
        <f t="shared" si="6"/>
        <v/>
      </c>
    </row>
    <row r="399" spans="23:23" x14ac:dyDescent="0.35">
      <c r="W399" t="str">
        <f t="shared" si="6"/>
        <v/>
      </c>
    </row>
    <row r="400" spans="23:23" x14ac:dyDescent="0.35">
      <c r="W400" t="str">
        <f t="shared" si="6"/>
        <v/>
      </c>
    </row>
    <row r="401" spans="23:23" x14ac:dyDescent="0.35">
      <c r="W401" t="str">
        <f t="shared" si="6"/>
        <v/>
      </c>
    </row>
    <row r="402" spans="23:23" x14ac:dyDescent="0.35">
      <c r="W402" t="str">
        <f t="shared" si="6"/>
        <v/>
      </c>
    </row>
    <row r="403" spans="23:23" x14ac:dyDescent="0.35">
      <c r="W403" t="str">
        <f t="shared" si="6"/>
        <v/>
      </c>
    </row>
    <row r="404" spans="23:23" x14ac:dyDescent="0.35">
      <c r="W404" t="str">
        <f t="shared" si="6"/>
        <v/>
      </c>
    </row>
    <row r="405" spans="23:23" x14ac:dyDescent="0.35">
      <c r="W405" t="str">
        <f t="shared" si="6"/>
        <v/>
      </c>
    </row>
    <row r="406" spans="23:23" x14ac:dyDescent="0.35">
      <c r="W406" t="str">
        <f t="shared" si="6"/>
        <v/>
      </c>
    </row>
    <row r="407" spans="23:23" x14ac:dyDescent="0.35">
      <c r="W407" t="str">
        <f t="shared" si="6"/>
        <v/>
      </c>
    </row>
    <row r="408" spans="23:23" x14ac:dyDescent="0.35">
      <c r="W408" t="str">
        <f t="shared" si="6"/>
        <v/>
      </c>
    </row>
    <row r="409" spans="23:23" x14ac:dyDescent="0.35">
      <c r="W409" t="str">
        <f t="shared" si="6"/>
        <v/>
      </c>
    </row>
    <row r="410" spans="23:23" x14ac:dyDescent="0.35">
      <c r="W410" t="str">
        <f t="shared" si="6"/>
        <v/>
      </c>
    </row>
    <row r="411" spans="23:23" x14ac:dyDescent="0.35">
      <c r="W411" t="str">
        <f t="shared" si="6"/>
        <v/>
      </c>
    </row>
    <row r="412" spans="23:23" x14ac:dyDescent="0.35">
      <c r="W412" t="str">
        <f t="shared" si="6"/>
        <v/>
      </c>
    </row>
    <row r="413" spans="23:23" x14ac:dyDescent="0.35">
      <c r="W413" t="str">
        <f t="shared" si="6"/>
        <v/>
      </c>
    </row>
    <row r="414" spans="23:23" x14ac:dyDescent="0.35">
      <c r="W414" t="str">
        <f t="shared" si="6"/>
        <v/>
      </c>
    </row>
    <row r="415" spans="23:23" x14ac:dyDescent="0.35">
      <c r="W415" t="str">
        <f t="shared" si="6"/>
        <v/>
      </c>
    </row>
    <row r="416" spans="23:23" x14ac:dyDescent="0.35">
      <c r="W416" t="str">
        <f t="shared" si="6"/>
        <v/>
      </c>
    </row>
    <row r="417" spans="23:23" x14ac:dyDescent="0.35">
      <c r="W417" t="str">
        <f t="shared" si="6"/>
        <v/>
      </c>
    </row>
    <row r="418" spans="23:23" x14ac:dyDescent="0.35">
      <c r="W418" t="str">
        <f t="shared" si="6"/>
        <v/>
      </c>
    </row>
    <row r="419" spans="23:23" x14ac:dyDescent="0.35">
      <c r="W419" t="str">
        <f t="shared" si="6"/>
        <v/>
      </c>
    </row>
    <row r="420" spans="23:23" x14ac:dyDescent="0.35">
      <c r="W420" t="str">
        <f t="shared" si="6"/>
        <v/>
      </c>
    </row>
    <row r="421" spans="23:23" x14ac:dyDescent="0.35">
      <c r="W421" t="str">
        <f t="shared" si="6"/>
        <v/>
      </c>
    </row>
    <row r="422" spans="23:23" x14ac:dyDescent="0.35">
      <c r="W422" t="str">
        <f t="shared" si="6"/>
        <v/>
      </c>
    </row>
    <row r="423" spans="23:23" x14ac:dyDescent="0.35">
      <c r="W423" t="str">
        <f t="shared" si="6"/>
        <v/>
      </c>
    </row>
    <row r="424" spans="23:23" x14ac:dyDescent="0.35">
      <c r="W424" t="str">
        <f t="shared" si="6"/>
        <v/>
      </c>
    </row>
    <row r="425" spans="23:23" x14ac:dyDescent="0.35">
      <c r="W425" t="str">
        <f t="shared" si="6"/>
        <v/>
      </c>
    </row>
    <row r="426" spans="23:23" x14ac:dyDescent="0.35">
      <c r="W426" t="str">
        <f t="shared" si="6"/>
        <v/>
      </c>
    </row>
    <row r="427" spans="23:23" x14ac:dyDescent="0.35">
      <c r="W427" t="str">
        <f t="shared" si="6"/>
        <v/>
      </c>
    </row>
    <row r="428" spans="23:23" x14ac:dyDescent="0.35">
      <c r="W428" t="str">
        <f t="shared" si="6"/>
        <v/>
      </c>
    </row>
    <row r="429" spans="23:23" x14ac:dyDescent="0.35">
      <c r="W429" t="str">
        <f t="shared" si="6"/>
        <v/>
      </c>
    </row>
    <row r="430" spans="23:23" x14ac:dyDescent="0.35">
      <c r="W430" t="str">
        <f t="shared" si="6"/>
        <v/>
      </c>
    </row>
    <row r="431" spans="23:23" x14ac:dyDescent="0.35">
      <c r="W431" t="str">
        <f t="shared" si="6"/>
        <v/>
      </c>
    </row>
    <row r="432" spans="23:23" x14ac:dyDescent="0.35">
      <c r="W432" t="str">
        <f t="shared" si="6"/>
        <v/>
      </c>
    </row>
    <row r="433" spans="23:23" x14ac:dyDescent="0.35">
      <c r="W433" t="str">
        <f t="shared" si="6"/>
        <v/>
      </c>
    </row>
    <row r="434" spans="23:23" x14ac:dyDescent="0.35">
      <c r="W434" t="str">
        <f t="shared" si="6"/>
        <v/>
      </c>
    </row>
    <row r="435" spans="23:23" x14ac:dyDescent="0.35">
      <c r="W435" t="str">
        <f t="shared" si="6"/>
        <v/>
      </c>
    </row>
    <row r="436" spans="23:23" x14ac:dyDescent="0.35">
      <c r="W436" t="str">
        <f t="shared" si="6"/>
        <v/>
      </c>
    </row>
    <row r="437" spans="23:23" x14ac:dyDescent="0.35">
      <c r="W437" t="str">
        <f t="shared" si="6"/>
        <v/>
      </c>
    </row>
    <row r="438" spans="23:23" x14ac:dyDescent="0.35">
      <c r="W438" t="str">
        <f t="shared" si="6"/>
        <v/>
      </c>
    </row>
    <row r="439" spans="23:23" x14ac:dyDescent="0.35">
      <c r="W439" t="str">
        <f t="shared" si="6"/>
        <v/>
      </c>
    </row>
    <row r="440" spans="23:23" x14ac:dyDescent="0.35">
      <c r="W440" t="str">
        <f t="shared" si="6"/>
        <v/>
      </c>
    </row>
    <row r="441" spans="23:23" x14ac:dyDescent="0.35">
      <c r="W441" t="str">
        <f t="shared" si="6"/>
        <v/>
      </c>
    </row>
    <row r="442" spans="23:23" x14ac:dyDescent="0.35">
      <c r="W442" t="str">
        <f t="shared" si="6"/>
        <v/>
      </c>
    </row>
    <row r="443" spans="23:23" x14ac:dyDescent="0.35">
      <c r="W443" t="str">
        <f t="shared" si="6"/>
        <v/>
      </c>
    </row>
    <row r="444" spans="23:23" x14ac:dyDescent="0.35">
      <c r="W444" t="str">
        <f t="shared" si="6"/>
        <v/>
      </c>
    </row>
    <row r="445" spans="23:23" x14ac:dyDescent="0.35">
      <c r="W445" t="str">
        <f t="shared" si="6"/>
        <v/>
      </c>
    </row>
    <row r="446" spans="23:23" x14ac:dyDescent="0.35">
      <c r="W446" t="str">
        <f t="shared" si="6"/>
        <v/>
      </c>
    </row>
    <row r="447" spans="23:23" x14ac:dyDescent="0.35">
      <c r="W447" t="str">
        <f t="shared" si="6"/>
        <v/>
      </c>
    </row>
    <row r="448" spans="23:23" x14ac:dyDescent="0.35">
      <c r="W448" t="str">
        <f t="shared" si="6"/>
        <v/>
      </c>
    </row>
    <row r="449" spans="23:23" x14ac:dyDescent="0.35">
      <c r="W449" t="str">
        <f t="shared" si="6"/>
        <v/>
      </c>
    </row>
    <row r="450" spans="23:23" x14ac:dyDescent="0.35">
      <c r="W450" t="str">
        <f t="shared" ref="W450:W513" si="7">IF(P450="","",YEAR(P450))</f>
        <v/>
      </c>
    </row>
    <row r="451" spans="23:23" x14ac:dyDescent="0.35">
      <c r="W451" t="str">
        <f t="shared" si="7"/>
        <v/>
      </c>
    </row>
    <row r="452" spans="23:23" x14ac:dyDescent="0.35">
      <c r="W452" t="str">
        <f t="shared" si="7"/>
        <v/>
      </c>
    </row>
    <row r="453" spans="23:23" x14ac:dyDescent="0.35">
      <c r="W453" t="str">
        <f t="shared" si="7"/>
        <v/>
      </c>
    </row>
    <row r="454" spans="23:23" x14ac:dyDescent="0.35">
      <c r="W454" t="str">
        <f t="shared" si="7"/>
        <v/>
      </c>
    </row>
    <row r="455" spans="23:23" x14ac:dyDescent="0.35">
      <c r="W455" t="str">
        <f t="shared" si="7"/>
        <v/>
      </c>
    </row>
    <row r="456" spans="23:23" x14ac:dyDescent="0.35">
      <c r="W456" t="str">
        <f t="shared" si="7"/>
        <v/>
      </c>
    </row>
    <row r="457" spans="23:23" x14ac:dyDescent="0.35">
      <c r="W457" t="str">
        <f t="shared" si="7"/>
        <v/>
      </c>
    </row>
    <row r="458" spans="23:23" x14ac:dyDescent="0.35">
      <c r="W458" t="str">
        <f t="shared" si="7"/>
        <v/>
      </c>
    </row>
    <row r="459" spans="23:23" x14ac:dyDescent="0.35">
      <c r="W459" t="str">
        <f t="shared" si="7"/>
        <v/>
      </c>
    </row>
    <row r="460" spans="23:23" x14ac:dyDescent="0.35">
      <c r="W460" t="str">
        <f t="shared" si="7"/>
        <v/>
      </c>
    </row>
    <row r="461" spans="23:23" x14ac:dyDescent="0.35">
      <c r="W461" t="str">
        <f t="shared" si="7"/>
        <v/>
      </c>
    </row>
    <row r="462" spans="23:23" x14ac:dyDescent="0.35">
      <c r="W462" t="str">
        <f t="shared" si="7"/>
        <v/>
      </c>
    </row>
    <row r="463" spans="23:23" x14ac:dyDescent="0.35">
      <c r="W463" t="str">
        <f t="shared" si="7"/>
        <v/>
      </c>
    </row>
    <row r="464" spans="23:23" x14ac:dyDescent="0.35">
      <c r="W464" t="str">
        <f t="shared" si="7"/>
        <v/>
      </c>
    </row>
    <row r="465" spans="23:23" x14ac:dyDescent="0.35">
      <c r="W465" t="str">
        <f t="shared" si="7"/>
        <v/>
      </c>
    </row>
    <row r="466" spans="23:23" x14ac:dyDescent="0.35">
      <c r="W466" t="str">
        <f t="shared" si="7"/>
        <v/>
      </c>
    </row>
    <row r="467" spans="23:23" x14ac:dyDescent="0.35">
      <c r="W467" t="str">
        <f t="shared" si="7"/>
        <v/>
      </c>
    </row>
    <row r="468" spans="23:23" x14ac:dyDescent="0.35">
      <c r="W468" t="str">
        <f t="shared" si="7"/>
        <v/>
      </c>
    </row>
    <row r="469" spans="23:23" x14ac:dyDescent="0.35">
      <c r="W469" t="str">
        <f t="shared" si="7"/>
        <v/>
      </c>
    </row>
    <row r="470" spans="23:23" x14ac:dyDescent="0.35">
      <c r="W470" t="str">
        <f t="shared" si="7"/>
        <v/>
      </c>
    </row>
    <row r="471" spans="23:23" x14ac:dyDescent="0.35">
      <c r="W471" t="str">
        <f t="shared" si="7"/>
        <v/>
      </c>
    </row>
    <row r="472" spans="23:23" x14ac:dyDescent="0.35">
      <c r="W472" t="str">
        <f t="shared" si="7"/>
        <v/>
      </c>
    </row>
    <row r="473" spans="23:23" x14ac:dyDescent="0.35">
      <c r="W473" t="str">
        <f t="shared" si="7"/>
        <v/>
      </c>
    </row>
    <row r="474" spans="23:23" x14ac:dyDescent="0.35">
      <c r="W474" t="str">
        <f t="shared" si="7"/>
        <v/>
      </c>
    </row>
    <row r="475" spans="23:23" x14ac:dyDescent="0.35">
      <c r="W475" t="str">
        <f t="shared" si="7"/>
        <v/>
      </c>
    </row>
    <row r="476" spans="23:23" x14ac:dyDescent="0.35">
      <c r="W476" t="str">
        <f t="shared" si="7"/>
        <v/>
      </c>
    </row>
    <row r="477" spans="23:23" x14ac:dyDescent="0.35">
      <c r="W477" t="str">
        <f t="shared" si="7"/>
        <v/>
      </c>
    </row>
    <row r="478" spans="23:23" x14ac:dyDescent="0.35">
      <c r="W478" t="str">
        <f t="shared" si="7"/>
        <v/>
      </c>
    </row>
    <row r="479" spans="23:23" x14ac:dyDescent="0.35">
      <c r="W479" t="str">
        <f t="shared" si="7"/>
        <v/>
      </c>
    </row>
    <row r="480" spans="23:23" x14ac:dyDescent="0.35">
      <c r="W480" t="str">
        <f t="shared" si="7"/>
        <v/>
      </c>
    </row>
    <row r="481" spans="23:23" x14ac:dyDescent="0.35">
      <c r="W481" t="str">
        <f t="shared" si="7"/>
        <v/>
      </c>
    </row>
    <row r="482" spans="23:23" x14ac:dyDescent="0.35">
      <c r="W482" t="str">
        <f t="shared" si="7"/>
        <v/>
      </c>
    </row>
    <row r="483" spans="23:23" x14ac:dyDescent="0.35">
      <c r="W483" t="str">
        <f t="shared" si="7"/>
        <v/>
      </c>
    </row>
    <row r="484" spans="23:23" x14ac:dyDescent="0.35">
      <c r="W484" t="str">
        <f t="shared" si="7"/>
        <v/>
      </c>
    </row>
    <row r="485" spans="23:23" x14ac:dyDescent="0.35">
      <c r="W485" t="str">
        <f t="shared" si="7"/>
        <v/>
      </c>
    </row>
    <row r="486" spans="23:23" x14ac:dyDescent="0.35">
      <c r="W486" t="str">
        <f t="shared" si="7"/>
        <v/>
      </c>
    </row>
    <row r="487" spans="23:23" x14ac:dyDescent="0.35">
      <c r="W487" t="str">
        <f t="shared" si="7"/>
        <v/>
      </c>
    </row>
    <row r="488" spans="23:23" x14ac:dyDescent="0.35">
      <c r="W488" t="str">
        <f t="shared" si="7"/>
        <v/>
      </c>
    </row>
    <row r="489" spans="23:23" x14ac:dyDescent="0.35">
      <c r="W489" t="str">
        <f t="shared" si="7"/>
        <v/>
      </c>
    </row>
    <row r="490" spans="23:23" x14ac:dyDescent="0.35">
      <c r="W490" t="str">
        <f t="shared" si="7"/>
        <v/>
      </c>
    </row>
    <row r="491" spans="23:23" x14ac:dyDescent="0.35">
      <c r="W491" t="str">
        <f t="shared" si="7"/>
        <v/>
      </c>
    </row>
    <row r="492" spans="23:23" x14ac:dyDescent="0.35">
      <c r="W492" t="str">
        <f t="shared" si="7"/>
        <v/>
      </c>
    </row>
    <row r="493" spans="23:23" x14ac:dyDescent="0.35">
      <c r="W493" t="str">
        <f t="shared" si="7"/>
        <v/>
      </c>
    </row>
    <row r="494" spans="23:23" x14ac:dyDescent="0.35">
      <c r="W494" t="str">
        <f t="shared" si="7"/>
        <v/>
      </c>
    </row>
    <row r="495" spans="23:23" x14ac:dyDescent="0.35">
      <c r="W495" t="str">
        <f t="shared" si="7"/>
        <v/>
      </c>
    </row>
    <row r="496" spans="23:23" x14ac:dyDescent="0.35">
      <c r="W496" t="str">
        <f t="shared" si="7"/>
        <v/>
      </c>
    </row>
    <row r="497" spans="23:23" x14ac:dyDescent="0.35">
      <c r="W497" t="str">
        <f t="shared" si="7"/>
        <v/>
      </c>
    </row>
    <row r="498" spans="23:23" x14ac:dyDescent="0.35">
      <c r="W498" t="str">
        <f t="shared" si="7"/>
        <v/>
      </c>
    </row>
    <row r="499" spans="23:23" x14ac:dyDescent="0.35">
      <c r="W499" t="str">
        <f t="shared" si="7"/>
        <v/>
      </c>
    </row>
    <row r="500" spans="23:23" x14ac:dyDescent="0.35">
      <c r="W500" t="str">
        <f t="shared" si="7"/>
        <v/>
      </c>
    </row>
    <row r="501" spans="23:23" x14ac:dyDescent="0.35">
      <c r="W501" t="str">
        <f t="shared" si="7"/>
        <v/>
      </c>
    </row>
    <row r="502" spans="23:23" x14ac:dyDescent="0.35">
      <c r="W502" t="str">
        <f t="shared" si="7"/>
        <v/>
      </c>
    </row>
    <row r="503" spans="23:23" x14ac:dyDescent="0.35">
      <c r="W503" t="str">
        <f t="shared" si="7"/>
        <v/>
      </c>
    </row>
    <row r="504" spans="23:23" x14ac:dyDescent="0.35">
      <c r="W504" t="str">
        <f t="shared" si="7"/>
        <v/>
      </c>
    </row>
    <row r="505" spans="23:23" x14ac:dyDescent="0.35">
      <c r="W505" t="str">
        <f t="shared" si="7"/>
        <v/>
      </c>
    </row>
    <row r="506" spans="23:23" x14ac:dyDescent="0.35">
      <c r="W506" t="str">
        <f t="shared" si="7"/>
        <v/>
      </c>
    </row>
    <row r="507" spans="23:23" x14ac:dyDescent="0.35">
      <c r="W507" t="str">
        <f t="shared" si="7"/>
        <v/>
      </c>
    </row>
    <row r="508" spans="23:23" x14ac:dyDescent="0.35">
      <c r="W508" t="str">
        <f t="shared" si="7"/>
        <v/>
      </c>
    </row>
    <row r="509" spans="23:23" x14ac:dyDescent="0.35">
      <c r="W509" t="str">
        <f t="shared" si="7"/>
        <v/>
      </c>
    </row>
    <row r="510" spans="23:23" x14ac:dyDescent="0.35">
      <c r="W510" t="str">
        <f t="shared" si="7"/>
        <v/>
      </c>
    </row>
    <row r="511" spans="23:23" x14ac:dyDescent="0.35">
      <c r="W511" t="str">
        <f t="shared" si="7"/>
        <v/>
      </c>
    </row>
    <row r="512" spans="23:23" x14ac:dyDescent="0.35">
      <c r="W512" t="str">
        <f t="shared" si="7"/>
        <v/>
      </c>
    </row>
    <row r="513" spans="23:23" x14ac:dyDescent="0.35">
      <c r="W513" t="str">
        <f t="shared" si="7"/>
        <v/>
      </c>
    </row>
    <row r="514" spans="23:23" x14ac:dyDescent="0.35">
      <c r="W514" t="str">
        <f t="shared" ref="W514:W577" si="8">IF(P514="","",YEAR(P514))</f>
        <v/>
      </c>
    </row>
    <row r="515" spans="23:23" x14ac:dyDescent="0.35">
      <c r="W515" t="str">
        <f t="shared" si="8"/>
        <v/>
      </c>
    </row>
    <row r="516" spans="23:23" x14ac:dyDescent="0.35">
      <c r="W516" t="str">
        <f t="shared" si="8"/>
        <v/>
      </c>
    </row>
    <row r="517" spans="23:23" x14ac:dyDescent="0.35">
      <c r="W517" t="str">
        <f t="shared" si="8"/>
        <v/>
      </c>
    </row>
    <row r="518" spans="23:23" x14ac:dyDescent="0.35">
      <c r="W518" t="str">
        <f t="shared" si="8"/>
        <v/>
      </c>
    </row>
    <row r="519" spans="23:23" x14ac:dyDescent="0.35">
      <c r="W519" t="str">
        <f t="shared" si="8"/>
        <v/>
      </c>
    </row>
    <row r="520" spans="23:23" x14ac:dyDescent="0.35">
      <c r="W520" t="str">
        <f t="shared" si="8"/>
        <v/>
      </c>
    </row>
    <row r="521" spans="23:23" x14ac:dyDescent="0.35">
      <c r="W521" t="str">
        <f t="shared" si="8"/>
        <v/>
      </c>
    </row>
    <row r="522" spans="23:23" x14ac:dyDescent="0.35">
      <c r="W522" t="str">
        <f t="shared" si="8"/>
        <v/>
      </c>
    </row>
    <row r="523" spans="23:23" x14ac:dyDescent="0.35">
      <c r="W523" t="str">
        <f t="shared" si="8"/>
        <v/>
      </c>
    </row>
    <row r="524" spans="23:23" x14ac:dyDescent="0.35">
      <c r="W524" t="str">
        <f t="shared" si="8"/>
        <v/>
      </c>
    </row>
    <row r="525" spans="23:23" x14ac:dyDescent="0.35">
      <c r="W525" t="str">
        <f t="shared" si="8"/>
        <v/>
      </c>
    </row>
    <row r="526" spans="23:23" x14ac:dyDescent="0.35">
      <c r="W526" t="str">
        <f t="shared" si="8"/>
        <v/>
      </c>
    </row>
    <row r="527" spans="23:23" x14ac:dyDescent="0.35">
      <c r="W527" t="str">
        <f t="shared" si="8"/>
        <v/>
      </c>
    </row>
    <row r="528" spans="23:23" x14ac:dyDescent="0.35">
      <c r="W528" t="str">
        <f t="shared" si="8"/>
        <v/>
      </c>
    </row>
    <row r="529" spans="23:23" x14ac:dyDescent="0.35">
      <c r="W529" t="str">
        <f t="shared" si="8"/>
        <v/>
      </c>
    </row>
    <row r="530" spans="23:23" x14ac:dyDescent="0.35">
      <c r="W530" t="str">
        <f t="shared" si="8"/>
        <v/>
      </c>
    </row>
    <row r="531" spans="23:23" x14ac:dyDescent="0.35">
      <c r="W531" t="str">
        <f t="shared" si="8"/>
        <v/>
      </c>
    </row>
    <row r="532" spans="23:23" x14ac:dyDescent="0.35">
      <c r="W532" t="str">
        <f t="shared" si="8"/>
        <v/>
      </c>
    </row>
    <row r="533" spans="23:23" x14ac:dyDescent="0.35">
      <c r="W533" t="str">
        <f t="shared" si="8"/>
        <v/>
      </c>
    </row>
    <row r="534" spans="23:23" x14ac:dyDescent="0.35">
      <c r="W534" t="str">
        <f t="shared" si="8"/>
        <v/>
      </c>
    </row>
    <row r="535" spans="23:23" x14ac:dyDescent="0.35">
      <c r="W535" t="str">
        <f t="shared" si="8"/>
        <v/>
      </c>
    </row>
    <row r="536" spans="23:23" x14ac:dyDescent="0.35">
      <c r="W536" t="str">
        <f t="shared" si="8"/>
        <v/>
      </c>
    </row>
    <row r="537" spans="23:23" x14ac:dyDescent="0.35">
      <c r="W537" t="str">
        <f t="shared" si="8"/>
        <v/>
      </c>
    </row>
    <row r="538" spans="23:23" x14ac:dyDescent="0.35">
      <c r="W538" t="str">
        <f t="shared" si="8"/>
        <v/>
      </c>
    </row>
    <row r="539" spans="23:23" x14ac:dyDescent="0.35">
      <c r="W539" t="str">
        <f t="shared" si="8"/>
        <v/>
      </c>
    </row>
    <row r="540" spans="23:23" x14ac:dyDescent="0.35">
      <c r="W540" t="str">
        <f t="shared" si="8"/>
        <v/>
      </c>
    </row>
    <row r="541" spans="23:23" x14ac:dyDescent="0.35">
      <c r="W541" t="str">
        <f t="shared" si="8"/>
        <v/>
      </c>
    </row>
    <row r="542" spans="23:23" x14ac:dyDescent="0.35">
      <c r="W542" t="str">
        <f t="shared" si="8"/>
        <v/>
      </c>
    </row>
    <row r="543" spans="23:23" x14ac:dyDescent="0.35">
      <c r="W543" t="str">
        <f t="shared" si="8"/>
        <v/>
      </c>
    </row>
    <row r="544" spans="23:23" x14ac:dyDescent="0.35">
      <c r="W544" t="str">
        <f t="shared" si="8"/>
        <v/>
      </c>
    </row>
    <row r="545" spans="23:23" x14ac:dyDescent="0.35">
      <c r="W545" t="str">
        <f t="shared" si="8"/>
        <v/>
      </c>
    </row>
    <row r="546" spans="23:23" x14ac:dyDescent="0.35">
      <c r="W546" t="str">
        <f t="shared" si="8"/>
        <v/>
      </c>
    </row>
    <row r="547" spans="23:23" x14ac:dyDescent="0.35">
      <c r="W547" t="str">
        <f t="shared" si="8"/>
        <v/>
      </c>
    </row>
    <row r="548" spans="23:23" x14ac:dyDescent="0.35">
      <c r="W548" t="str">
        <f t="shared" si="8"/>
        <v/>
      </c>
    </row>
    <row r="549" spans="23:23" x14ac:dyDescent="0.35">
      <c r="W549" t="str">
        <f t="shared" si="8"/>
        <v/>
      </c>
    </row>
    <row r="550" spans="23:23" x14ac:dyDescent="0.35">
      <c r="W550" t="str">
        <f t="shared" si="8"/>
        <v/>
      </c>
    </row>
    <row r="551" spans="23:23" x14ac:dyDescent="0.35">
      <c r="W551" t="str">
        <f t="shared" si="8"/>
        <v/>
      </c>
    </row>
    <row r="552" spans="23:23" x14ac:dyDescent="0.35">
      <c r="W552" t="str">
        <f t="shared" si="8"/>
        <v/>
      </c>
    </row>
    <row r="553" spans="23:23" x14ac:dyDescent="0.35">
      <c r="W553" t="str">
        <f t="shared" si="8"/>
        <v/>
      </c>
    </row>
    <row r="554" spans="23:23" x14ac:dyDescent="0.35">
      <c r="W554" t="str">
        <f t="shared" si="8"/>
        <v/>
      </c>
    </row>
    <row r="555" spans="23:23" x14ac:dyDescent="0.35">
      <c r="W555" t="str">
        <f t="shared" si="8"/>
        <v/>
      </c>
    </row>
    <row r="556" spans="23:23" x14ac:dyDescent="0.35">
      <c r="W556" t="str">
        <f t="shared" si="8"/>
        <v/>
      </c>
    </row>
    <row r="557" spans="23:23" x14ac:dyDescent="0.35">
      <c r="W557" t="str">
        <f t="shared" si="8"/>
        <v/>
      </c>
    </row>
    <row r="558" spans="23:23" x14ac:dyDescent="0.35">
      <c r="W558" t="str">
        <f t="shared" si="8"/>
        <v/>
      </c>
    </row>
    <row r="559" spans="23:23" x14ac:dyDescent="0.35">
      <c r="W559" t="str">
        <f t="shared" si="8"/>
        <v/>
      </c>
    </row>
    <row r="560" spans="23:23" x14ac:dyDescent="0.35">
      <c r="W560" t="str">
        <f t="shared" si="8"/>
        <v/>
      </c>
    </row>
    <row r="561" spans="23:23" x14ac:dyDescent="0.35">
      <c r="W561" t="str">
        <f t="shared" si="8"/>
        <v/>
      </c>
    </row>
    <row r="562" spans="23:23" x14ac:dyDescent="0.35">
      <c r="W562" t="str">
        <f t="shared" si="8"/>
        <v/>
      </c>
    </row>
    <row r="563" spans="23:23" x14ac:dyDescent="0.35">
      <c r="W563" t="str">
        <f t="shared" si="8"/>
        <v/>
      </c>
    </row>
    <row r="564" spans="23:23" x14ac:dyDescent="0.35">
      <c r="W564" t="str">
        <f t="shared" si="8"/>
        <v/>
      </c>
    </row>
    <row r="565" spans="23:23" x14ac:dyDescent="0.35">
      <c r="W565" t="str">
        <f t="shared" si="8"/>
        <v/>
      </c>
    </row>
    <row r="566" spans="23:23" x14ac:dyDescent="0.35">
      <c r="W566" t="str">
        <f t="shared" si="8"/>
        <v/>
      </c>
    </row>
    <row r="567" spans="23:23" x14ac:dyDescent="0.35">
      <c r="W567" t="str">
        <f t="shared" si="8"/>
        <v/>
      </c>
    </row>
    <row r="568" spans="23:23" x14ac:dyDescent="0.35">
      <c r="W568" t="str">
        <f t="shared" si="8"/>
        <v/>
      </c>
    </row>
    <row r="569" spans="23:23" x14ac:dyDescent="0.35">
      <c r="W569" t="str">
        <f t="shared" si="8"/>
        <v/>
      </c>
    </row>
    <row r="570" spans="23:23" x14ac:dyDescent="0.35">
      <c r="W570" t="str">
        <f t="shared" si="8"/>
        <v/>
      </c>
    </row>
    <row r="571" spans="23:23" x14ac:dyDescent="0.35">
      <c r="W571" t="str">
        <f t="shared" si="8"/>
        <v/>
      </c>
    </row>
    <row r="572" spans="23:23" x14ac:dyDescent="0.35">
      <c r="W572" t="str">
        <f t="shared" si="8"/>
        <v/>
      </c>
    </row>
    <row r="573" spans="23:23" x14ac:dyDescent="0.35">
      <c r="W573" t="str">
        <f t="shared" si="8"/>
        <v/>
      </c>
    </row>
    <row r="574" spans="23:23" x14ac:dyDescent="0.35">
      <c r="W574" t="str">
        <f t="shared" si="8"/>
        <v/>
      </c>
    </row>
    <row r="575" spans="23:23" x14ac:dyDescent="0.35">
      <c r="W575" t="str">
        <f t="shared" si="8"/>
        <v/>
      </c>
    </row>
    <row r="576" spans="23:23" x14ac:dyDescent="0.35">
      <c r="W576" t="str">
        <f t="shared" si="8"/>
        <v/>
      </c>
    </row>
    <row r="577" spans="23:23" x14ac:dyDescent="0.35">
      <c r="W577" t="str">
        <f t="shared" si="8"/>
        <v/>
      </c>
    </row>
    <row r="578" spans="23:23" x14ac:dyDescent="0.35">
      <c r="W578" t="str">
        <f t="shared" ref="W578:W641" si="9">IF(P578="","",YEAR(P578))</f>
        <v/>
      </c>
    </row>
    <row r="579" spans="23:23" x14ac:dyDescent="0.35">
      <c r="W579" t="str">
        <f t="shared" si="9"/>
        <v/>
      </c>
    </row>
    <row r="580" spans="23:23" x14ac:dyDescent="0.35">
      <c r="W580" t="str">
        <f t="shared" si="9"/>
        <v/>
      </c>
    </row>
    <row r="581" spans="23:23" x14ac:dyDescent="0.35">
      <c r="W581" t="str">
        <f t="shared" si="9"/>
        <v/>
      </c>
    </row>
    <row r="582" spans="23:23" x14ac:dyDescent="0.35">
      <c r="W582" t="str">
        <f t="shared" si="9"/>
        <v/>
      </c>
    </row>
    <row r="583" spans="23:23" x14ac:dyDescent="0.35">
      <c r="W583" t="str">
        <f t="shared" si="9"/>
        <v/>
      </c>
    </row>
    <row r="584" spans="23:23" x14ac:dyDescent="0.35">
      <c r="W584" t="str">
        <f t="shared" si="9"/>
        <v/>
      </c>
    </row>
    <row r="585" spans="23:23" x14ac:dyDescent="0.35">
      <c r="W585" t="str">
        <f t="shared" si="9"/>
        <v/>
      </c>
    </row>
    <row r="586" spans="23:23" x14ac:dyDescent="0.35">
      <c r="W586" t="str">
        <f t="shared" si="9"/>
        <v/>
      </c>
    </row>
    <row r="587" spans="23:23" x14ac:dyDescent="0.35">
      <c r="W587" t="str">
        <f t="shared" si="9"/>
        <v/>
      </c>
    </row>
    <row r="588" spans="23:23" x14ac:dyDescent="0.35">
      <c r="W588" t="str">
        <f t="shared" si="9"/>
        <v/>
      </c>
    </row>
    <row r="589" spans="23:23" x14ac:dyDescent="0.35">
      <c r="W589" t="str">
        <f t="shared" si="9"/>
        <v/>
      </c>
    </row>
    <row r="590" spans="23:23" x14ac:dyDescent="0.35">
      <c r="W590" t="str">
        <f t="shared" si="9"/>
        <v/>
      </c>
    </row>
    <row r="591" spans="23:23" x14ac:dyDescent="0.35">
      <c r="W591" t="str">
        <f t="shared" si="9"/>
        <v/>
      </c>
    </row>
    <row r="592" spans="23:23" x14ac:dyDescent="0.35">
      <c r="W592" t="str">
        <f t="shared" si="9"/>
        <v/>
      </c>
    </row>
    <row r="593" spans="23:23" x14ac:dyDescent="0.35">
      <c r="W593" t="str">
        <f t="shared" si="9"/>
        <v/>
      </c>
    </row>
    <row r="594" spans="23:23" x14ac:dyDescent="0.35">
      <c r="W594" t="str">
        <f t="shared" si="9"/>
        <v/>
      </c>
    </row>
    <row r="595" spans="23:23" x14ac:dyDescent="0.35">
      <c r="W595" t="str">
        <f t="shared" si="9"/>
        <v/>
      </c>
    </row>
    <row r="596" spans="23:23" x14ac:dyDescent="0.35">
      <c r="W596" t="str">
        <f t="shared" si="9"/>
        <v/>
      </c>
    </row>
    <row r="597" spans="23:23" x14ac:dyDescent="0.35">
      <c r="W597" t="str">
        <f t="shared" si="9"/>
        <v/>
      </c>
    </row>
    <row r="598" spans="23:23" x14ac:dyDescent="0.35">
      <c r="W598" t="str">
        <f t="shared" si="9"/>
        <v/>
      </c>
    </row>
    <row r="599" spans="23:23" x14ac:dyDescent="0.35">
      <c r="W599" t="str">
        <f t="shared" si="9"/>
        <v/>
      </c>
    </row>
    <row r="600" spans="23:23" x14ac:dyDescent="0.35">
      <c r="W600" t="str">
        <f t="shared" si="9"/>
        <v/>
      </c>
    </row>
    <row r="601" spans="23:23" x14ac:dyDescent="0.35">
      <c r="W601" t="str">
        <f t="shared" si="9"/>
        <v/>
      </c>
    </row>
    <row r="602" spans="23:23" x14ac:dyDescent="0.35">
      <c r="W602" t="str">
        <f t="shared" si="9"/>
        <v/>
      </c>
    </row>
    <row r="603" spans="23:23" x14ac:dyDescent="0.35">
      <c r="W603" t="str">
        <f t="shared" si="9"/>
        <v/>
      </c>
    </row>
    <row r="604" spans="23:23" x14ac:dyDescent="0.35">
      <c r="W604" t="str">
        <f t="shared" si="9"/>
        <v/>
      </c>
    </row>
    <row r="605" spans="23:23" x14ac:dyDescent="0.35">
      <c r="W605" t="str">
        <f t="shared" si="9"/>
        <v/>
      </c>
    </row>
    <row r="606" spans="23:23" x14ac:dyDescent="0.35">
      <c r="W606" t="str">
        <f t="shared" si="9"/>
        <v/>
      </c>
    </row>
    <row r="607" spans="23:23" x14ac:dyDescent="0.35">
      <c r="W607" t="str">
        <f t="shared" si="9"/>
        <v/>
      </c>
    </row>
    <row r="608" spans="23:23" x14ac:dyDescent="0.35">
      <c r="W608" t="str">
        <f t="shared" si="9"/>
        <v/>
      </c>
    </row>
    <row r="609" spans="23:23" x14ac:dyDescent="0.35">
      <c r="W609" t="str">
        <f t="shared" si="9"/>
        <v/>
      </c>
    </row>
    <row r="610" spans="23:23" x14ac:dyDescent="0.35">
      <c r="W610" t="str">
        <f t="shared" si="9"/>
        <v/>
      </c>
    </row>
    <row r="611" spans="23:23" x14ac:dyDescent="0.35">
      <c r="W611" t="str">
        <f t="shared" si="9"/>
        <v/>
      </c>
    </row>
    <row r="612" spans="23:23" x14ac:dyDescent="0.35">
      <c r="W612" t="str">
        <f t="shared" si="9"/>
        <v/>
      </c>
    </row>
    <row r="613" spans="23:23" x14ac:dyDescent="0.35">
      <c r="W613" t="str">
        <f t="shared" si="9"/>
        <v/>
      </c>
    </row>
    <row r="614" spans="23:23" x14ac:dyDescent="0.35">
      <c r="W614" t="str">
        <f t="shared" si="9"/>
        <v/>
      </c>
    </row>
    <row r="615" spans="23:23" x14ac:dyDescent="0.35">
      <c r="W615" t="str">
        <f t="shared" si="9"/>
        <v/>
      </c>
    </row>
    <row r="616" spans="23:23" x14ac:dyDescent="0.35">
      <c r="W616" t="str">
        <f t="shared" si="9"/>
        <v/>
      </c>
    </row>
    <row r="617" spans="23:23" x14ac:dyDescent="0.35">
      <c r="W617" t="str">
        <f t="shared" si="9"/>
        <v/>
      </c>
    </row>
    <row r="618" spans="23:23" x14ac:dyDescent="0.35">
      <c r="W618" t="str">
        <f t="shared" si="9"/>
        <v/>
      </c>
    </row>
    <row r="619" spans="23:23" x14ac:dyDescent="0.35">
      <c r="W619" t="str">
        <f t="shared" si="9"/>
        <v/>
      </c>
    </row>
    <row r="620" spans="23:23" x14ac:dyDescent="0.35">
      <c r="W620" t="str">
        <f t="shared" si="9"/>
        <v/>
      </c>
    </row>
    <row r="621" spans="23:23" x14ac:dyDescent="0.35">
      <c r="W621" t="str">
        <f t="shared" si="9"/>
        <v/>
      </c>
    </row>
    <row r="622" spans="23:23" x14ac:dyDescent="0.35">
      <c r="W622" t="str">
        <f t="shared" si="9"/>
        <v/>
      </c>
    </row>
    <row r="623" spans="23:23" x14ac:dyDescent="0.35">
      <c r="W623" t="str">
        <f t="shared" si="9"/>
        <v/>
      </c>
    </row>
    <row r="624" spans="23:23" x14ac:dyDescent="0.35">
      <c r="W624" t="str">
        <f t="shared" si="9"/>
        <v/>
      </c>
    </row>
    <row r="625" spans="23:23" x14ac:dyDescent="0.35">
      <c r="W625" t="str">
        <f t="shared" si="9"/>
        <v/>
      </c>
    </row>
    <row r="626" spans="23:23" x14ac:dyDescent="0.35">
      <c r="W626" t="str">
        <f t="shared" si="9"/>
        <v/>
      </c>
    </row>
    <row r="627" spans="23:23" x14ac:dyDescent="0.35">
      <c r="W627" t="str">
        <f t="shared" si="9"/>
        <v/>
      </c>
    </row>
    <row r="628" spans="23:23" x14ac:dyDescent="0.35">
      <c r="W628" t="str">
        <f t="shared" si="9"/>
        <v/>
      </c>
    </row>
    <row r="629" spans="23:23" x14ac:dyDescent="0.35">
      <c r="W629" t="str">
        <f t="shared" si="9"/>
        <v/>
      </c>
    </row>
    <row r="630" spans="23:23" x14ac:dyDescent="0.35">
      <c r="W630" t="str">
        <f t="shared" si="9"/>
        <v/>
      </c>
    </row>
    <row r="631" spans="23:23" x14ac:dyDescent="0.35">
      <c r="W631" t="str">
        <f t="shared" si="9"/>
        <v/>
      </c>
    </row>
    <row r="632" spans="23:23" x14ac:dyDescent="0.35">
      <c r="W632" t="str">
        <f t="shared" si="9"/>
        <v/>
      </c>
    </row>
    <row r="633" spans="23:23" x14ac:dyDescent="0.35">
      <c r="W633" t="str">
        <f t="shared" si="9"/>
        <v/>
      </c>
    </row>
    <row r="634" spans="23:23" x14ac:dyDescent="0.35">
      <c r="W634" t="str">
        <f t="shared" si="9"/>
        <v/>
      </c>
    </row>
    <row r="635" spans="23:23" x14ac:dyDescent="0.35">
      <c r="W635" t="str">
        <f t="shared" si="9"/>
        <v/>
      </c>
    </row>
    <row r="636" spans="23:23" x14ac:dyDescent="0.35">
      <c r="W636" t="str">
        <f t="shared" si="9"/>
        <v/>
      </c>
    </row>
    <row r="637" spans="23:23" x14ac:dyDescent="0.35">
      <c r="W637" t="str">
        <f t="shared" si="9"/>
        <v/>
      </c>
    </row>
    <row r="638" spans="23:23" x14ac:dyDescent="0.35">
      <c r="W638" t="str">
        <f t="shared" si="9"/>
        <v/>
      </c>
    </row>
    <row r="639" spans="23:23" x14ac:dyDescent="0.35">
      <c r="W639" t="str">
        <f t="shared" si="9"/>
        <v/>
      </c>
    </row>
    <row r="640" spans="23:23" x14ac:dyDescent="0.35">
      <c r="W640" t="str">
        <f t="shared" si="9"/>
        <v/>
      </c>
    </row>
    <row r="641" spans="23:23" x14ac:dyDescent="0.35">
      <c r="W641" t="str">
        <f t="shared" si="9"/>
        <v/>
      </c>
    </row>
    <row r="642" spans="23:23" x14ac:dyDescent="0.35">
      <c r="W642" t="str">
        <f t="shared" ref="W642:W705" si="10">IF(P642="","",YEAR(P642))</f>
        <v/>
      </c>
    </row>
    <row r="643" spans="23:23" x14ac:dyDescent="0.35">
      <c r="W643" t="str">
        <f t="shared" si="10"/>
        <v/>
      </c>
    </row>
    <row r="644" spans="23:23" x14ac:dyDescent="0.35">
      <c r="W644" t="str">
        <f t="shared" si="10"/>
        <v/>
      </c>
    </row>
    <row r="645" spans="23:23" x14ac:dyDescent="0.35">
      <c r="W645" t="str">
        <f t="shared" si="10"/>
        <v/>
      </c>
    </row>
    <row r="646" spans="23:23" x14ac:dyDescent="0.35">
      <c r="W646" t="str">
        <f t="shared" si="10"/>
        <v/>
      </c>
    </row>
    <row r="647" spans="23:23" x14ac:dyDescent="0.35">
      <c r="W647" t="str">
        <f t="shared" si="10"/>
        <v/>
      </c>
    </row>
    <row r="648" spans="23:23" x14ac:dyDescent="0.35">
      <c r="W648" t="str">
        <f t="shared" si="10"/>
        <v/>
      </c>
    </row>
    <row r="649" spans="23:23" x14ac:dyDescent="0.35">
      <c r="W649" t="str">
        <f t="shared" si="10"/>
        <v/>
      </c>
    </row>
    <row r="650" spans="23:23" x14ac:dyDescent="0.35">
      <c r="W650" t="str">
        <f t="shared" si="10"/>
        <v/>
      </c>
    </row>
    <row r="651" spans="23:23" x14ac:dyDescent="0.35">
      <c r="W651" t="str">
        <f t="shared" si="10"/>
        <v/>
      </c>
    </row>
    <row r="652" spans="23:23" x14ac:dyDescent="0.35">
      <c r="W652" t="str">
        <f t="shared" si="10"/>
        <v/>
      </c>
    </row>
    <row r="653" spans="23:23" x14ac:dyDescent="0.35">
      <c r="W653" t="str">
        <f t="shared" si="10"/>
        <v/>
      </c>
    </row>
    <row r="654" spans="23:23" x14ac:dyDescent="0.35">
      <c r="W654" t="str">
        <f t="shared" si="10"/>
        <v/>
      </c>
    </row>
    <row r="655" spans="23:23" x14ac:dyDescent="0.35">
      <c r="W655" t="str">
        <f t="shared" si="10"/>
        <v/>
      </c>
    </row>
    <row r="656" spans="23:23" x14ac:dyDescent="0.35">
      <c r="W656" t="str">
        <f t="shared" si="10"/>
        <v/>
      </c>
    </row>
    <row r="657" spans="23:23" x14ac:dyDescent="0.35">
      <c r="W657" t="str">
        <f t="shared" si="10"/>
        <v/>
      </c>
    </row>
    <row r="658" spans="23:23" x14ac:dyDescent="0.35">
      <c r="W658" t="str">
        <f t="shared" si="10"/>
        <v/>
      </c>
    </row>
    <row r="659" spans="23:23" x14ac:dyDescent="0.35">
      <c r="W659" t="str">
        <f t="shared" si="10"/>
        <v/>
      </c>
    </row>
    <row r="660" spans="23:23" x14ac:dyDescent="0.35">
      <c r="W660" t="str">
        <f t="shared" si="10"/>
        <v/>
      </c>
    </row>
    <row r="661" spans="23:23" x14ac:dyDescent="0.35">
      <c r="W661" t="str">
        <f t="shared" si="10"/>
        <v/>
      </c>
    </row>
    <row r="662" spans="23:23" x14ac:dyDescent="0.35">
      <c r="W662" t="str">
        <f t="shared" si="10"/>
        <v/>
      </c>
    </row>
    <row r="663" spans="23:23" x14ac:dyDescent="0.35">
      <c r="W663" t="str">
        <f t="shared" si="10"/>
        <v/>
      </c>
    </row>
    <row r="664" spans="23:23" x14ac:dyDescent="0.35">
      <c r="W664" t="str">
        <f t="shared" si="10"/>
        <v/>
      </c>
    </row>
    <row r="665" spans="23:23" x14ac:dyDescent="0.35">
      <c r="W665" t="str">
        <f t="shared" si="10"/>
        <v/>
      </c>
    </row>
    <row r="666" spans="23:23" x14ac:dyDescent="0.35">
      <c r="W666" t="str">
        <f t="shared" si="10"/>
        <v/>
      </c>
    </row>
    <row r="667" spans="23:23" x14ac:dyDescent="0.35">
      <c r="W667" t="str">
        <f t="shared" si="10"/>
        <v/>
      </c>
    </row>
    <row r="668" spans="23:23" x14ac:dyDescent="0.35">
      <c r="W668" t="str">
        <f t="shared" si="10"/>
        <v/>
      </c>
    </row>
    <row r="669" spans="23:23" x14ac:dyDescent="0.35">
      <c r="W669" t="str">
        <f t="shared" si="10"/>
        <v/>
      </c>
    </row>
    <row r="670" spans="23:23" x14ac:dyDescent="0.35">
      <c r="W670" t="str">
        <f t="shared" si="10"/>
        <v/>
      </c>
    </row>
    <row r="671" spans="23:23" x14ac:dyDescent="0.35">
      <c r="W671" t="str">
        <f t="shared" si="10"/>
        <v/>
      </c>
    </row>
    <row r="672" spans="23:23" x14ac:dyDescent="0.35">
      <c r="W672" t="str">
        <f t="shared" si="10"/>
        <v/>
      </c>
    </row>
    <row r="673" spans="23:23" x14ac:dyDescent="0.35">
      <c r="W673" t="str">
        <f t="shared" si="10"/>
        <v/>
      </c>
    </row>
    <row r="674" spans="23:23" x14ac:dyDescent="0.35">
      <c r="W674" t="str">
        <f t="shared" si="10"/>
        <v/>
      </c>
    </row>
    <row r="675" spans="23:23" x14ac:dyDescent="0.35">
      <c r="W675" t="str">
        <f t="shared" si="10"/>
        <v/>
      </c>
    </row>
    <row r="676" spans="23:23" x14ac:dyDescent="0.35">
      <c r="W676" t="str">
        <f t="shared" si="10"/>
        <v/>
      </c>
    </row>
    <row r="677" spans="23:23" x14ac:dyDescent="0.35">
      <c r="W677" t="str">
        <f t="shared" si="10"/>
        <v/>
      </c>
    </row>
    <row r="678" spans="23:23" x14ac:dyDescent="0.35">
      <c r="W678" t="str">
        <f t="shared" si="10"/>
        <v/>
      </c>
    </row>
    <row r="679" spans="23:23" x14ac:dyDescent="0.35">
      <c r="W679" t="str">
        <f t="shared" si="10"/>
        <v/>
      </c>
    </row>
    <row r="680" spans="23:23" x14ac:dyDescent="0.35">
      <c r="W680" t="str">
        <f t="shared" si="10"/>
        <v/>
      </c>
    </row>
    <row r="681" spans="23:23" x14ac:dyDescent="0.35">
      <c r="W681" t="str">
        <f t="shared" si="10"/>
        <v/>
      </c>
    </row>
    <row r="682" spans="23:23" x14ac:dyDescent="0.35">
      <c r="W682" t="str">
        <f t="shared" si="10"/>
        <v/>
      </c>
    </row>
    <row r="683" spans="23:23" x14ac:dyDescent="0.35">
      <c r="W683" t="str">
        <f t="shared" si="10"/>
        <v/>
      </c>
    </row>
    <row r="684" spans="23:23" x14ac:dyDescent="0.35">
      <c r="W684" t="str">
        <f t="shared" si="10"/>
        <v/>
      </c>
    </row>
    <row r="685" spans="23:23" x14ac:dyDescent="0.35">
      <c r="W685" t="str">
        <f t="shared" si="10"/>
        <v/>
      </c>
    </row>
    <row r="686" spans="23:23" x14ac:dyDescent="0.35">
      <c r="W686" t="str">
        <f t="shared" si="10"/>
        <v/>
      </c>
    </row>
    <row r="687" spans="23:23" x14ac:dyDescent="0.35">
      <c r="W687" t="str">
        <f t="shared" si="10"/>
        <v/>
      </c>
    </row>
    <row r="688" spans="23:23" x14ac:dyDescent="0.35">
      <c r="W688" t="str">
        <f t="shared" si="10"/>
        <v/>
      </c>
    </row>
    <row r="689" spans="23:23" x14ac:dyDescent="0.35">
      <c r="W689" t="str">
        <f t="shared" si="10"/>
        <v/>
      </c>
    </row>
    <row r="690" spans="23:23" x14ac:dyDescent="0.35">
      <c r="W690" t="str">
        <f t="shared" si="10"/>
        <v/>
      </c>
    </row>
    <row r="691" spans="23:23" x14ac:dyDescent="0.35">
      <c r="W691" t="str">
        <f t="shared" si="10"/>
        <v/>
      </c>
    </row>
    <row r="692" spans="23:23" x14ac:dyDescent="0.35">
      <c r="W692" t="str">
        <f t="shared" si="10"/>
        <v/>
      </c>
    </row>
    <row r="693" spans="23:23" x14ac:dyDescent="0.35">
      <c r="W693" t="str">
        <f t="shared" si="10"/>
        <v/>
      </c>
    </row>
    <row r="694" spans="23:23" x14ac:dyDescent="0.35">
      <c r="W694" t="str">
        <f t="shared" si="10"/>
        <v/>
      </c>
    </row>
    <row r="695" spans="23:23" x14ac:dyDescent="0.35">
      <c r="W695" t="str">
        <f t="shared" si="10"/>
        <v/>
      </c>
    </row>
    <row r="696" spans="23:23" x14ac:dyDescent="0.35">
      <c r="W696" t="str">
        <f t="shared" si="10"/>
        <v/>
      </c>
    </row>
    <row r="697" spans="23:23" x14ac:dyDescent="0.35">
      <c r="W697" t="str">
        <f t="shared" si="10"/>
        <v/>
      </c>
    </row>
    <row r="698" spans="23:23" x14ac:dyDescent="0.35">
      <c r="W698" t="str">
        <f t="shared" si="10"/>
        <v/>
      </c>
    </row>
    <row r="699" spans="23:23" x14ac:dyDescent="0.35">
      <c r="W699" t="str">
        <f t="shared" si="10"/>
        <v/>
      </c>
    </row>
    <row r="700" spans="23:23" x14ac:dyDescent="0.35">
      <c r="W700" t="str">
        <f t="shared" si="10"/>
        <v/>
      </c>
    </row>
    <row r="701" spans="23:23" x14ac:dyDescent="0.35">
      <c r="W701" t="str">
        <f t="shared" si="10"/>
        <v/>
      </c>
    </row>
    <row r="702" spans="23:23" x14ac:dyDescent="0.35">
      <c r="W702" t="str">
        <f t="shared" si="10"/>
        <v/>
      </c>
    </row>
    <row r="703" spans="23:23" x14ac:dyDescent="0.35">
      <c r="W703" t="str">
        <f t="shared" si="10"/>
        <v/>
      </c>
    </row>
    <row r="704" spans="23:23" x14ac:dyDescent="0.35">
      <c r="W704" t="str">
        <f t="shared" si="10"/>
        <v/>
      </c>
    </row>
    <row r="705" spans="23:23" x14ac:dyDescent="0.35">
      <c r="W705" t="str">
        <f t="shared" si="10"/>
        <v/>
      </c>
    </row>
    <row r="706" spans="23:23" x14ac:dyDescent="0.35">
      <c r="W706" t="str">
        <f t="shared" ref="W706:W769" si="11">IF(P706="","",YEAR(P706))</f>
        <v/>
      </c>
    </row>
    <row r="707" spans="23:23" x14ac:dyDescent="0.35">
      <c r="W707" t="str">
        <f t="shared" si="11"/>
        <v/>
      </c>
    </row>
    <row r="708" spans="23:23" x14ac:dyDescent="0.35">
      <c r="W708" t="str">
        <f t="shared" si="11"/>
        <v/>
      </c>
    </row>
    <row r="709" spans="23:23" x14ac:dyDescent="0.35">
      <c r="W709" t="str">
        <f t="shared" si="11"/>
        <v/>
      </c>
    </row>
    <row r="710" spans="23:23" x14ac:dyDescent="0.35">
      <c r="W710" t="str">
        <f t="shared" si="11"/>
        <v/>
      </c>
    </row>
    <row r="711" spans="23:23" x14ac:dyDescent="0.35">
      <c r="W711" t="str">
        <f t="shared" si="11"/>
        <v/>
      </c>
    </row>
    <row r="712" spans="23:23" x14ac:dyDescent="0.35">
      <c r="W712" t="str">
        <f t="shared" si="11"/>
        <v/>
      </c>
    </row>
    <row r="713" spans="23:23" x14ac:dyDescent="0.35">
      <c r="W713" t="str">
        <f t="shared" si="11"/>
        <v/>
      </c>
    </row>
    <row r="714" spans="23:23" x14ac:dyDescent="0.35">
      <c r="W714" t="str">
        <f t="shared" si="11"/>
        <v/>
      </c>
    </row>
    <row r="715" spans="23:23" x14ac:dyDescent="0.35">
      <c r="W715" t="str">
        <f t="shared" si="11"/>
        <v/>
      </c>
    </row>
    <row r="716" spans="23:23" x14ac:dyDescent="0.35">
      <c r="W716" t="str">
        <f t="shared" si="11"/>
        <v/>
      </c>
    </row>
    <row r="717" spans="23:23" x14ac:dyDescent="0.35">
      <c r="W717" t="str">
        <f t="shared" si="11"/>
        <v/>
      </c>
    </row>
    <row r="718" spans="23:23" x14ac:dyDescent="0.35">
      <c r="W718" t="str">
        <f t="shared" si="11"/>
        <v/>
      </c>
    </row>
    <row r="719" spans="23:23" x14ac:dyDescent="0.35">
      <c r="W719" t="str">
        <f t="shared" si="11"/>
        <v/>
      </c>
    </row>
    <row r="720" spans="23:23" x14ac:dyDescent="0.35">
      <c r="W720" t="str">
        <f t="shared" si="11"/>
        <v/>
      </c>
    </row>
    <row r="721" spans="23:23" x14ac:dyDescent="0.35">
      <c r="W721" t="str">
        <f t="shared" si="11"/>
        <v/>
      </c>
    </row>
    <row r="722" spans="23:23" x14ac:dyDescent="0.35">
      <c r="W722" t="str">
        <f t="shared" si="11"/>
        <v/>
      </c>
    </row>
    <row r="723" spans="23:23" x14ac:dyDescent="0.35">
      <c r="W723" t="str">
        <f t="shared" si="11"/>
        <v/>
      </c>
    </row>
    <row r="724" spans="23:23" x14ac:dyDescent="0.35">
      <c r="W724" t="str">
        <f t="shared" si="11"/>
        <v/>
      </c>
    </row>
    <row r="725" spans="23:23" x14ac:dyDescent="0.35">
      <c r="W725" t="str">
        <f t="shared" si="11"/>
        <v/>
      </c>
    </row>
    <row r="726" spans="23:23" x14ac:dyDescent="0.35">
      <c r="W726" t="str">
        <f t="shared" si="11"/>
        <v/>
      </c>
    </row>
    <row r="727" spans="23:23" x14ac:dyDescent="0.35">
      <c r="W727" t="str">
        <f t="shared" si="11"/>
        <v/>
      </c>
    </row>
    <row r="728" spans="23:23" x14ac:dyDescent="0.35">
      <c r="W728" t="str">
        <f t="shared" si="11"/>
        <v/>
      </c>
    </row>
    <row r="729" spans="23:23" x14ac:dyDescent="0.35">
      <c r="W729" t="str">
        <f t="shared" si="11"/>
        <v/>
      </c>
    </row>
    <row r="730" spans="23:23" x14ac:dyDescent="0.35">
      <c r="W730" t="str">
        <f t="shared" si="11"/>
        <v/>
      </c>
    </row>
    <row r="731" spans="23:23" x14ac:dyDescent="0.35">
      <c r="W731" t="str">
        <f t="shared" si="11"/>
        <v/>
      </c>
    </row>
    <row r="732" spans="23:23" x14ac:dyDescent="0.35">
      <c r="W732" t="str">
        <f t="shared" si="11"/>
        <v/>
      </c>
    </row>
    <row r="733" spans="23:23" x14ac:dyDescent="0.35">
      <c r="W733" t="str">
        <f t="shared" si="11"/>
        <v/>
      </c>
    </row>
    <row r="734" spans="23:23" x14ac:dyDescent="0.35">
      <c r="W734" t="str">
        <f t="shared" si="11"/>
        <v/>
      </c>
    </row>
    <row r="735" spans="23:23" x14ac:dyDescent="0.35">
      <c r="W735" t="str">
        <f t="shared" si="11"/>
        <v/>
      </c>
    </row>
    <row r="736" spans="23:23" x14ac:dyDescent="0.35">
      <c r="W736" t="str">
        <f t="shared" si="11"/>
        <v/>
      </c>
    </row>
    <row r="737" spans="23:23" x14ac:dyDescent="0.35">
      <c r="W737" t="str">
        <f t="shared" si="11"/>
        <v/>
      </c>
    </row>
    <row r="738" spans="23:23" x14ac:dyDescent="0.35">
      <c r="W738" t="str">
        <f t="shared" si="11"/>
        <v/>
      </c>
    </row>
    <row r="739" spans="23:23" x14ac:dyDescent="0.35">
      <c r="W739" t="str">
        <f t="shared" si="11"/>
        <v/>
      </c>
    </row>
    <row r="740" spans="23:23" x14ac:dyDescent="0.35">
      <c r="W740" t="str">
        <f t="shared" si="11"/>
        <v/>
      </c>
    </row>
    <row r="741" spans="23:23" x14ac:dyDescent="0.35">
      <c r="W741" t="str">
        <f t="shared" si="11"/>
        <v/>
      </c>
    </row>
    <row r="742" spans="23:23" x14ac:dyDescent="0.35">
      <c r="W742" t="str">
        <f t="shared" si="11"/>
        <v/>
      </c>
    </row>
    <row r="743" spans="23:23" x14ac:dyDescent="0.35">
      <c r="W743" t="str">
        <f t="shared" si="11"/>
        <v/>
      </c>
    </row>
    <row r="744" spans="23:23" x14ac:dyDescent="0.35">
      <c r="W744" t="str">
        <f t="shared" si="11"/>
        <v/>
      </c>
    </row>
    <row r="745" spans="23:23" x14ac:dyDescent="0.35">
      <c r="W745" t="str">
        <f t="shared" si="11"/>
        <v/>
      </c>
    </row>
    <row r="746" spans="23:23" x14ac:dyDescent="0.35">
      <c r="W746" t="str">
        <f t="shared" si="11"/>
        <v/>
      </c>
    </row>
    <row r="747" spans="23:23" x14ac:dyDescent="0.35">
      <c r="W747" t="str">
        <f t="shared" si="11"/>
        <v/>
      </c>
    </row>
    <row r="748" spans="23:23" x14ac:dyDescent="0.35">
      <c r="W748" t="str">
        <f t="shared" si="11"/>
        <v/>
      </c>
    </row>
    <row r="749" spans="23:23" x14ac:dyDescent="0.35">
      <c r="W749" t="str">
        <f t="shared" si="11"/>
        <v/>
      </c>
    </row>
    <row r="750" spans="23:23" x14ac:dyDescent="0.35">
      <c r="W750" t="str">
        <f t="shared" si="11"/>
        <v/>
      </c>
    </row>
    <row r="751" spans="23:23" x14ac:dyDescent="0.35">
      <c r="W751" t="str">
        <f t="shared" si="11"/>
        <v/>
      </c>
    </row>
    <row r="752" spans="23:23" x14ac:dyDescent="0.35">
      <c r="W752" t="str">
        <f t="shared" si="11"/>
        <v/>
      </c>
    </row>
    <row r="753" spans="23:23" x14ac:dyDescent="0.35">
      <c r="W753" t="str">
        <f t="shared" si="11"/>
        <v/>
      </c>
    </row>
    <row r="754" spans="23:23" x14ac:dyDescent="0.35">
      <c r="W754" t="str">
        <f t="shared" si="11"/>
        <v/>
      </c>
    </row>
    <row r="755" spans="23:23" x14ac:dyDescent="0.35">
      <c r="W755" t="str">
        <f t="shared" si="11"/>
        <v/>
      </c>
    </row>
    <row r="756" spans="23:23" x14ac:dyDescent="0.35">
      <c r="W756" t="str">
        <f t="shared" si="11"/>
        <v/>
      </c>
    </row>
    <row r="757" spans="23:23" x14ac:dyDescent="0.35">
      <c r="W757" t="str">
        <f t="shared" si="11"/>
        <v/>
      </c>
    </row>
    <row r="758" spans="23:23" x14ac:dyDescent="0.35">
      <c r="W758" t="str">
        <f t="shared" si="11"/>
        <v/>
      </c>
    </row>
    <row r="759" spans="23:23" x14ac:dyDescent="0.35">
      <c r="W759" t="str">
        <f t="shared" si="11"/>
        <v/>
      </c>
    </row>
    <row r="760" spans="23:23" x14ac:dyDescent="0.35">
      <c r="W760" t="str">
        <f t="shared" si="11"/>
        <v/>
      </c>
    </row>
    <row r="761" spans="23:23" x14ac:dyDescent="0.35">
      <c r="W761" t="str">
        <f t="shared" si="11"/>
        <v/>
      </c>
    </row>
    <row r="762" spans="23:23" x14ac:dyDescent="0.35">
      <c r="W762" t="str">
        <f t="shared" si="11"/>
        <v/>
      </c>
    </row>
    <row r="763" spans="23:23" x14ac:dyDescent="0.35">
      <c r="W763" t="str">
        <f t="shared" si="11"/>
        <v/>
      </c>
    </row>
    <row r="764" spans="23:23" x14ac:dyDescent="0.35">
      <c r="W764" t="str">
        <f t="shared" si="11"/>
        <v/>
      </c>
    </row>
    <row r="765" spans="23:23" x14ac:dyDescent="0.35">
      <c r="W765" t="str">
        <f t="shared" si="11"/>
        <v/>
      </c>
    </row>
    <row r="766" spans="23:23" x14ac:dyDescent="0.35">
      <c r="W766" t="str">
        <f t="shared" si="11"/>
        <v/>
      </c>
    </row>
    <row r="767" spans="23:23" x14ac:dyDescent="0.35">
      <c r="W767" t="str">
        <f t="shared" si="11"/>
        <v/>
      </c>
    </row>
    <row r="768" spans="23:23" x14ac:dyDescent="0.35">
      <c r="W768" t="str">
        <f t="shared" si="11"/>
        <v/>
      </c>
    </row>
    <row r="769" spans="23:23" x14ac:dyDescent="0.35">
      <c r="W769" t="str">
        <f t="shared" si="11"/>
        <v/>
      </c>
    </row>
    <row r="770" spans="23:23" x14ac:dyDescent="0.35">
      <c r="W770" t="str">
        <f t="shared" ref="W770:W833" si="12">IF(P770="","",YEAR(P770))</f>
        <v/>
      </c>
    </row>
    <row r="771" spans="23:23" x14ac:dyDescent="0.35">
      <c r="W771" t="str">
        <f t="shared" si="12"/>
        <v/>
      </c>
    </row>
    <row r="772" spans="23:23" x14ac:dyDescent="0.35">
      <c r="W772" t="str">
        <f t="shared" si="12"/>
        <v/>
      </c>
    </row>
    <row r="773" spans="23:23" x14ac:dyDescent="0.35">
      <c r="W773" t="str">
        <f t="shared" si="12"/>
        <v/>
      </c>
    </row>
    <row r="774" spans="23:23" x14ac:dyDescent="0.35">
      <c r="W774" t="str">
        <f t="shared" si="12"/>
        <v/>
      </c>
    </row>
    <row r="775" spans="23:23" x14ac:dyDescent="0.35">
      <c r="W775" t="str">
        <f t="shared" si="12"/>
        <v/>
      </c>
    </row>
    <row r="776" spans="23:23" x14ac:dyDescent="0.35">
      <c r="W776" t="str">
        <f t="shared" si="12"/>
        <v/>
      </c>
    </row>
    <row r="777" spans="23:23" x14ac:dyDescent="0.35">
      <c r="W777" t="str">
        <f t="shared" si="12"/>
        <v/>
      </c>
    </row>
    <row r="778" spans="23:23" x14ac:dyDescent="0.35">
      <c r="W778" t="str">
        <f t="shared" si="12"/>
        <v/>
      </c>
    </row>
    <row r="779" spans="23:23" x14ac:dyDescent="0.35">
      <c r="W779" t="str">
        <f t="shared" si="12"/>
        <v/>
      </c>
    </row>
    <row r="780" spans="23:23" x14ac:dyDescent="0.35">
      <c r="W780" t="str">
        <f t="shared" si="12"/>
        <v/>
      </c>
    </row>
    <row r="781" spans="23:23" x14ac:dyDescent="0.35">
      <c r="W781" t="str">
        <f t="shared" si="12"/>
        <v/>
      </c>
    </row>
    <row r="782" spans="23:23" x14ac:dyDescent="0.35">
      <c r="W782" t="str">
        <f t="shared" si="12"/>
        <v/>
      </c>
    </row>
    <row r="783" spans="23:23" x14ac:dyDescent="0.35">
      <c r="W783" t="str">
        <f t="shared" si="12"/>
        <v/>
      </c>
    </row>
    <row r="784" spans="23:23" x14ac:dyDescent="0.35">
      <c r="W784" t="str">
        <f t="shared" si="12"/>
        <v/>
      </c>
    </row>
    <row r="785" spans="23:23" x14ac:dyDescent="0.35">
      <c r="W785" t="str">
        <f t="shared" si="12"/>
        <v/>
      </c>
    </row>
    <row r="786" spans="23:23" x14ac:dyDescent="0.35">
      <c r="W786" t="str">
        <f t="shared" si="12"/>
        <v/>
      </c>
    </row>
    <row r="787" spans="23:23" x14ac:dyDescent="0.35">
      <c r="W787" t="str">
        <f t="shared" si="12"/>
        <v/>
      </c>
    </row>
    <row r="788" spans="23:23" x14ac:dyDescent="0.35">
      <c r="W788" t="str">
        <f t="shared" si="12"/>
        <v/>
      </c>
    </row>
    <row r="789" spans="23:23" x14ac:dyDescent="0.35">
      <c r="W789" t="str">
        <f t="shared" si="12"/>
        <v/>
      </c>
    </row>
    <row r="790" spans="23:23" x14ac:dyDescent="0.35">
      <c r="W790" t="str">
        <f t="shared" si="12"/>
        <v/>
      </c>
    </row>
    <row r="791" spans="23:23" x14ac:dyDescent="0.35">
      <c r="W791" t="str">
        <f t="shared" si="12"/>
        <v/>
      </c>
    </row>
    <row r="792" spans="23:23" x14ac:dyDescent="0.35">
      <c r="W792" t="str">
        <f t="shared" si="12"/>
        <v/>
      </c>
    </row>
    <row r="793" spans="23:23" x14ac:dyDescent="0.35">
      <c r="W793" t="str">
        <f t="shared" si="12"/>
        <v/>
      </c>
    </row>
    <row r="794" spans="23:23" x14ac:dyDescent="0.35">
      <c r="W794" t="str">
        <f t="shared" si="12"/>
        <v/>
      </c>
    </row>
    <row r="795" spans="23:23" x14ac:dyDescent="0.35">
      <c r="W795" t="str">
        <f t="shared" si="12"/>
        <v/>
      </c>
    </row>
    <row r="796" spans="23:23" x14ac:dyDescent="0.35">
      <c r="W796" t="str">
        <f t="shared" si="12"/>
        <v/>
      </c>
    </row>
    <row r="797" spans="23:23" x14ac:dyDescent="0.35">
      <c r="W797" t="str">
        <f t="shared" si="12"/>
        <v/>
      </c>
    </row>
    <row r="798" spans="23:23" x14ac:dyDescent="0.35">
      <c r="W798" t="str">
        <f t="shared" si="12"/>
        <v/>
      </c>
    </row>
    <row r="799" spans="23:23" x14ac:dyDescent="0.35">
      <c r="W799" t="str">
        <f t="shared" si="12"/>
        <v/>
      </c>
    </row>
    <row r="800" spans="23:23" x14ac:dyDescent="0.35">
      <c r="W800" t="str">
        <f t="shared" si="12"/>
        <v/>
      </c>
    </row>
    <row r="801" spans="23:23" x14ac:dyDescent="0.35">
      <c r="W801" t="str">
        <f t="shared" si="12"/>
        <v/>
      </c>
    </row>
    <row r="802" spans="23:23" x14ac:dyDescent="0.35">
      <c r="W802" t="str">
        <f t="shared" si="12"/>
        <v/>
      </c>
    </row>
    <row r="803" spans="23:23" x14ac:dyDescent="0.35">
      <c r="W803" t="str">
        <f t="shared" si="12"/>
        <v/>
      </c>
    </row>
    <row r="804" spans="23:23" x14ac:dyDescent="0.35">
      <c r="W804" t="str">
        <f t="shared" si="12"/>
        <v/>
      </c>
    </row>
    <row r="805" spans="23:23" x14ac:dyDescent="0.35">
      <c r="W805" t="str">
        <f t="shared" si="12"/>
        <v/>
      </c>
    </row>
    <row r="806" spans="23:23" x14ac:dyDescent="0.35">
      <c r="W806" t="str">
        <f t="shared" si="12"/>
        <v/>
      </c>
    </row>
    <row r="807" spans="23:23" x14ac:dyDescent="0.35">
      <c r="W807" t="str">
        <f t="shared" si="12"/>
        <v/>
      </c>
    </row>
    <row r="808" spans="23:23" x14ac:dyDescent="0.35">
      <c r="W808" t="str">
        <f t="shared" si="12"/>
        <v/>
      </c>
    </row>
    <row r="809" spans="23:23" x14ac:dyDescent="0.35">
      <c r="W809" t="str">
        <f t="shared" si="12"/>
        <v/>
      </c>
    </row>
    <row r="810" spans="23:23" x14ac:dyDescent="0.35">
      <c r="W810" t="str">
        <f t="shared" si="12"/>
        <v/>
      </c>
    </row>
    <row r="811" spans="23:23" x14ac:dyDescent="0.35">
      <c r="W811" t="str">
        <f t="shared" si="12"/>
        <v/>
      </c>
    </row>
    <row r="812" spans="23:23" x14ac:dyDescent="0.35">
      <c r="W812" t="str">
        <f t="shared" si="12"/>
        <v/>
      </c>
    </row>
    <row r="813" spans="23:23" x14ac:dyDescent="0.35">
      <c r="W813" t="str">
        <f t="shared" si="12"/>
        <v/>
      </c>
    </row>
    <row r="814" spans="23:23" x14ac:dyDescent="0.35">
      <c r="W814" t="str">
        <f t="shared" si="12"/>
        <v/>
      </c>
    </row>
    <row r="815" spans="23:23" x14ac:dyDescent="0.35">
      <c r="W815" t="str">
        <f t="shared" si="12"/>
        <v/>
      </c>
    </row>
    <row r="816" spans="23:23" x14ac:dyDescent="0.35">
      <c r="W816" t="str">
        <f t="shared" si="12"/>
        <v/>
      </c>
    </row>
    <row r="817" spans="23:23" x14ac:dyDescent="0.35">
      <c r="W817" t="str">
        <f t="shared" si="12"/>
        <v/>
      </c>
    </row>
    <row r="818" spans="23:23" x14ac:dyDescent="0.35">
      <c r="W818" t="str">
        <f t="shared" si="12"/>
        <v/>
      </c>
    </row>
    <row r="819" spans="23:23" x14ac:dyDescent="0.35">
      <c r="W819" t="str">
        <f t="shared" si="12"/>
        <v/>
      </c>
    </row>
    <row r="820" spans="23:23" x14ac:dyDescent="0.35">
      <c r="W820" t="str">
        <f t="shared" si="12"/>
        <v/>
      </c>
    </row>
    <row r="821" spans="23:23" x14ac:dyDescent="0.35">
      <c r="W821" t="str">
        <f t="shared" si="12"/>
        <v/>
      </c>
    </row>
    <row r="822" spans="23:23" x14ac:dyDescent="0.35">
      <c r="W822" t="str">
        <f t="shared" si="12"/>
        <v/>
      </c>
    </row>
    <row r="823" spans="23:23" x14ac:dyDescent="0.35">
      <c r="W823" t="str">
        <f t="shared" si="12"/>
        <v/>
      </c>
    </row>
    <row r="824" spans="23:23" x14ac:dyDescent="0.35">
      <c r="W824" t="str">
        <f t="shared" si="12"/>
        <v/>
      </c>
    </row>
    <row r="825" spans="23:23" x14ac:dyDescent="0.35">
      <c r="W825" t="str">
        <f t="shared" si="12"/>
        <v/>
      </c>
    </row>
    <row r="826" spans="23:23" x14ac:dyDescent="0.35">
      <c r="W826" t="str">
        <f t="shared" si="12"/>
        <v/>
      </c>
    </row>
    <row r="827" spans="23:23" x14ac:dyDescent="0.35">
      <c r="W827" t="str">
        <f t="shared" si="12"/>
        <v/>
      </c>
    </row>
    <row r="828" spans="23:23" x14ac:dyDescent="0.35">
      <c r="W828" t="str">
        <f t="shared" si="12"/>
        <v/>
      </c>
    </row>
    <row r="829" spans="23:23" x14ac:dyDescent="0.35">
      <c r="W829" t="str">
        <f t="shared" si="12"/>
        <v/>
      </c>
    </row>
    <row r="830" spans="23:23" x14ac:dyDescent="0.35">
      <c r="W830" t="str">
        <f t="shared" si="12"/>
        <v/>
      </c>
    </row>
    <row r="831" spans="23:23" x14ac:dyDescent="0.35">
      <c r="W831" t="str">
        <f t="shared" si="12"/>
        <v/>
      </c>
    </row>
    <row r="832" spans="23:23" x14ac:dyDescent="0.35">
      <c r="W832" t="str">
        <f t="shared" si="12"/>
        <v/>
      </c>
    </row>
    <row r="833" spans="23:23" x14ac:dyDescent="0.35">
      <c r="W833" t="str">
        <f t="shared" si="12"/>
        <v/>
      </c>
    </row>
    <row r="834" spans="23:23" x14ac:dyDescent="0.35">
      <c r="W834" t="str">
        <f t="shared" ref="W834:W897" si="13">IF(P834="","",YEAR(P834))</f>
        <v/>
      </c>
    </row>
    <row r="835" spans="23:23" x14ac:dyDescent="0.35">
      <c r="W835" t="str">
        <f t="shared" si="13"/>
        <v/>
      </c>
    </row>
    <row r="836" spans="23:23" x14ac:dyDescent="0.35">
      <c r="W836" t="str">
        <f t="shared" si="13"/>
        <v/>
      </c>
    </row>
    <row r="837" spans="23:23" x14ac:dyDescent="0.35">
      <c r="W837" t="str">
        <f t="shared" si="13"/>
        <v/>
      </c>
    </row>
    <row r="838" spans="23:23" x14ac:dyDescent="0.35">
      <c r="W838" t="str">
        <f t="shared" si="13"/>
        <v/>
      </c>
    </row>
    <row r="839" spans="23:23" x14ac:dyDescent="0.35">
      <c r="W839" t="str">
        <f t="shared" si="13"/>
        <v/>
      </c>
    </row>
    <row r="840" spans="23:23" x14ac:dyDescent="0.35">
      <c r="W840" t="str">
        <f t="shared" si="13"/>
        <v/>
      </c>
    </row>
    <row r="841" spans="23:23" x14ac:dyDescent="0.35">
      <c r="W841" t="str">
        <f t="shared" si="13"/>
        <v/>
      </c>
    </row>
    <row r="842" spans="23:23" x14ac:dyDescent="0.35">
      <c r="W842" t="str">
        <f t="shared" si="13"/>
        <v/>
      </c>
    </row>
    <row r="843" spans="23:23" x14ac:dyDescent="0.35">
      <c r="W843" t="str">
        <f t="shared" si="13"/>
        <v/>
      </c>
    </row>
    <row r="844" spans="23:23" x14ac:dyDescent="0.35">
      <c r="W844" t="str">
        <f t="shared" si="13"/>
        <v/>
      </c>
    </row>
    <row r="845" spans="23:23" x14ac:dyDescent="0.35">
      <c r="W845" t="str">
        <f t="shared" si="13"/>
        <v/>
      </c>
    </row>
    <row r="846" spans="23:23" x14ac:dyDescent="0.35">
      <c r="W846" t="str">
        <f t="shared" si="13"/>
        <v/>
      </c>
    </row>
    <row r="847" spans="23:23" x14ac:dyDescent="0.35">
      <c r="W847" t="str">
        <f t="shared" si="13"/>
        <v/>
      </c>
    </row>
    <row r="848" spans="23:23" x14ac:dyDescent="0.35">
      <c r="W848" t="str">
        <f t="shared" si="13"/>
        <v/>
      </c>
    </row>
    <row r="849" spans="23:23" x14ac:dyDescent="0.35">
      <c r="W849" t="str">
        <f t="shared" si="13"/>
        <v/>
      </c>
    </row>
    <row r="850" spans="23:23" x14ac:dyDescent="0.35">
      <c r="W850" t="str">
        <f t="shared" si="13"/>
        <v/>
      </c>
    </row>
    <row r="851" spans="23:23" x14ac:dyDescent="0.35">
      <c r="W851" t="str">
        <f t="shared" si="13"/>
        <v/>
      </c>
    </row>
    <row r="852" spans="23:23" x14ac:dyDescent="0.35">
      <c r="W852" t="str">
        <f t="shared" si="13"/>
        <v/>
      </c>
    </row>
    <row r="853" spans="23:23" x14ac:dyDescent="0.35">
      <c r="W853" t="str">
        <f t="shared" si="13"/>
        <v/>
      </c>
    </row>
    <row r="854" spans="23:23" x14ac:dyDescent="0.35">
      <c r="W854" t="str">
        <f t="shared" si="13"/>
        <v/>
      </c>
    </row>
    <row r="855" spans="23:23" x14ac:dyDescent="0.35">
      <c r="W855" t="str">
        <f t="shared" si="13"/>
        <v/>
      </c>
    </row>
    <row r="856" spans="23:23" x14ac:dyDescent="0.35">
      <c r="W856" t="str">
        <f t="shared" si="13"/>
        <v/>
      </c>
    </row>
    <row r="857" spans="23:23" x14ac:dyDescent="0.35">
      <c r="W857" t="str">
        <f t="shared" si="13"/>
        <v/>
      </c>
    </row>
    <row r="858" spans="23:23" x14ac:dyDescent="0.35">
      <c r="W858" t="str">
        <f t="shared" si="13"/>
        <v/>
      </c>
    </row>
    <row r="859" spans="23:23" x14ac:dyDescent="0.35">
      <c r="W859" t="str">
        <f t="shared" si="13"/>
        <v/>
      </c>
    </row>
    <row r="860" spans="23:23" x14ac:dyDescent="0.35">
      <c r="W860" t="str">
        <f t="shared" si="13"/>
        <v/>
      </c>
    </row>
    <row r="861" spans="23:23" x14ac:dyDescent="0.35">
      <c r="W861" t="str">
        <f t="shared" si="13"/>
        <v/>
      </c>
    </row>
    <row r="862" spans="23:23" x14ac:dyDescent="0.35">
      <c r="W862" t="str">
        <f t="shared" si="13"/>
        <v/>
      </c>
    </row>
    <row r="863" spans="23:23" x14ac:dyDescent="0.35">
      <c r="W863" t="str">
        <f t="shared" si="13"/>
        <v/>
      </c>
    </row>
    <row r="864" spans="23:23" x14ac:dyDescent="0.35">
      <c r="W864" t="str">
        <f t="shared" si="13"/>
        <v/>
      </c>
    </row>
    <row r="865" spans="23:23" x14ac:dyDescent="0.35">
      <c r="W865" t="str">
        <f t="shared" si="13"/>
        <v/>
      </c>
    </row>
    <row r="866" spans="23:23" x14ac:dyDescent="0.35">
      <c r="W866" t="str">
        <f t="shared" si="13"/>
        <v/>
      </c>
    </row>
    <row r="867" spans="23:23" x14ac:dyDescent="0.35">
      <c r="W867" t="str">
        <f t="shared" si="13"/>
        <v/>
      </c>
    </row>
    <row r="868" spans="23:23" x14ac:dyDescent="0.35">
      <c r="W868" t="str">
        <f t="shared" si="13"/>
        <v/>
      </c>
    </row>
    <row r="869" spans="23:23" x14ac:dyDescent="0.35">
      <c r="W869" t="str">
        <f t="shared" si="13"/>
        <v/>
      </c>
    </row>
    <row r="870" spans="23:23" x14ac:dyDescent="0.35">
      <c r="W870" t="str">
        <f t="shared" si="13"/>
        <v/>
      </c>
    </row>
    <row r="871" spans="23:23" x14ac:dyDescent="0.35">
      <c r="W871" t="str">
        <f t="shared" si="13"/>
        <v/>
      </c>
    </row>
    <row r="872" spans="23:23" x14ac:dyDescent="0.35">
      <c r="W872" t="str">
        <f t="shared" si="13"/>
        <v/>
      </c>
    </row>
    <row r="873" spans="23:23" x14ac:dyDescent="0.35">
      <c r="W873" t="str">
        <f t="shared" si="13"/>
        <v/>
      </c>
    </row>
    <row r="874" spans="23:23" x14ac:dyDescent="0.35">
      <c r="W874" t="str">
        <f t="shared" si="13"/>
        <v/>
      </c>
    </row>
    <row r="875" spans="23:23" x14ac:dyDescent="0.35">
      <c r="W875" t="str">
        <f t="shared" si="13"/>
        <v/>
      </c>
    </row>
    <row r="876" spans="23:23" x14ac:dyDescent="0.35">
      <c r="W876" t="str">
        <f t="shared" si="13"/>
        <v/>
      </c>
    </row>
    <row r="877" spans="23:23" x14ac:dyDescent="0.35">
      <c r="W877" t="str">
        <f t="shared" si="13"/>
        <v/>
      </c>
    </row>
    <row r="878" spans="23:23" x14ac:dyDescent="0.35">
      <c r="W878" t="str">
        <f t="shared" si="13"/>
        <v/>
      </c>
    </row>
    <row r="879" spans="23:23" x14ac:dyDescent="0.35">
      <c r="W879" t="str">
        <f t="shared" si="13"/>
        <v/>
      </c>
    </row>
    <row r="880" spans="23:23" x14ac:dyDescent="0.35">
      <c r="W880" t="str">
        <f t="shared" si="13"/>
        <v/>
      </c>
    </row>
    <row r="881" spans="23:23" x14ac:dyDescent="0.35">
      <c r="W881" t="str">
        <f t="shared" si="13"/>
        <v/>
      </c>
    </row>
    <row r="882" spans="23:23" x14ac:dyDescent="0.35">
      <c r="W882" t="str">
        <f t="shared" si="13"/>
        <v/>
      </c>
    </row>
    <row r="883" spans="23:23" x14ac:dyDescent="0.35">
      <c r="W883" t="str">
        <f t="shared" si="13"/>
        <v/>
      </c>
    </row>
    <row r="884" spans="23:23" x14ac:dyDescent="0.35">
      <c r="W884" t="str">
        <f t="shared" si="13"/>
        <v/>
      </c>
    </row>
    <row r="885" spans="23:23" x14ac:dyDescent="0.35">
      <c r="W885" t="str">
        <f t="shared" si="13"/>
        <v/>
      </c>
    </row>
    <row r="886" spans="23:23" x14ac:dyDescent="0.35">
      <c r="W886" t="str">
        <f t="shared" si="13"/>
        <v/>
      </c>
    </row>
    <row r="887" spans="23:23" x14ac:dyDescent="0.35">
      <c r="W887" t="str">
        <f t="shared" si="13"/>
        <v/>
      </c>
    </row>
    <row r="888" spans="23:23" x14ac:dyDescent="0.35">
      <c r="W888" t="str">
        <f t="shared" si="13"/>
        <v/>
      </c>
    </row>
    <row r="889" spans="23:23" x14ac:dyDescent="0.35">
      <c r="W889" t="str">
        <f t="shared" si="13"/>
        <v/>
      </c>
    </row>
    <row r="890" spans="23:23" x14ac:dyDescent="0.35">
      <c r="W890" t="str">
        <f t="shared" si="13"/>
        <v/>
      </c>
    </row>
    <row r="891" spans="23:23" x14ac:dyDescent="0.35">
      <c r="W891" t="str">
        <f t="shared" si="13"/>
        <v/>
      </c>
    </row>
    <row r="892" spans="23:23" x14ac:dyDescent="0.35">
      <c r="W892" t="str">
        <f t="shared" si="13"/>
        <v/>
      </c>
    </row>
    <row r="893" spans="23:23" x14ac:dyDescent="0.35">
      <c r="W893" t="str">
        <f t="shared" si="13"/>
        <v/>
      </c>
    </row>
    <row r="894" spans="23:23" x14ac:dyDescent="0.35">
      <c r="W894" t="str">
        <f t="shared" si="13"/>
        <v/>
      </c>
    </row>
    <row r="895" spans="23:23" x14ac:dyDescent="0.35">
      <c r="W895" t="str">
        <f t="shared" si="13"/>
        <v/>
      </c>
    </row>
    <row r="896" spans="23:23" x14ac:dyDescent="0.35">
      <c r="W896" t="str">
        <f t="shared" si="13"/>
        <v/>
      </c>
    </row>
    <row r="897" spans="23:23" x14ac:dyDescent="0.35">
      <c r="W897" t="str">
        <f t="shared" si="13"/>
        <v/>
      </c>
    </row>
    <row r="898" spans="23:23" x14ac:dyDescent="0.35">
      <c r="W898" t="str">
        <f t="shared" ref="W898:W961" si="14">IF(P898="","",YEAR(P898))</f>
        <v/>
      </c>
    </row>
    <row r="899" spans="23:23" x14ac:dyDescent="0.35">
      <c r="W899" t="str">
        <f t="shared" si="14"/>
        <v/>
      </c>
    </row>
    <row r="900" spans="23:23" x14ac:dyDescent="0.35">
      <c r="W900" t="str">
        <f t="shared" si="14"/>
        <v/>
      </c>
    </row>
    <row r="901" spans="23:23" x14ac:dyDescent="0.35">
      <c r="W901" t="str">
        <f t="shared" si="14"/>
        <v/>
      </c>
    </row>
    <row r="902" spans="23:23" x14ac:dyDescent="0.35">
      <c r="W902" t="str">
        <f t="shared" si="14"/>
        <v/>
      </c>
    </row>
    <row r="903" spans="23:23" x14ac:dyDescent="0.35">
      <c r="W903" t="str">
        <f t="shared" si="14"/>
        <v/>
      </c>
    </row>
    <row r="904" spans="23:23" x14ac:dyDescent="0.35">
      <c r="W904" t="str">
        <f t="shared" si="14"/>
        <v/>
      </c>
    </row>
    <row r="905" spans="23:23" x14ac:dyDescent="0.35">
      <c r="W905" t="str">
        <f t="shared" si="14"/>
        <v/>
      </c>
    </row>
    <row r="906" spans="23:23" x14ac:dyDescent="0.35">
      <c r="W906" t="str">
        <f t="shared" si="14"/>
        <v/>
      </c>
    </row>
    <row r="907" spans="23:23" x14ac:dyDescent="0.35">
      <c r="W907" t="str">
        <f t="shared" si="14"/>
        <v/>
      </c>
    </row>
    <row r="908" spans="23:23" x14ac:dyDescent="0.35">
      <c r="W908" t="str">
        <f t="shared" si="14"/>
        <v/>
      </c>
    </row>
    <row r="909" spans="23:23" x14ac:dyDescent="0.35">
      <c r="W909" t="str">
        <f t="shared" si="14"/>
        <v/>
      </c>
    </row>
    <row r="910" spans="23:23" x14ac:dyDescent="0.35">
      <c r="W910" t="str">
        <f t="shared" si="14"/>
        <v/>
      </c>
    </row>
    <row r="911" spans="23:23" x14ac:dyDescent="0.35">
      <c r="W911" t="str">
        <f t="shared" si="14"/>
        <v/>
      </c>
    </row>
    <row r="912" spans="23:23" x14ac:dyDescent="0.35">
      <c r="W912" t="str">
        <f t="shared" si="14"/>
        <v/>
      </c>
    </row>
    <row r="913" spans="23:23" x14ac:dyDescent="0.35">
      <c r="W913" t="str">
        <f t="shared" si="14"/>
        <v/>
      </c>
    </row>
    <row r="914" spans="23:23" x14ac:dyDescent="0.35">
      <c r="W914" t="str">
        <f t="shared" si="14"/>
        <v/>
      </c>
    </row>
    <row r="915" spans="23:23" x14ac:dyDescent="0.35">
      <c r="W915" t="str">
        <f t="shared" si="14"/>
        <v/>
      </c>
    </row>
    <row r="916" spans="23:23" x14ac:dyDescent="0.35">
      <c r="W916" t="str">
        <f t="shared" si="14"/>
        <v/>
      </c>
    </row>
    <row r="917" spans="23:23" x14ac:dyDescent="0.35">
      <c r="W917" t="str">
        <f t="shared" si="14"/>
        <v/>
      </c>
    </row>
    <row r="918" spans="23:23" x14ac:dyDescent="0.35">
      <c r="W918" t="str">
        <f t="shared" si="14"/>
        <v/>
      </c>
    </row>
    <row r="919" spans="23:23" x14ac:dyDescent="0.35">
      <c r="W919" t="str">
        <f t="shared" si="14"/>
        <v/>
      </c>
    </row>
    <row r="920" spans="23:23" x14ac:dyDescent="0.35">
      <c r="W920" t="str">
        <f t="shared" si="14"/>
        <v/>
      </c>
    </row>
    <row r="921" spans="23:23" x14ac:dyDescent="0.35">
      <c r="W921" t="str">
        <f t="shared" si="14"/>
        <v/>
      </c>
    </row>
    <row r="922" spans="23:23" x14ac:dyDescent="0.35">
      <c r="W922" t="str">
        <f t="shared" si="14"/>
        <v/>
      </c>
    </row>
    <row r="923" spans="23:23" x14ac:dyDescent="0.35">
      <c r="W923" t="str">
        <f t="shared" si="14"/>
        <v/>
      </c>
    </row>
    <row r="924" spans="23:23" x14ac:dyDescent="0.35">
      <c r="W924" t="str">
        <f t="shared" si="14"/>
        <v/>
      </c>
    </row>
    <row r="925" spans="23:23" x14ac:dyDescent="0.35">
      <c r="W925" t="str">
        <f t="shared" si="14"/>
        <v/>
      </c>
    </row>
    <row r="926" spans="23:23" x14ac:dyDescent="0.35">
      <c r="W926" t="str">
        <f t="shared" si="14"/>
        <v/>
      </c>
    </row>
    <row r="927" spans="23:23" x14ac:dyDescent="0.35">
      <c r="W927" t="str">
        <f t="shared" si="14"/>
        <v/>
      </c>
    </row>
    <row r="928" spans="23:23" x14ac:dyDescent="0.35">
      <c r="W928" t="str">
        <f t="shared" si="14"/>
        <v/>
      </c>
    </row>
    <row r="929" spans="23:23" x14ac:dyDescent="0.35">
      <c r="W929" t="str">
        <f t="shared" si="14"/>
        <v/>
      </c>
    </row>
    <row r="930" spans="23:23" x14ac:dyDescent="0.35">
      <c r="W930" t="str">
        <f t="shared" si="14"/>
        <v/>
      </c>
    </row>
    <row r="931" spans="23:23" x14ac:dyDescent="0.35">
      <c r="W931" t="str">
        <f t="shared" si="14"/>
        <v/>
      </c>
    </row>
    <row r="932" spans="23:23" x14ac:dyDescent="0.35">
      <c r="W932" t="str">
        <f t="shared" si="14"/>
        <v/>
      </c>
    </row>
    <row r="933" spans="23:23" x14ac:dyDescent="0.35">
      <c r="W933" t="str">
        <f t="shared" si="14"/>
        <v/>
      </c>
    </row>
    <row r="934" spans="23:23" x14ac:dyDescent="0.35">
      <c r="W934" t="str">
        <f t="shared" si="14"/>
        <v/>
      </c>
    </row>
    <row r="935" spans="23:23" x14ac:dyDescent="0.35">
      <c r="W935" t="str">
        <f t="shared" si="14"/>
        <v/>
      </c>
    </row>
    <row r="936" spans="23:23" x14ac:dyDescent="0.35">
      <c r="W936" t="str">
        <f t="shared" si="14"/>
        <v/>
      </c>
    </row>
    <row r="937" spans="23:23" x14ac:dyDescent="0.35">
      <c r="W937" t="str">
        <f t="shared" si="14"/>
        <v/>
      </c>
    </row>
    <row r="938" spans="23:23" x14ac:dyDescent="0.35">
      <c r="W938" t="str">
        <f t="shared" si="14"/>
        <v/>
      </c>
    </row>
    <row r="939" spans="23:23" x14ac:dyDescent="0.35">
      <c r="W939" t="str">
        <f t="shared" si="14"/>
        <v/>
      </c>
    </row>
    <row r="940" spans="23:23" x14ac:dyDescent="0.35">
      <c r="W940" t="str">
        <f t="shared" si="14"/>
        <v/>
      </c>
    </row>
    <row r="941" spans="23:23" x14ac:dyDescent="0.35">
      <c r="W941" t="str">
        <f t="shared" si="14"/>
        <v/>
      </c>
    </row>
    <row r="942" spans="23:23" x14ac:dyDescent="0.35">
      <c r="W942" t="str">
        <f t="shared" si="14"/>
        <v/>
      </c>
    </row>
    <row r="943" spans="23:23" x14ac:dyDescent="0.35">
      <c r="W943" t="str">
        <f t="shared" si="14"/>
        <v/>
      </c>
    </row>
    <row r="944" spans="23:23" x14ac:dyDescent="0.35">
      <c r="W944" t="str">
        <f t="shared" si="14"/>
        <v/>
      </c>
    </row>
    <row r="945" spans="23:23" x14ac:dyDescent="0.35">
      <c r="W945" t="str">
        <f t="shared" si="14"/>
        <v/>
      </c>
    </row>
    <row r="946" spans="23:23" x14ac:dyDescent="0.35">
      <c r="W946" t="str">
        <f t="shared" si="14"/>
        <v/>
      </c>
    </row>
    <row r="947" spans="23:23" x14ac:dyDescent="0.35">
      <c r="W947" t="str">
        <f t="shared" si="14"/>
        <v/>
      </c>
    </row>
    <row r="948" spans="23:23" x14ac:dyDescent="0.35">
      <c r="W948" t="str">
        <f t="shared" si="14"/>
        <v/>
      </c>
    </row>
    <row r="949" spans="23:23" x14ac:dyDescent="0.35">
      <c r="W949" t="str">
        <f t="shared" si="14"/>
        <v/>
      </c>
    </row>
    <row r="950" spans="23:23" x14ac:dyDescent="0.35">
      <c r="W950" t="str">
        <f t="shared" si="14"/>
        <v/>
      </c>
    </row>
    <row r="951" spans="23:23" x14ac:dyDescent="0.35">
      <c r="W951" t="str">
        <f t="shared" si="14"/>
        <v/>
      </c>
    </row>
    <row r="952" spans="23:23" x14ac:dyDescent="0.35">
      <c r="W952" t="str">
        <f t="shared" si="14"/>
        <v/>
      </c>
    </row>
    <row r="953" spans="23:23" x14ac:dyDescent="0.35">
      <c r="W953" t="str">
        <f t="shared" si="14"/>
        <v/>
      </c>
    </row>
    <row r="954" spans="23:23" x14ac:dyDescent="0.35">
      <c r="W954" t="str">
        <f t="shared" si="14"/>
        <v/>
      </c>
    </row>
    <row r="955" spans="23:23" x14ac:dyDescent="0.35">
      <c r="W955" t="str">
        <f t="shared" si="14"/>
        <v/>
      </c>
    </row>
    <row r="956" spans="23:23" x14ac:dyDescent="0.35">
      <c r="W956" t="str">
        <f t="shared" si="14"/>
        <v/>
      </c>
    </row>
    <row r="957" spans="23:23" x14ac:dyDescent="0.35">
      <c r="W957" t="str">
        <f t="shared" si="14"/>
        <v/>
      </c>
    </row>
    <row r="958" spans="23:23" x14ac:dyDescent="0.35">
      <c r="W958" t="str">
        <f t="shared" si="14"/>
        <v/>
      </c>
    </row>
    <row r="959" spans="23:23" x14ac:dyDescent="0.35">
      <c r="W959" t="str">
        <f t="shared" si="14"/>
        <v/>
      </c>
    </row>
    <row r="960" spans="23:23" x14ac:dyDescent="0.35">
      <c r="W960" t="str">
        <f t="shared" si="14"/>
        <v/>
      </c>
    </row>
    <row r="961" spans="23:23" x14ac:dyDescent="0.35">
      <c r="W961" t="str">
        <f t="shared" si="14"/>
        <v/>
      </c>
    </row>
    <row r="962" spans="23:23" x14ac:dyDescent="0.35">
      <c r="W962" t="str">
        <f t="shared" ref="W962:W1000" si="15">IF(P962="","",YEAR(P962))</f>
        <v/>
      </c>
    </row>
    <row r="963" spans="23:23" x14ac:dyDescent="0.35">
      <c r="W963" t="str">
        <f t="shared" si="15"/>
        <v/>
      </c>
    </row>
    <row r="964" spans="23:23" x14ac:dyDescent="0.35">
      <c r="W964" t="str">
        <f t="shared" si="15"/>
        <v/>
      </c>
    </row>
    <row r="965" spans="23:23" x14ac:dyDescent="0.35">
      <c r="W965" t="str">
        <f t="shared" si="15"/>
        <v/>
      </c>
    </row>
    <row r="966" spans="23:23" x14ac:dyDescent="0.35">
      <c r="W966" t="str">
        <f t="shared" si="15"/>
        <v/>
      </c>
    </row>
    <row r="967" spans="23:23" x14ac:dyDescent="0.35">
      <c r="W967" t="str">
        <f t="shared" si="15"/>
        <v/>
      </c>
    </row>
    <row r="968" spans="23:23" x14ac:dyDescent="0.35">
      <c r="W968" t="str">
        <f t="shared" si="15"/>
        <v/>
      </c>
    </row>
    <row r="969" spans="23:23" x14ac:dyDescent="0.35">
      <c r="W969" t="str">
        <f t="shared" si="15"/>
        <v/>
      </c>
    </row>
    <row r="970" spans="23:23" x14ac:dyDescent="0.35">
      <c r="W970" t="str">
        <f t="shared" si="15"/>
        <v/>
      </c>
    </row>
    <row r="971" spans="23:23" x14ac:dyDescent="0.35">
      <c r="W971" t="str">
        <f t="shared" si="15"/>
        <v/>
      </c>
    </row>
    <row r="972" spans="23:23" x14ac:dyDescent="0.35">
      <c r="W972" t="str">
        <f t="shared" si="15"/>
        <v/>
      </c>
    </row>
    <row r="973" spans="23:23" x14ac:dyDescent="0.35">
      <c r="W973" t="str">
        <f t="shared" si="15"/>
        <v/>
      </c>
    </row>
    <row r="974" spans="23:23" x14ac:dyDescent="0.35">
      <c r="W974" t="str">
        <f t="shared" si="15"/>
        <v/>
      </c>
    </row>
    <row r="975" spans="23:23" x14ac:dyDescent="0.35">
      <c r="W975" t="str">
        <f t="shared" si="15"/>
        <v/>
      </c>
    </row>
    <row r="976" spans="23:23" x14ac:dyDescent="0.35">
      <c r="W976" t="str">
        <f t="shared" si="15"/>
        <v/>
      </c>
    </row>
    <row r="977" spans="23:23" x14ac:dyDescent="0.35">
      <c r="W977" t="str">
        <f t="shared" si="15"/>
        <v/>
      </c>
    </row>
    <row r="978" spans="23:23" x14ac:dyDescent="0.35">
      <c r="W978" t="str">
        <f t="shared" si="15"/>
        <v/>
      </c>
    </row>
    <row r="979" spans="23:23" x14ac:dyDescent="0.35">
      <c r="W979" t="str">
        <f t="shared" si="15"/>
        <v/>
      </c>
    </row>
    <row r="980" spans="23:23" x14ac:dyDescent="0.35">
      <c r="W980" t="str">
        <f t="shared" si="15"/>
        <v/>
      </c>
    </row>
    <row r="981" spans="23:23" x14ac:dyDescent="0.35">
      <c r="W981" t="str">
        <f t="shared" si="15"/>
        <v/>
      </c>
    </row>
    <row r="982" spans="23:23" x14ac:dyDescent="0.35">
      <c r="W982" t="str">
        <f t="shared" si="15"/>
        <v/>
      </c>
    </row>
    <row r="983" spans="23:23" x14ac:dyDescent="0.35">
      <c r="W983" t="str">
        <f t="shared" si="15"/>
        <v/>
      </c>
    </row>
    <row r="984" spans="23:23" x14ac:dyDescent="0.35">
      <c r="W984" t="str">
        <f t="shared" si="15"/>
        <v/>
      </c>
    </row>
    <row r="985" spans="23:23" x14ac:dyDescent="0.35">
      <c r="W985" t="str">
        <f t="shared" si="15"/>
        <v/>
      </c>
    </row>
    <row r="986" spans="23:23" x14ac:dyDescent="0.35">
      <c r="W986" t="str">
        <f t="shared" si="15"/>
        <v/>
      </c>
    </row>
    <row r="987" spans="23:23" x14ac:dyDescent="0.35">
      <c r="W987" t="str">
        <f t="shared" si="15"/>
        <v/>
      </c>
    </row>
    <row r="988" spans="23:23" x14ac:dyDescent="0.35">
      <c r="W988" t="str">
        <f t="shared" si="15"/>
        <v/>
      </c>
    </row>
    <row r="989" spans="23:23" x14ac:dyDescent="0.35">
      <c r="W989" t="str">
        <f t="shared" si="15"/>
        <v/>
      </c>
    </row>
    <row r="990" spans="23:23" x14ac:dyDescent="0.35">
      <c r="W990" t="str">
        <f t="shared" si="15"/>
        <v/>
      </c>
    </row>
    <row r="991" spans="23:23" x14ac:dyDescent="0.35">
      <c r="W991" t="str">
        <f t="shared" si="15"/>
        <v/>
      </c>
    </row>
    <row r="992" spans="23:23" x14ac:dyDescent="0.35">
      <c r="W992" t="str">
        <f t="shared" si="15"/>
        <v/>
      </c>
    </row>
    <row r="993" spans="23:23" x14ac:dyDescent="0.35">
      <c r="W993" t="str">
        <f t="shared" si="15"/>
        <v/>
      </c>
    </row>
    <row r="994" spans="23:23" x14ac:dyDescent="0.35">
      <c r="W994" t="str">
        <f t="shared" si="15"/>
        <v/>
      </c>
    </row>
    <row r="995" spans="23:23" x14ac:dyDescent="0.35">
      <c r="W995" t="str">
        <f t="shared" si="15"/>
        <v/>
      </c>
    </row>
    <row r="996" spans="23:23" x14ac:dyDescent="0.35">
      <c r="W996" t="str">
        <f t="shared" si="15"/>
        <v/>
      </c>
    </row>
    <row r="997" spans="23:23" x14ac:dyDescent="0.35">
      <c r="W997" t="str">
        <f t="shared" si="15"/>
        <v/>
      </c>
    </row>
    <row r="998" spans="23:23" x14ac:dyDescent="0.35">
      <c r="W998" t="str">
        <f t="shared" si="15"/>
        <v/>
      </c>
    </row>
    <row r="999" spans="23:23" x14ac:dyDescent="0.35">
      <c r="W999" t="str">
        <f t="shared" si="15"/>
        <v/>
      </c>
    </row>
    <row r="1000" spans="23:23" x14ac:dyDescent="0.35">
      <c r="W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600-000000000000}">
          <x14:formula1>
            <xm:f>DB_Lookups!$A$2:$A$20</xm:f>
          </x14:formula1>
          <xm:sqref>M2:M1000</xm:sqref>
        </x14:dataValidation>
        <x14:dataValidation type="list" allowBlank="1" xr:uid="{00000000-0002-0000-0600-000001000000}">
          <x14:formula1>
            <xm:f>DB_Lookups!$D$2:$D$10</xm:f>
          </x14:formula1>
          <xm:sqref>W2:W1000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Y1000"/>
  <sheetViews>
    <sheetView rightToLeft="1" zoomScale="94" zoomScaleNormal="55" workbookViewId="0">
      <selection activeCell="A3" sqref="A3:XFD3"/>
    </sheetView>
  </sheetViews>
  <sheetFormatPr defaultRowHeight="16.8" x14ac:dyDescent="0.35"/>
  <cols>
    <col min="1" max="1" width="6.88671875" style="12" bestFit="1" customWidth="1"/>
    <col min="2" max="2" width="13.33203125" style="12" bestFit="1" customWidth="1"/>
    <col min="3" max="3" width="12" style="12" bestFit="1" customWidth="1"/>
    <col min="4" max="4" width="20.21875" style="12" bestFit="1" customWidth="1"/>
    <col min="5" max="6" width="14.6640625" style="12" bestFit="1" customWidth="1"/>
    <col min="7" max="7" width="11.33203125" style="12" bestFit="1" customWidth="1"/>
    <col min="8" max="8" width="30.77734375" style="12" bestFit="1" customWidth="1"/>
    <col min="9" max="9" width="9.5546875" style="12" bestFit="1" customWidth="1"/>
    <col min="10" max="10" width="7.6640625" style="12" bestFit="1" customWidth="1"/>
    <col min="11" max="11" width="16.6640625" style="12" bestFit="1" customWidth="1"/>
    <col min="12" max="12" width="9.88671875" style="12" bestFit="1" customWidth="1"/>
    <col min="13" max="13" width="20.33203125" style="12" bestFit="1" customWidth="1"/>
    <col min="14" max="14" width="15.6640625" style="12" bestFit="1" customWidth="1"/>
    <col min="15" max="15" width="8.21875" style="12" bestFit="1" customWidth="1"/>
    <col min="16" max="16" width="12.88671875" style="12" bestFit="1" customWidth="1"/>
    <col min="17" max="17" width="8.21875" style="12" bestFit="1" customWidth="1"/>
    <col min="18" max="18" width="13.109375" style="12" customWidth="1"/>
    <col min="19" max="19" width="8" style="12" customWidth="1"/>
    <col min="20" max="20" width="8.88671875" style="12" customWidth="1"/>
    <col min="21" max="22" width="8.88671875" style="3" customWidth="1"/>
    <col min="23" max="23" width="8.88671875" style="12" customWidth="1"/>
    <col min="24" max="24" width="18" customWidth="1"/>
    <col min="25" max="25" width="22" customWidth="1"/>
    <col min="26" max="16384" width="8.88671875" style="12"/>
  </cols>
  <sheetData>
    <row r="1" spans="1:25" s="15" customFormat="1" x14ac:dyDescent="0.35">
      <c r="A1" s="15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5" t="s">
        <v>38</v>
      </c>
      <c r="H1" s="15" t="s">
        <v>8</v>
      </c>
      <c r="I1" s="15" t="s">
        <v>70</v>
      </c>
      <c r="J1" s="16" t="s">
        <v>10</v>
      </c>
      <c r="K1" s="15" t="s">
        <v>71</v>
      </c>
      <c r="L1" s="15" t="s">
        <v>72</v>
      </c>
      <c r="M1" s="21" t="s">
        <v>11</v>
      </c>
      <c r="N1" s="16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W1" t="s">
        <v>18</v>
      </c>
      <c r="X1" t="s">
        <v>19</v>
      </c>
      <c r="Y1" t="s">
        <v>20</v>
      </c>
    </row>
    <row r="2" spans="1:25" x14ac:dyDescent="0.35">
      <c r="V2" s="12"/>
      <c r="W2" t="str">
        <f t="shared" ref="W2:W65" si="0">IF(P2="","",YEAR(P2))</f>
        <v/>
      </c>
    </row>
    <row r="3" spans="1:25" x14ac:dyDescent="0.35">
      <c r="A3" s="12">
        <v>4</v>
      </c>
      <c r="B3" s="12" t="s">
        <v>25</v>
      </c>
      <c r="C3" s="12" t="s">
        <v>26</v>
      </c>
      <c r="D3" s="12" t="s">
        <v>22</v>
      </c>
      <c r="E3" s="12">
        <v>88</v>
      </c>
      <c r="F3" s="12" t="s">
        <v>27</v>
      </c>
      <c r="G3" s="12" t="s">
        <v>29</v>
      </c>
      <c r="H3" s="12" t="s">
        <v>28</v>
      </c>
      <c r="I3" s="12">
        <v>3</v>
      </c>
      <c r="J3" s="14">
        <v>443</v>
      </c>
      <c r="K3" s="13">
        <v>45690</v>
      </c>
      <c r="L3" s="12">
        <v>5</v>
      </c>
      <c r="M3" s="12" t="s">
        <v>30</v>
      </c>
      <c r="N3" s="14"/>
      <c r="V3" s="12"/>
      <c r="W3" t="str">
        <f t="shared" si="0"/>
        <v/>
      </c>
    </row>
    <row r="4" spans="1:25" x14ac:dyDescent="0.35">
      <c r="V4" s="12"/>
      <c r="W4" t="str">
        <f t="shared" si="0"/>
        <v/>
      </c>
    </row>
    <row r="5" spans="1:25" x14ac:dyDescent="0.35">
      <c r="V5" s="12"/>
      <c r="W5" t="str">
        <f t="shared" si="0"/>
        <v/>
      </c>
    </row>
    <row r="6" spans="1:25" x14ac:dyDescent="0.35">
      <c r="J6" s="14"/>
      <c r="K6" s="13"/>
      <c r="N6" s="14"/>
      <c r="V6" s="12"/>
      <c r="W6" t="str">
        <f t="shared" si="0"/>
        <v/>
      </c>
    </row>
    <row r="7" spans="1:25" x14ac:dyDescent="0.35">
      <c r="E7" s="14"/>
      <c r="F7" s="14"/>
      <c r="G7" s="14"/>
      <c r="H7" s="14"/>
      <c r="I7" s="14"/>
      <c r="J7" s="14"/>
      <c r="K7" s="14"/>
      <c r="L7" s="14"/>
      <c r="N7" s="14"/>
      <c r="O7" s="14"/>
      <c r="V7" s="12"/>
      <c r="W7" t="str">
        <f t="shared" si="0"/>
        <v/>
      </c>
    </row>
    <row r="8" spans="1:25" x14ac:dyDescent="0.35">
      <c r="E8" s="14"/>
      <c r="F8" s="14"/>
      <c r="G8" s="14"/>
      <c r="H8" s="17"/>
      <c r="I8" s="14"/>
      <c r="J8" s="14"/>
      <c r="K8" s="14"/>
      <c r="L8" s="14"/>
      <c r="N8" s="14"/>
      <c r="O8" s="14"/>
      <c r="V8" s="12"/>
      <c r="W8" t="str">
        <f t="shared" si="0"/>
        <v/>
      </c>
    </row>
    <row r="9" spans="1:25" x14ac:dyDescent="0.35">
      <c r="G9" s="5"/>
      <c r="H9" s="5"/>
      <c r="V9" s="12"/>
      <c r="W9" t="str">
        <f t="shared" si="0"/>
        <v/>
      </c>
    </row>
    <row r="10" spans="1:25" x14ac:dyDescent="0.35">
      <c r="G10" s="5"/>
      <c r="H10" s="5"/>
      <c r="V10" s="12"/>
      <c r="W10" t="str">
        <f t="shared" si="0"/>
        <v/>
      </c>
    </row>
    <row r="11" spans="1:25" x14ac:dyDescent="0.35">
      <c r="G11" s="5"/>
      <c r="H11" s="5"/>
      <c r="V11" s="12"/>
      <c r="W11" t="str">
        <f t="shared" si="0"/>
        <v/>
      </c>
    </row>
    <row r="12" spans="1:25" x14ac:dyDescent="0.35">
      <c r="G12" s="5"/>
      <c r="H12" s="5"/>
      <c r="V12" s="12"/>
      <c r="W12" t="str">
        <f t="shared" si="0"/>
        <v/>
      </c>
    </row>
    <row r="13" spans="1:25" x14ac:dyDescent="0.35">
      <c r="G13" s="5"/>
      <c r="H13" s="5"/>
      <c r="V13" s="12"/>
      <c r="W13" t="str">
        <f t="shared" si="0"/>
        <v/>
      </c>
    </row>
    <row r="14" spans="1:25" x14ac:dyDescent="0.35">
      <c r="G14" s="5"/>
      <c r="H14" s="5"/>
      <c r="V14" s="12"/>
      <c r="W14" t="str">
        <f t="shared" si="0"/>
        <v/>
      </c>
    </row>
    <row r="15" spans="1:25" x14ac:dyDescent="0.35">
      <c r="G15" s="5"/>
      <c r="H15" s="5"/>
      <c r="V15" s="12"/>
      <c r="W15" t="str">
        <f t="shared" si="0"/>
        <v/>
      </c>
    </row>
    <row r="16" spans="1:25" x14ac:dyDescent="0.35">
      <c r="G16" s="5"/>
      <c r="H16" s="5"/>
      <c r="V16" s="12"/>
      <c r="W16" t="str">
        <f t="shared" si="0"/>
        <v/>
      </c>
    </row>
    <row r="17" spans="4:23" x14ac:dyDescent="0.35">
      <c r="G17" s="5"/>
      <c r="H17" s="5"/>
      <c r="V17" s="12"/>
      <c r="W17" t="str">
        <f t="shared" si="0"/>
        <v/>
      </c>
    </row>
    <row r="18" spans="4:23" x14ac:dyDescent="0.35">
      <c r="G18" s="5"/>
      <c r="H18" s="5"/>
      <c r="V18" s="12"/>
      <c r="W18" t="str">
        <f t="shared" si="0"/>
        <v/>
      </c>
    </row>
    <row r="19" spans="4:23" x14ac:dyDescent="0.35">
      <c r="G19" s="5"/>
      <c r="H19" s="5"/>
      <c r="J19" s="14"/>
      <c r="N19" s="14"/>
      <c r="V19" s="12"/>
      <c r="W19" t="str">
        <f t="shared" si="0"/>
        <v/>
      </c>
    </row>
    <row r="20" spans="4:23" x14ac:dyDescent="0.35">
      <c r="G20" s="5"/>
      <c r="H20" s="5"/>
      <c r="V20" s="12"/>
      <c r="W20" t="str">
        <f t="shared" si="0"/>
        <v/>
      </c>
    </row>
    <row r="21" spans="4:23" x14ac:dyDescent="0.35">
      <c r="G21" s="5"/>
      <c r="H21" s="5"/>
      <c r="V21" s="12"/>
      <c r="W21" t="str">
        <f t="shared" si="0"/>
        <v/>
      </c>
    </row>
    <row r="22" spans="4:23" x14ac:dyDescent="0.35">
      <c r="G22" s="5"/>
      <c r="H22" s="5"/>
      <c r="V22" s="12"/>
      <c r="W22" t="str">
        <f t="shared" si="0"/>
        <v/>
      </c>
    </row>
    <row r="23" spans="4:23" x14ac:dyDescent="0.35">
      <c r="V23" s="12"/>
      <c r="W23" t="str">
        <f t="shared" si="0"/>
        <v/>
      </c>
    </row>
    <row r="24" spans="4:23" x14ac:dyDescent="0.35">
      <c r="N24" s="14"/>
      <c r="O24" s="14"/>
      <c r="P24" s="14"/>
      <c r="Q24" s="14"/>
      <c r="V24" s="12"/>
      <c r="W24" t="str">
        <f t="shared" si="0"/>
        <v/>
      </c>
    </row>
    <row r="25" spans="4:23" x14ac:dyDescent="0.35">
      <c r="N25" s="14"/>
      <c r="O25" s="14"/>
      <c r="P25" s="14"/>
      <c r="Q25" s="14"/>
      <c r="V25" s="12"/>
      <c r="W25" t="str">
        <f t="shared" si="0"/>
        <v/>
      </c>
    </row>
    <row r="26" spans="4:23" x14ac:dyDescent="0.35">
      <c r="D26" s="14"/>
      <c r="E26" s="14"/>
      <c r="F26" s="14"/>
      <c r="G26" s="14"/>
      <c r="H26" s="14"/>
      <c r="I26" s="14"/>
      <c r="N26" s="14"/>
      <c r="O26" s="14"/>
      <c r="V26" s="12"/>
      <c r="W26" t="str">
        <f t="shared" si="0"/>
        <v/>
      </c>
    </row>
    <row r="27" spans="4:23" x14ac:dyDescent="0.35">
      <c r="D27" s="14"/>
      <c r="E27" s="14"/>
      <c r="F27" s="14"/>
      <c r="G27" s="14"/>
      <c r="H27" s="14"/>
      <c r="I27" s="14"/>
      <c r="N27" s="14"/>
      <c r="O27" s="14"/>
      <c r="V27" s="12"/>
      <c r="W27" t="str">
        <f t="shared" si="0"/>
        <v/>
      </c>
    </row>
    <row r="28" spans="4:23" x14ac:dyDescent="0.35">
      <c r="D28" s="14"/>
      <c r="E28" s="14"/>
      <c r="F28" s="14"/>
      <c r="G28" s="14"/>
      <c r="H28" s="14"/>
      <c r="I28" s="14"/>
      <c r="N28" s="14"/>
      <c r="O28" s="14"/>
      <c r="V28" s="12"/>
      <c r="W28" t="str">
        <f t="shared" si="0"/>
        <v/>
      </c>
    </row>
    <row r="29" spans="4:23" x14ac:dyDescent="0.35">
      <c r="D29" s="14"/>
      <c r="E29" s="14"/>
      <c r="F29" s="14"/>
      <c r="G29" s="14"/>
      <c r="H29" s="14"/>
      <c r="I29" s="14"/>
      <c r="V29" s="12"/>
      <c r="W29" t="str">
        <f t="shared" si="0"/>
        <v/>
      </c>
    </row>
    <row r="30" spans="4:23" x14ac:dyDescent="0.35">
      <c r="D30" s="14"/>
      <c r="E30" s="14"/>
      <c r="F30" s="14"/>
      <c r="G30" s="14"/>
      <c r="H30" s="14"/>
      <c r="I30" s="14"/>
      <c r="V30" s="12"/>
      <c r="W30" t="str">
        <f t="shared" si="0"/>
        <v/>
      </c>
    </row>
    <row r="31" spans="4:23" x14ac:dyDescent="0.35">
      <c r="D31" s="14"/>
      <c r="E31" s="14"/>
      <c r="F31" s="14"/>
      <c r="G31" s="14"/>
      <c r="H31" s="14"/>
      <c r="I31" s="14"/>
      <c r="V31" s="12"/>
      <c r="W31" t="str">
        <f t="shared" si="0"/>
        <v/>
      </c>
    </row>
    <row r="32" spans="4:23" x14ac:dyDescent="0.35">
      <c r="D32" s="14"/>
      <c r="E32" s="14"/>
      <c r="F32" s="14"/>
      <c r="I32" s="14"/>
      <c r="V32" s="12"/>
      <c r="W32" t="str">
        <f t="shared" si="0"/>
        <v/>
      </c>
    </row>
    <row r="33" spans="4:23" x14ac:dyDescent="0.35">
      <c r="D33" s="14"/>
      <c r="E33" s="14"/>
      <c r="F33" s="14"/>
      <c r="I33" s="14"/>
      <c r="V33" s="12"/>
      <c r="W33" t="str">
        <f t="shared" si="0"/>
        <v/>
      </c>
    </row>
    <row r="34" spans="4:23" x14ac:dyDescent="0.35">
      <c r="D34" s="14"/>
      <c r="E34" s="14"/>
      <c r="F34" s="14"/>
      <c r="I34" s="14"/>
      <c r="V34" s="12"/>
      <c r="W34" t="str">
        <f t="shared" si="0"/>
        <v/>
      </c>
    </row>
    <row r="35" spans="4:23" x14ac:dyDescent="0.35">
      <c r="D35" s="14"/>
      <c r="E35" s="14"/>
      <c r="F35" s="14"/>
      <c r="I35" s="14"/>
      <c r="V35" s="12"/>
      <c r="W35" t="str">
        <f t="shared" si="0"/>
        <v/>
      </c>
    </row>
    <row r="36" spans="4:23" x14ac:dyDescent="0.35">
      <c r="D36" s="14"/>
      <c r="E36" s="14"/>
      <c r="F36" s="14"/>
      <c r="I36" s="14"/>
      <c r="V36" s="12"/>
      <c r="W36" t="str">
        <f t="shared" si="0"/>
        <v/>
      </c>
    </row>
    <row r="37" spans="4:23" x14ac:dyDescent="0.35">
      <c r="D37" s="14"/>
      <c r="E37" s="14"/>
      <c r="F37" s="14"/>
      <c r="I37" s="14"/>
      <c r="V37" s="12"/>
      <c r="W37" t="str">
        <f t="shared" si="0"/>
        <v/>
      </c>
    </row>
    <row r="38" spans="4:23" x14ac:dyDescent="0.35">
      <c r="D38" s="14"/>
      <c r="E38" s="14"/>
      <c r="F38" s="14"/>
      <c r="I38" s="14"/>
      <c r="V38" s="12"/>
      <c r="W38" t="str">
        <f t="shared" si="0"/>
        <v/>
      </c>
    </row>
    <row r="39" spans="4:23" x14ac:dyDescent="0.35">
      <c r="D39" s="14"/>
      <c r="E39" s="14"/>
      <c r="F39" s="14"/>
      <c r="I39" s="14"/>
      <c r="V39" s="12"/>
      <c r="W39" t="str">
        <f t="shared" si="0"/>
        <v/>
      </c>
    </row>
    <row r="40" spans="4:23" x14ac:dyDescent="0.35">
      <c r="D40" s="14"/>
      <c r="E40" s="14"/>
      <c r="F40" s="14"/>
      <c r="I40" s="14"/>
      <c r="V40" s="12"/>
      <c r="W40" t="str">
        <f t="shared" si="0"/>
        <v/>
      </c>
    </row>
    <row r="41" spans="4:23" x14ac:dyDescent="0.35">
      <c r="D41" s="14"/>
      <c r="E41" s="14"/>
      <c r="F41" s="14"/>
      <c r="I41" s="14"/>
      <c r="V41" s="12"/>
      <c r="W41" t="str">
        <f t="shared" si="0"/>
        <v/>
      </c>
    </row>
    <row r="42" spans="4:23" x14ac:dyDescent="0.35">
      <c r="D42" s="14"/>
      <c r="E42" s="14"/>
      <c r="F42" s="14"/>
      <c r="I42" s="14"/>
      <c r="V42" s="12"/>
      <c r="W42" t="str">
        <f t="shared" si="0"/>
        <v/>
      </c>
    </row>
    <row r="43" spans="4:23" x14ac:dyDescent="0.35">
      <c r="D43" s="14"/>
      <c r="E43" s="14"/>
      <c r="V43" s="12"/>
      <c r="W43" t="str">
        <f t="shared" si="0"/>
        <v/>
      </c>
    </row>
    <row r="44" spans="4:23" x14ac:dyDescent="0.35">
      <c r="W44" t="str">
        <f t="shared" si="0"/>
        <v/>
      </c>
    </row>
    <row r="45" spans="4:23" x14ac:dyDescent="0.35">
      <c r="W45" t="str">
        <f t="shared" si="0"/>
        <v/>
      </c>
    </row>
    <row r="46" spans="4:23" x14ac:dyDescent="0.35">
      <c r="W46" t="str">
        <f t="shared" si="0"/>
        <v/>
      </c>
    </row>
    <row r="47" spans="4:23" x14ac:dyDescent="0.35">
      <c r="W47" t="str">
        <f t="shared" si="0"/>
        <v/>
      </c>
    </row>
    <row r="48" spans="4:23" x14ac:dyDescent="0.35">
      <c r="W48" t="str">
        <f t="shared" si="0"/>
        <v/>
      </c>
    </row>
    <row r="49" spans="23:23" x14ac:dyDescent="0.35">
      <c r="W49" t="str">
        <f t="shared" si="0"/>
        <v/>
      </c>
    </row>
    <row r="50" spans="23:23" x14ac:dyDescent="0.35">
      <c r="W50" t="str">
        <f t="shared" si="0"/>
        <v/>
      </c>
    </row>
    <row r="51" spans="23:23" x14ac:dyDescent="0.35">
      <c r="W51" t="str">
        <f t="shared" si="0"/>
        <v/>
      </c>
    </row>
    <row r="52" spans="23:23" x14ac:dyDescent="0.35">
      <c r="W52" t="str">
        <f t="shared" si="0"/>
        <v/>
      </c>
    </row>
    <row r="53" spans="23:23" x14ac:dyDescent="0.35">
      <c r="W53" t="str">
        <f t="shared" si="0"/>
        <v/>
      </c>
    </row>
    <row r="54" spans="23:23" x14ac:dyDescent="0.35">
      <c r="W54" t="str">
        <f t="shared" si="0"/>
        <v/>
      </c>
    </row>
    <row r="55" spans="23:23" x14ac:dyDescent="0.35">
      <c r="W55" t="str">
        <f t="shared" si="0"/>
        <v/>
      </c>
    </row>
    <row r="56" spans="23:23" x14ac:dyDescent="0.35">
      <c r="W56" t="str">
        <f t="shared" si="0"/>
        <v/>
      </c>
    </row>
    <row r="57" spans="23:23" x14ac:dyDescent="0.35">
      <c r="W57" t="str">
        <f t="shared" si="0"/>
        <v/>
      </c>
    </row>
    <row r="58" spans="23:23" x14ac:dyDescent="0.35">
      <c r="W58" t="str">
        <f t="shared" si="0"/>
        <v/>
      </c>
    </row>
    <row r="59" spans="23:23" x14ac:dyDescent="0.35">
      <c r="W59" t="str">
        <f t="shared" si="0"/>
        <v/>
      </c>
    </row>
    <row r="60" spans="23:23" x14ac:dyDescent="0.35">
      <c r="W60" t="str">
        <f t="shared" si="0"/>
        <v/>
      </c>
    </row>
    <row r="61" spans="23:23" x14ac:dyDescent="0.35">
      <c r="W61" t="str">
        <f t="shared" si="0"/>
        <v/>
      </c>
    </row>
    <row r="62" spans="23:23" x14ac:dyDescent="0.35">
      <c r="W62" t="str">
        <f t="shared" si="0"/>
        <v/>
      </c>
    </row>
    <row r="63" spans="23:23" x14ac:dyDescent="0.35">
      <c r="W63" t="str">
        <f t="shared" si="0"/>
        <v/>
      </c>
    </row>
    <row r="64" spans="23:23" x14ac:dyDescent="0.35">
      <c r="W64" t="str">
        <f t="shared" si="0"/>
        <v/>
      </c>
    </row>
    <row r="65" spans="23:23" x14ac:dyDescent="0.35">
      <c r="W65" t="str">
        <f t="shared" si="0"/>
        <v/>
      </c>
    </row>
    <row r="66" spans="23:23" x14ac:dyDescent="0.35">
      <c r="W66" t="str">
        <f t="shared" ref="W66:W129" si="1">IF(P66="","",YEAR(P66))</f>
        <v/>
      </c>
    </row>
    <row r="67" spans="23:23" x14ac:dyDescent="0.35">
      <c r="W67" t="str">
        <f t="shared" si="1"/>
        <v/>
      </c>
    </row>
    <row r="68" spans="23:23" x14ac:dyDescent="0.35">
      <c r="W68" t="str">
        <f t="shared" si="1"/>
        <v/>
      </c>
    </row>
    <row r="69" spans="23:23" x14ac:dyDescent="0.35">
      <c r="W69" t="str">
        <f t="shared" si="1"/>
        <v/>
      </c>
    </row>
    <row r="70" spans="23:23" x14ac:dyDescent="0.35">
      <c r="W70" t="str">
        <f t="shared" si="1"/>
        <v/>
      </c>
    </row>
    <row r="71" spans="23:23" x14ac:dyDescent="0.35">
      <c r="W71" t="str">
        <f t="shared" si="1"/>
        <v/>
      </c>
    </row>
    <row r="72" spans="23:23" x14ac:dyDescent="0.35">
      <c r="W72" t="str">
        <f t="shared" si="1"/>
        <v/>
      </c>
    </row>
    <row r="73" spans="23:23" x14ac:dyDescent="0.35">
      <c r="W73" t="str">
        <f t="shared" si="1"/>
        <v/>
      </c>
    </row>
    <row r="74" spans="23:23" x14ac:dyDescent="0.35">
      <c r="W74" t="str">
        <f t="shared" si="1"/>
        <v/>
      </c>
    </row>
    <row r="75" spans="23:23" x14ac:dyDescent="0.35">
      <c r="W75" t="str">
        <f t="shared" si="1"/>
        <v/>
      </c>
    </row>
    <row r="76" spans="23:23" x14ac:dyDescent="0.35">
      <c r="W76" t="str">
        <f t="shared" si="1"/>
        <v/>
      </c>
    </row>
    <row r="77" spans="23:23" x14ac:dyDescent="0.35">
      <c r="W77" t="str">
        <f t="shared" si="1"/>
        <v/>
      </c>
    </row>
    <row r="78" spans="23:23" x14ac:dyDescent="0.35">
      <c r="W78" t="str">
        <f t="shared" si="1"/>
        <v/>
      </c>
    </row>
    <row r="79" spans="23:23" x14ac:dyDescent="0.35">
      <c r="W79" t="str">
        <f t="shared" si="1"/>
        <v/>
      </c>
    </row>
    <row r="80" spans="23:23" x14ac:dyDescent="0.35">
      <c r="W80" t="str">
        <f t="shared" si="1"/>
        <v/>
      </c>
    </row>
    <row r="81" spans="23:23" x14ac:dyDescent="0.35">
      <c r="W81" t="str">
        <f t="shared" si="1"/>
        <v/>
      </c>
    </row>
    <row r="82" spans="23:23" x14ac:dyDescent="0.35">
      <c r="W82" t="str">
        <f t="shared" si="1"/>
        <v/>
      </c>
    </row>
    <row r="83" spans="23:23" x14ac:dyDescent="0.35">
      <c r="W83" t="str">
        <f t="shared" si="1"/>
        <v/>
      </c>
    </row>
    <row r="84" spans="23:23" x14ac:dyDescent="0.35">
      <c r="W84" t="str">
        <f t="shared" si="1"/>
        <v/>
      </c>
    </row>
    <row r="85" spans="23:23" x14ac:dyDescent="0.35">
      <c r="W85" t="str">
        <f t="shared" si="1"/>
        <v/>
      </c>
    </row>
    <row r="86" spans="23:23" x14ac:dyDescent="0.35">
      <c r="W86" t="str">
        <f t="shared" si="1"/>
        <v/>
      </c>
    </row>
    <row r="87" spans="23:23" x14ac:dyDescent="0.35">
      <c r="W87" t="str">
        <f t="shared" si="1"/>
        <v/>
      </c>
    </row>
    <row r="88" spans="23:23" x14ac:dyDescent="0.35">
      <c r="W88" t="str">
        <f t="shared" si="1"/>
        <v/>
      </c>
    </row>
    <row r="89" spans="23:23" x14ac:dyDescent="0.35">
      <c r="W89" t="str">
        <f t="shared" si="1"/>
        <v/>
      </c>
    </row>
    <row r="90" spans="23:23" x14ac:dyDescent="0.35">
      <c r="W90" t="str">
        <f t="shared" si="1"/>
        <v/>
      </c>
    </row>
    <row r="91" spans="23:23" x14ac:dyDescent="0.35">
      <c r="W91" t="str">
        <f t="shared" si="1"/>
        <v/>
      </c>
    </row>
    <row r="92" spans="23:23" x14ac:dyDescent="0.35">
      <c r="W92" t="str">
        <f t="shared" si="1"/>
        <v/>
      </c>
    </row>
    <row r="93" spans="23:23" x14ac:dyDescent="0.35">
      <c r="W93" t="str">
        <f t="shared" si="1"/>
        <v/>
      </c>
    </row>
    <row r="94" spans="23:23" x14ac:dyDescent="0.35">
      <c r="W94" t="str">
        <f t="shared" si="1"/>
        <v/>
      </c>
    </row>
    <row r="95" spans="23:23" x14ac:dyDescent="0.35">
      <c r="W95" t="str">
        <f t="shared" si="1"/>
        <v/>
      </c>
    </row>
    <row r="96" spans="23:23" x14ac:dyDescent="0.35">
      <c r="W96" t="str">
        <f t="shared" si="1"/>
        <v/>
      </c>
    </row>
    <row r="97" spans="23:23" x14ac:dyDescent="0.35">
      <c r="W97" t="str">
        <f t="shared" si="1"/>
        <v/>
      </c>
    </row>
    <row r="98" spans="23:23" x14ac:dyDescent="0.35">
      <c r="W98" t="str">
        <f t="shared" si="1"/>
        <v/>
      </c>
    </row>
    <row r="99" spans="23:23" x14ac:dyDescent="0.35">
      <c r="W99" t="str">
        <f t="shared" si="1"/>
        <v/>
      </c>
    </row>
    <row r="100" spans="23:23" x14ac:dyDescent="0.35">
      <c r="W100" t="str">
        <f t="shared" si="1"/>
        <v/>
      </c>
    </row>
    <row r="101" spans="23:23" x14ac:dyDescent="0.35">
      <c r="W101" t="str">
        <f t="shared" si="1"/>
        <v/>
      </c>
    </row>
    <row r="102" spans="23:23" x14ac:dyDescent="0.35">
      <c r="W102" t="str">
        <f t="shared" si="1"/>
        <v/>
      </c>
    </row>
    <row r="103" spans="23:23" x14ac:dyDescent="0.35">
      <c r="W103" t="str">
        <f t="shared" si="1"/>
        <v/>
      </c>
    </row>
    <row r="104" spans="23:23" x14ac:dyDescent="0.35">
      <c r="W104" t="str">
        <f t="shared" si="1"/>
        <v/>
      </c>
    </row>
    <row r="105" spans="23:23" x14ac:dyDescent="0.35">
      <c r="W105" t="str">
        <f t="shared" si="1"/>
        <v/>
      </c>
    </row>
    <row r="106" spans="23:23" x14ac:dyDescent="0.35">
      <c r="W106" t="str">
        <f t="shared" si="1"/>
        <v/>
      </c>
    </row>
    <row r="107" spans="23:23" x14ac:dyDescent="0.35">
      <c r="W107" t="str">
        <f t="shared" si="1"/>
        <v/>
      </c>
    </row>
    <row r="108" spans="23:23" x14ac:dyDescent="0.35">
      <c r="W108" t="str">
        <f t="shared" si="1"/>
        <v/>
      </c>
    </row>
    <row r="109" spans="23:23" x14ac:dyDescent="0.35">
      <c r="W109" t="str">
        <f t="shared" si="1"/>
        <v/>
      </c>
    </row>
    <row r="110" spans="23:23" x14ac:dyDescent="0.35">
      <c r="W110" t="str">
        <f t="shared" si="1"/>
        <v/>
      </c>
    </row>
    <row r="111" spans="23:23" x14ac:dyDescent="0.35">
      <c r="W111" t="str">
        <f t="shared" si="1"/>
        <v/>
      </c>
    </row>
    <row r="112" spans="23:23" x14ac:dyDescent="0.35">
      <c r="W112" t="str">
        <f t="shared" si="1"/>
        <v/>
      </c>
    </row>
    <row r="113" spans="23:23" x14ac:dyDescent="0.35">
      <c r="W113" t="str">
        <f t="shared" si="1"/>
        <v/>
      </c>
    </row>
    <row r="114" spans="23:23" x14ac:dyDescent="0.35">
      <c r="W114" t="str">
        <f t="shared" si="1"/>
        <v/>
      </c>
    </row>
    <row r="115" spans="23:23" x14ac:dyDescent="0.35">
      <c r="W115" t="str">
        <f t="shared" si="1"/>
        <v/>
      </c>
    </row>
    <row r="116" spans="23:23" x14ac:dyDescent="0.35">
      <c r="W116" t="str">
        <f t="shared" si="1"/>
        <v/>
      </c>
    </row>
    <row r="117" spans="23:23" x14ac:dyDescent="0.35">
      <c r="W117" t="str">
        <f t="shared" si="1"/>
        <v/>
      </c>
    </row>
    <row r="118" spans="23:23" x14ac:dyDescent="0.35">
      <c r="W118" t="str">
        <f t="shared" si="1"/>
        <v/>
      </c>
    </row>
    <row r="119" spans="23:23" x14ac:dyDescent="0.35">
      <c r="W119" t="str">
        <f t="shared" si="1"/>
        <v/>
      </c>
    </row>
    <row r="120" spans="23:23" x14ac:dyDescent="0.35">
      <c r="W120" t="str">
        <f t="shared" si="1"/>
        <v/>
      </c>
    </row>
    <row r="121" spans="23:23" x14ac:dyDescent="0.35">
      <c r="W121" t="str">
        <f t="shared" si="1"/>
        <v/>
      </c>
    </row>
    <row r="122" spans="23:23" x14ac:dyDescent="0.35">
      <c r="W122" t="str">
        <f t="shared" si="1"/>
        <v/>
      </c>
    </row>
    <row r="123" spans="23:23" x14ac:dyDescent="0.35">
      <c r="W123" t="str">
        <f t="shared" si="1"/>
        <v/>
      </c>
    </row>
    <row r="124" spans="23:23" x14ac:dyDescent="0.35">
      <c r="W124" t="str">
        <f t="shared" si="1"/>
        <v/>
      </c>
    </row>
    <row r="125" spans="23:23" x14ac:dyDescent="0.35">
      <c r="W125" t="str">
        <f t="shared" si="1"/>
        <v/>
      </c>
    </row>
    <row r="126" spans="23:23" x14ac:dyDescent="0.35">
      <c r="W126" t="str">
        <f t="shared" si="1"/>
        <v/>
      </c>
    </row>
    <row r="127" spans="23:23" x14ac:dyDescent="0.35">
      <c r="W127" t="str">
        <f t="shared" si="1"/>
        <v/>
      </c>
    </row>
    <row r="128" spans="23:23" x14ac:dyDescent="0.35">
      <c r="W128" t="str">
        <f t="shared" si="1"/>
        <v/>
      </c>
    </row>
    <row r="129" spans="23:23" x14ac:dyDescent="0.35">
      <c r="W129" t="str">
        <f t="shared" si="1"/>
        <v/>
      </c>
    </row>
    <row r="130" spans="23:23" x14ac:dyDescent="0.35">
      <c r="W130" t="str">
        <f t="shared" ref="W130:W193" si="2">IF(P130="","",YEAR(P130))</f>
        <v/>
      </c>
    </row>
    <row r="131" spans="23:23" x14ac:dyDescent="0.35">
      <c r="W131" t="str">
        <f t="shared" si="2"/>
        <v/>
      </c>
    </row>
    <row r="132" spans="23:23" x14ac:dyDescent="0.35">
      <c r="W132" t="str">
        <f t="shared" si="2"/>
        <v/>
      </c>
    </row>
    <row r="133" spans="23:23" x14ac:dyDescent="0.35">
      <c r="W133" t="str">
        <f t="shared" si="2"/>
        <v/>
      </c>
    </row>
    <row r="134" spans="23:23" x14ac:dyDescent="0.35">
      <c r="W134" t="str">
        <f t="shared" si="2"/>
        <v/>
      </c>
    </row>
    <row r="135" spans="23:23" x14ac:dyDescent="0.35">
      <c r="W135" t="str">
        <f t="shared" si="2"/>
        <v/>
      </c>
    </row>
    <row r="136" spans="23:23" x14ac:dyDescent="0.35">
      <c r="W136" t="str">
        <f t="shared" si="2"/>
        <v/>
      </c>
    </row>
    <row r="137" spans="23:23" x14ac:dyDescent="0.35">
      <c r="W137" t="str">
        <f t="shared" si="2"/>
        <v/>
      </c>
    </row>
    <row r="138" spans="23:23" x14ac:dyDescent="0.35">
      <c r="W138" t="str">
        <f t="shared" si="2"/>
        <v/>
      </c>
    </row>
    <row r="139" spans="23:23" x14ac:dyDescent="0.35">
      <c r="W139" t="str">
        <f t="shared" si="2"/>
        <v/>
      </c>
    </row>
    <row r="140" spans="23:23" x14ac:dyDescent="0.35">
      <c r="W140" t="str">
        <f t="shared" si="2"/>
        <v/>
      </c>
    </row>
    <row r="141" spans="23:23" x14ac:dyDescent="0.35">
      <c r="W141" t="str">
        <f t="shared" si="2"/>
        <v/>
      </c>
    </row>
    <row r="142" spans="23:23" x14ac:dyDescent="0.35">
      <c r="W142" t="str">
        <f t="shared" si="2"/>
        <v/>
      </c>
    </row>
    <row r="143" spans="23:23" x14ac:dyDescent="0.35">
      <c r="W143" t="str">
        <f t="shared" si="2"/>
        <v/>
      </c>
    </row>
    <row r="144" spans="23:23" x14ac:dyDescent="0.35">
      <c r="W144" t="str">
        <f t="shared" si="2"/>
        <v/>
      </c>
    </row>
    <row r="145" spans="23:23" x14ac:dyDescent="0.35">
      <c r="W145" t="str">
        <f t="shared" si="2"/>
        <v/>
      </c>
    </row>
    <row r="146" spans="23:23" x14ac:dyDescent="0.35">
      <c r="W146" t="str">
        <f t="shared" si="2"/>
        <v/>
      </c>
    </row>
    <row r="147" spans="23:23" x14ac:dyDescent="0.35">
      <c r="W147" t="str">
        <f t="shared" si="2"/>
        <v/>
      </c>
    </row>
    <row r="148" spans="23:23" x14ac:dyDescent="0.35">
      <c r="W148" t="str">
        <f t="shared" si="2"/>
        <v/>
      </c>
    </row>
    <row r="149" spans="23:23" x14ac:dyDescent="0.35">
      <c r="W149" t="str">
        <f t="shared" si="2"/>
        <v/>
      </c>
    </row>
    <row r="150" spans="23:23" x14ac:dyDescent="0.35">
      <c r="W150" t="str">
        <f t="shared" si="2"/>
        <v/>
      </c>
    </row>
    <row r="151" spans="23:23" x14ac:dyDescent="0.35">
      <c r="W151" t="str">
        <f t="shared" si="2"/>
        <v/>
      </c>
    </row>
    <row r="152" spans="23:23" x14ac:dyDescent="0.35">
      <c r="W152" t="str">
        <f t="shared" si="2"/>
        <v/>
      </c>
    </row>
    <row r="153" spans="23:23" x14ac:dyDescent="0.35">
      <c r="W153" t="str">
        <f t="shared" si="2"/>
        <v/>
      </c>
    </row>
    <row r="154" spans="23:23" x14ac:dyDescent="0.35">
      <c r="W154" t="str">
        <f t="shared" si="2"/>
        <v/>
      </c>
    </row>
    <row r="155" spans="23:23" x14ac:dyDescent="0.35">
      <c r="W155" t="str">
        <f t="shared" si="2"/>
        <v/>
      </c>
    </row>
    <row r="156" spans="23:23" x14ac:dyDescent="0.35">
      <c r="W156" t="str">
        <f t="shared" si="2"/>
        <v/>
      </c>
    </row>
    <row r="157" spans="23:23" x14ac:dyDescent="0.35">
      <c r="W157" t="str">
        <f t="shared" si="2"/>
        <v/>
      </c>
    </row>
    <row r="158" spans="23:23" x14ac:dyDescent="0.35">
      <c r="W158" t="str">
        <f t="shared" si="2"/>
        <v/>
      </c>
    </row>
    <row r="159" spans="23:23" x14ac:dyDescent="0.35">
      <c r="W159" t="str">
        <f t="shared" si="2"/>
        <v/>
      </c>
    </row>
    <row r="160" spans="23:23" x14ac:dyDescent="0.35">
      <c r="W160" t="str">
        <f t="shared" si="2"/>
        <v/>
      </c>
    </row>
    <row r="161" spans="23:23" x14ac:dyDescent="0.35">
      <c r="W161" t="str">
        <f t="shared" si="2"/>
        <v/>
      </c>
    </row>
    <row r="162" spans="23:23" x14ac:dyDescent="0.35">
      <c r="W162" t="str">
        <f t="shared" si="2"/>
        <v/>
      </c>
    </row>
    <row r="163" spans="23:23" x14ac:dyDescent="0.35">
      <c r="W163" t="str">
        <f t="shared" si="2"/>
        <v/>
      </c>
    </row>
    <row r="164" spans="23:23" x14ac:dyDescent="0.35">
      <c r="W164" t="str">
        <f t="shared" si="2"/>
        <v/>
      </c>
    </row>
    <row r="165" spans="23:23" x14ac:dyDescent="0.35">
      <c r="W165" t="str">
        <f t="shared" si="2"/>
        <v/>
      </c>
    </row>
    <row r="166" spans="23:23" x14ac:dyDescent="0.35">
      <c r="W166" t="str">
        <f t="shared" si="2"/>
        <v/>
      </c>
    </row>
    <row r="167" spans="23:23" x14ac:dyDescent="0.35">
      <c r="W167" t="str">
        <f t="shared" si="2"/>
        <v/>
      </c>
    </row>
    <row r="168" spans="23:23" x14ac:dyDescent="0.35">
      <c r="W168" t="str">
        <f t="shared" si="2"/>
        <v/>
      </c>
    </row>
    <row r="169" spans="23:23" x14ac:dyDescent="0.35">
      <c r="W169" t="str">
        <f t="shared" si="2"/>
        <v/>
      </c>
    </row>
    <row r="170" spans="23:23" x14ac:dyDescent="0.35">
      <c r="W170" t="str">
        <f t="shared" si="2"/>
        <v/>
      </c>
    </row>
    <row r="171" spans="23:23" x14ac:dyDescent="0.35">
      <c r="W171" t="str">
        <f t="shared" si="2"/>
        <v/>
      </c>
    </row>
    <row r="172" spans="23:23" x14ac:dyDescent="0.35">
      <c r="W172" t="str">
        <f t="shared" si="2"/>
        <v/>
      </c>
    </row>
    <row r="173" spans="23:23" x14ac:dyDescent="0.35">
      <c r="W173" t="str">
        <f t="shared" si="2"/>
        <v/>
      </c>
    </row>
    <row r="174" spans="23:23" x14ac:dyDescent="0.35">
      <c r="W174" t="str">
        <f t="shared" si="2"/>
        <v/>
      </c>
    </row>
    <row r="175" spans="23:23" x14ac:dyDescent="0.35">
      <c r="W175" t="str">
        <f t="shared" si="2"/>
        <v/>
      </c>
    </row>
    <row r="176" spans="23:23" x14ac:dyDescent="0.35">
      <c r="W176" t="str">
        <f t="shared" si="2"/>
        <v/>
      </c>
    </row>
    <row r="177" spans="23:23" x14ac:dyDescent="0.35">
      <c r="W177" t="str">
        <f t="shared" si="2"/>
        <v/>
      </c>
    </row>
    <row r="178" spans="23:23" x14ac:dyDescent="0.35">
      <c r="W178" t="str">
        <f t="shared" si="2"/>
        <v/>
      </c>
    </row>
    <row r="179" spans="23:23" x14ac:dyDescent="0.35">
      <c r="W179" t="str">
        <f t="shared" si="2"/>
        <v/>
      </c>
    </row>
    <row r="180" spans="23:23" x14ac:dyDescent="0.35">
      <c r="W180" t="str">
        <f t="shared" si="2"/>
        <v/>
      </c>
    </row>
    <row r="181" spans="23:23" x14ac:dyDescent="0.35">
      <c r="W181" t="str">
        <f t="shared" si="2"/>
        <v/>
      </c>
    </row>
    <row r="182" spans="23:23" x14ac:dyDescent="0.35">
      <c r="W182" t="str">
        <f t="shared" si="2"/>
        <v/>
      </c>
    </row>
    <row r="183" spans="23:23" x14ac:dyDescent="0.35">
      <c r="W183" t="str">
        <f t="shared" si="2"/>
        <v/>
      </c>
    </row>
    <row r="184" spans="23:23" x14ac:dyDescent="0.35">
      <c r="W184" t="str">
        <f t="shared" si="2"/>
        <v/>
      </c>
    </row>
    <row r="185" spans="23:23" x14ac:dyDescent="0.35">
      <c r="W185" t="str">
        <f t="shared" si="2"/>
        <v/>
      </c>
    </row>
    <row r="186" spans="23:23" x14ac:dyDescent="0.35">
      <c r="W186" t="str">
        <f t="shared" si="2"/>
        <v/>
      </c>
    </row>
    <row r="187" spans="23:23" x14ac:dyDescent="0.35">
      <c r="W187" t="str">
        <f t="shared" si="2"/>
        <v/>
      </c>
    </row>
    <row r="188" spans="23:23" x14ac:dyDescent="0.35">
      <c r="W188" t="str">
        <f t="shared" si="2"/>
        <v/>
      </c>
    </row>
    <row r="189" spans="23:23" x14ac:dyDescent="0.35">
      <c r="W189" t="str">
        <f t="shared" si="2"/>
        <v/>
      </c>
    </row>
    <row r="190" spans="23:23" x14ac:dyDescent="0.35">
      <c r="W190" t="str">
        <f t="shared" si="2"/>
        <v/>
      </c>
    </row>
    <row r="191" spans="23:23" x14ac:dyDescent="0.35">
      <c r="W191" t="str">
        <f t="shared" si="2"/>
        <v/>
      </c>
    </row>
    <row r="192" spans="23:23" x14ac:dyDescent="0.35">
      <c r="W192" t="str">
        <f t="shared" si="2"/>
        <v/>
      </c>
    </row>
    <row r="193" spans="23:23" x14ac:dyDescent="0.35">
      <c r="W193" t="str">
        <f t="shared" si="2"/>
        <v/>
      </c>
    </row>
    <row r="194" spans="23:23" x14ac:dyDescent="0.35">
      <c r="W194" t="str">
        <f t="shared" ref="W194:W257" si="3">IF(P194="","",YEAR(P194))</f>
        <v/>
      </c>
    </row>
    <row r="195" spans="23:23" x14ac:dyDescent="0.35">
      <c r="W195" t="str">
        <f t="shared" si="3"/>
        <v/>
      </c>
    </row>
    <row r="196" spans="23:23" x14ac:dyDescent="0.35">
      <c r="W196" t="str">
        <f t="shared" si="3"/>
        <v/>
      </c>
    </row>
    <row r="197" spans="23:23" x14ac:dyDescent="0.35">
      <c r="W197" t="str">
        <f t="shared" si="3"/>
        <v/>
      </c>
    </row>
    <row r="198" spans="23:23" x14ac:dyDescent="0.35">
      <c r="W198" t="str">
        <f t="shared" si="3"/>
        <v/>
      </c>
    </row>
    <row r="199" spans="23:23" x14ac:dyDescent="0.35">
      <c r="W199" t="str">
        <f t="shared" si="3"/>
        <v/>
      </c>
    </row>
    <row r="200" spans="23:23" x14ac:dyDescent="0.35">
      <c r="W200" t="str">
        <f t="shared" si="3"/>
        <v/>
      </c>
    </row>
    <row r="201" spans="23:23" x14ac:dyDescent="0.35">
      <c r="W201" t="str">
        <f t="shared" si="3"/>
        <v/>
      </c>
    </row>
    <row r="202" spans="23:23" x14ac:dyDescent="0.35">
      <c r="W202" t="str">
        <f t="shared" si="3"/>
        <v/>
      </c>
    </row>
    <row r="203" spans="23:23" x14ac:dyDescent="0.35">
      <c r="W203" t="str">
        <f t="shared" si="3"/>
        <v/>
      </c>
    </row>
    <row r="204" spans="23:23" x14ac:dyDescent="0.35">
      <c r="W204" t="str">
        <f t="shared" si="3"/>
        <v/>
      </c>
    </row>
    <row r="205" spans="23:23" x14ac:dyDescent="0.35">
      <c r="W205" t="str">
        <f t="shared" si="3"/>
        <v/>
      </c>
    </row>
    <row r="206" spans="23:23" x14ac:dyDescent="0.35">
      <c r="W206" t="str">
        <f t="shared" si="3"/>
        <v/>
      </c>
    </row>
    <row r="207" spans="23:23" x14ac:dyDescent="0.35">
      <c r="W207" t="str">
        <f t="shared" si="3"/>
        <v/>
      </c>
    </row>
    <row r="208" spans="23:23" x14ac:dyDescent="0.35">
      <c r="W208" t="str">
        <f t="shared" si="3"/>
        <v/>
      </c>
    </row>
    <row r="209" spans="23:23" x14ac:dyDescent="0.35">
      <c r="W209" t="str">
        <f t="shared" si="3"/>
        <v/>
      </c>
    </row>
    <row r="210" spans="23:23" x14ac:dyDescent="0.35">
      <c r="W210" t="str">
        <f t="shared" si="3"/>
        <v/>
      </c>
    </row>
    <row r="211" spans="23:23" x14ac:dyDescent="0.35">
      <c r="W211" t="str">
        <f t="shared" si="3"/>
        <v/>
      </c>
    </row>
    <row r="212" spans="23:23" x14ac:dyDescent="0.35">
      <c r="W212" t="str">
        <f t="shared" si="3"/>
        <v/>
      </c>
    </row>
    <row r="213" spans="23:23" x14ac:dyDescent="0.35">
      <c r="W213" t="str">
        <f t="shared" si="3"/>
        <v/>
      </c>
    </row>
    <row r="214" spans="23:23" x14ac:dyDescent="0.35">
      <c r="W214" t="str">
        <f t="shared" si="3"/>
        <v/>
      </c>
    </row>
    <row r="215" spans="23:23" x14ac:dyDescent="0.35">
      <c r="W215" t="str">
        <f t="shared" si="3"/>
        <v/>
      </c>
    </row>
    <row r="216" spans="23:23" x14ac:dyDescent="0.35">
      <c r="W216" t="str">
        <f t="shared" si="3"/>
        <v/>
      </c>
    </row>
    <row r="217" spans="23:23" x14ac:dyDescent="0.35">
      <c r="W217" t="str">
        <f t="shared" si="3"/>
        <v/>
      </c>
    </row>
    <row r="218" spans="23:23" x14ac:dyDescent="0.35">
      <c r="W218" t="str">
        <f t="shared" si="3"/>
        <v/>
      </c>
    </row>
    <row r="219" spans="23:23" x14ac:dyDescent="0.35">
      <c r="W219" t="str">
        <f t="shared" si="3"/>
        <v/>
      </c>
    </row>
    <row r="220" spans="23:23" x14ac:dyDescent="0.35">
      <c r="W220" t="str">
        <f t="shared" si="3"/>
        <v/>
      </c>
    </row>
    <row r="221" spans="23:23" x14ac:dyDescent="0.35">
      <c r="W221" t="str">
        <f t="shared" si="3"/>
        <v/>
      </c>
    </row>
    <row r="222" spans="23:23" x14ac:dyDescent="0.35">
      <c r="W222" t="str">
        <f t="shared" si="3"/>
        <v/>
      </c>
    </row>
    <row r="223" spans="23:23" x14ac:dyDescent="0.35">
      <c r="W223" t="str">
        <f t="shared" si="3"/>
        <v/>
      </c>
    </row>
    <row r="224" spans="23:23" x14ac:dyDescent="0.35">
      <c r="W224" t="str">
        <f t="shared" si="3"/>
        <v/>
      </c>
    </row>
    <row r="225" spans="23:23" x14ac:dyDescent="0.35">
      <c r="W225" t="str">
        <f t="shared" si="3"/>
        <v/>
      </c>
    </row>
    <row r="226" spans="23:23" x14ac:dyDescent="0.35">
      <c r="W226" t="str">
        <f t="shared" si="3"/>
        <v/>
      </c>
    </row>
    <row r="227" spans="23:23" x14ac:dyDescent="0.35">
      <c r="W227" t="str">
        <f t="shared" si="3"/>
        <v/>
      </c>
    </row>
    <row r="228" spans="23:23" x14ac:dyDescent="0.35">
      <c r="W228" t="str">
        <f t="shared" si="3"/>
        <v/>
      </c>
    </row>
    <row r="229" spans="23:23" x14ac:dyDescent="0.35">
      <c r="W229" t="str">
        <f t="shared" si="3"/>
        <v/>
      </c>
    </row>
    <row r="230" spans="23:23" x14ac:dyDescent="0.35">
      <c r="W230" t="str">
        <f t="shared" si="3"/>
        <v/>
      </c>
    </row>
    <row r="231" spans="23:23" x14ac:dyDescent="0.35">
      <c r="W231" t="str">
        <f t="shared" si="3"/>
        <v/>
      </c>
    </row>
    <row r="232" spans="23:23" x14ac:dyDescent="0.35">
      <c r="W232" t="str">
        <f t="shared" si="3"/>
        <v/>
      </c>
    </row>
    <row r="233" spans="23:23" x14ac:dyDescent="0.35">
      <c r="W233" t="str">
        <f t="shared" si="3"/>
        <v/>
      </c>
    </row>
    <row r="234" spans="23:23" x14ac:dyDescent="0.35">
      <c r="W234" t="str">
        <f t="shared" si="3"/>
        <v/>
      </c>
    </row>
    <row r="235" spans="23:23" x14ac:dyDescent="0.35">
      <c r="W235" t="str">
        <f t="shared" si="3"/>
        <v/>
      </c>
    </row>
    <row r="236" spans="23:23" x14ac:dyDescent="0.35">
      <c r="W236" t="str">
        <f t="shared" si="3"/>
        <v/>
      </c>
    </row>
    <row r="237" spans="23:23" x14ac:dyDescent="0.35">
      <c r="W237" t="str">
        <f t="shared" si="3"/>
        <v/>
      </c>
    </row>
    <row r="238" spans="23:23" x14ac:dyDescent="0.35">
      <c r="W238" t="str">
        <f t="shared" si="3"/>
        <v/>
      </c>
    </row>
    <row r="239" spans="23:23" x14ac:dyDescent="0.35">
      <c r="W239" t="str">
        <f t="shared" si="3"/>
        <v/>
      </c>
    </row>
    <row r="240" spans="23:23" x14ac:dyDescent="0.35">
      <c r="W240" t="str">
        <f t="shared" si="3"/>
        <v/>
      </c>
    </row>
    <row r="241" spans="23:23" x14ac:dyDescent="0.35">
      <c r="W241" t="str">
        <f t="shared" si="3"/>
        <v/>
      </c>
    </row>
    <row r="242" spans="23:23" x14ac:dyDescent="0.35">
      <c r="W242" t="str">
        <f t="shared" si="3"/>
        <v/>
      </c>
    </row>
    <row r="243" spans="23:23" x14ac:dyDescent="0.35">
      <c r="W243" t="str">
        <f t="shared" si="3"/>
        <v/>
      </c>
    </row>
    <row r="244" spans="23:23" x14ac:dyDescent="0.35">
      <c r="W244" t="str">
        <f t="shared" si="3"/>
        <v/>
      </c>
    </row>
    <row r="245" spans="23:23" x14ac:dyDescent="0.35">
      <c r="W245" t="str">
        <f t="shared" si="3"/>
        <v/>
      </c>
    </row>
    <row r="246" spans="23:23" x14ac:dyDescent="0.35">
      <c r="W246" t="str">
        <f t="shared" si="3"/>
        <v/>
      </c>
    </row>
    <row r="247" spans="23:23" x14ac:dyDescent="0.35">
      <c r="W247" t="str">
        <f t="shared" si="3"/>
        <v/>
      </c>
    </row>
    <row r="248" spans="23:23" x14ac:dyDescent="0.35">
      <c r="W248" t="str">
        <f t="shared" si="3"/>
        <v/>
      </c>
    </row>
    <row r="249" spans="23:23" x14ac:dyDescent="0.35">
      <c r="W249" t="str">
        <f t="shared" si="3"/>
        <v/>
      </c>
    </row>
    <row r="250" spans="23:23" x14ac:dyDescent="0.35">
      <c r="W250" t="str">
        <f t="shared" si="3"/>
        <v/>
      </c>
    </row>
    <row r="251" spans="23:23" x14ac:dyDescent="0.35">
      <c r="W251" t="str">
        <f t="shared" si="3"/>
        <v/>
      </c>
    </row>
    <row r="252" spans="23:23" x14ac:dyDescent="0.35">
      <c r="W252" t="str">
        <f t="shared" si="3"/>
        <v/>
      </c>
    </row>
    <row r="253" spans="23:23" x14ac:dyDescent="0.35">
      <c r="W253" t="str">
        <f t="shared" si="3"/>
        <v/>
      </c>
    </row>
    <row r="254" spans="23:23" x14ac:dyDescent="0.35">
      <c r="W254" t="str">
        <f t="shared" si="3"/>
        <v/>
      </c>
    </row>
    <row r="255" spans="23:23" x14ac:dyDescent="0.35">
      <c r="W255" t="str">
        <f t="shared" si="3"/>
        <v/>
      </c>
    </row>
    <row r="256" spans="23:23" x14ac:dyDescent="0.35">
      <c r="W256" t="str">
        <f t="shared" si="3"/>
        <v/>
      </c>
    </row>
    <row r="257" spans="23:23" x14ac:dyDescent="0.35">
      <c r="W257" t="str">
        <f t="shared" si="3"/>
        <v/>
      </c>
    </row>
    <row r="258" spans="23:23" x14ac:dyDescent="0.35">
      <c r="W258" t="str">
        <f t="shared" ref="W258:W321" si="4">IF(P258="","",YEAR(P258))</f>
        <v/>
      </c>
    </row>
    <row r="259" spans="23:23" x14ac:dyDescent="0.35">
      <c r="W259" t="str">
        <f t="shared" si="4"/>
        <v/>
      </c>
    </row>
    <row r="260" spans="23:23" x14ac:dyDescent="0.35">
      <c r="W260" t="str">
        <f t="shared" si="4"/>
        <v/>
      </c>
    </row>
    <row r="261" spans="23:23" x14ac:dyDescent="0.35">
      <c r="W261" t="str">
        <f t="shared" si="4"/>
        <v/>
      </c>
    </row>
    <row r="262" spans="23:23" x14ac:dyDescent="0.35">
      <c r="W262" t="str">
        <f t="shared" si="4"/>
        <v/>
      </c>
    </row>
    <row r="263" spans="23:23" x14ac:dyDescent="0.35">
      <c r="W263" t="str">
        <f t="shared" si="4"/>
        <v/>
      </c>
    </row>
    <row r="264" spans="23:23" x14ac:dyDescent="0.35">
      <c r="W264" t="str">
        <f t="shared" si="4"/>
        <v/>
      </c>
    </row>
    <row r="265" spans="23:23" x14ac:dyDescent="0.35">
      <c r="W265" t="str">
        <f t="shared" si="4"/>
        <v/>
      </c>
    </row>
    <row r="266" spans="23:23" x14ac:dyDescent="0.35">
      <c r="W266" t="str">
        <f t="shared" si="4"/>
        <v/>
      </c>
    </row>
    <row r="267" spans="23:23" x14ac:dyDescent="0.35">
      <c r="W267" t="str">
        <f t="shared" si="4"/>
        <v/>
      </c>
    </row>
    <row r="268" spans="23:23" x14ac:dyDescent="0.35">
      <c r="W268" t="str">
        <f t="shared" si="4"/>
        <v/>
      </c>
    </row>
    <row r="269" spans="23:23" x14ac:dyDescent="0.35">
      <c r="W269" t="str">
        <f t="shared" si="4"/>
        <v/>
      </c>
    </row>
    <row r="270" spans="23:23" x14ac:dyDescent="0.35">
      <c r="W270" t="str">
        <f t="shared" si="4"/>
        <v/>
      </c>
    </row>
    <row r="271" spans="23:23" x14ac:dyDescent="0.35">
      <c r="W271" t="str">
        <f t="shared" si="4"/>
        <v/>
      </c>
    </row>
    <row r="272" spans="23:23" x14ac:dyDescent="0.35">
      <c r="W272" t="str">
        <f t="shared" si="4"/>
        <v/>
      </c>
    </row>
    <row r="273" spans="23:23" x14ac:dyDescent="0.35">
      <c r="W273" t="str">
        <f t="shared" si="4"/>
        <v/>
      </c>
    </row>
    <row r="274" spans="23:23" x14ac:dyDescent="0.35">
      <c r="W274" t="str">
        <f t="shared" si="4"/>
        <v/>
      </c>
    </row>
    <row r="275" spans="23:23" x14ac:dyDescent="0.35">
      <c r="W275" t="str">
        <f t="shared" si="4"/>
        <v/>
      </c>
    </row>
    <row r="276" spans="23:23" x14ac:dyDescent="0.35">
      <c r="W276" t="str">
        <f t="shared" si="4"/>
        <v/>
      </c>
    </row>
    <row r="277" spans="23:23" x14ac:dyDescent="0.35">
      <c r="W277" t="str">
        <f t="shared" si="4"/>
        <v/>
      </c>
    </row>
    <row r="278" spans="23:23" x14ac:dyDescent="0.35">
      <c r="W278" t="str">
        <f t="shared" si="4"/>
        <v/>
      </c>
    </row>
    <row r="279" spans="23:23" x14ac:dyDescent="0.35">
      <c r="W279" t="str">
        <f t="shared" si="4"/>
        <v/>
      </c>
    </row>
    <row r="280" spans="23:23" x14ac:dyDescent="0.35">
      <c r="W280" t="str">
        <f t="shared" si="4"/>
        <v/>
      </c>
    </row>
    <row r="281" spans="23:23" x14ac:dyDescent="0.35">
      <c r="W281" t="str">
        <f t="shared" si="4"/>
        <v/>
      </c>
    </row>
    <row r="282" spans="23:23" x14ac:dyDescent="0.35">
      <c r="W282" t="str">
        <f t="shared" si="4"/>
        <v/>
      </c>
    </row>
    <row r="283" spans="23:23" x14ac:dyDescent="0.35">
      <c r="W283" t="str">
        <f t="shared" si="4"/>
        <v/>
      </c>
    </row>
    <row r="284" spans="23:23" x14ac:dyDescent="0.35">
      <c r="W284" t="str">
        <f t="shared" si="4"/>
        <v/>
      </c>
    </row>
    <row r="285" spans="23:23" x14ac:dyDescent="0.35">
      <c r="W285" t="str">
        <f t="shared" si="4"/>
        <v/>
      </c>
    </row>
    <row r="286" spans="23:23" x14ac:dyDescent="0.35">
      <c r="W286" t="str">
        <f t="shared" si="4"/>
        <v/>
      </c>
    </row>
    <row r="287" spans="23:23" x14ac:dyDescent="0.35">
      <c r="W287" t="str">
        <f t="shared" si="4"/>
        <v/>
      </c>
    </row>
    <row r="288" spans="23:23" x14ac:dyDescent="0.35">
      <c r="W288" t="str">
        <f t="shared" si="4"/>
        <v/>
      </c>
    </row>
    <row r="289" spans="23:23" x14ac:dyDescent="0.35">
      <c r="W289" t="str">
        <f t="shared" si="4"/>
        <v/>
      </c>
    </row>
    <row r="290" spans="23:23" x14ac:dyDescent="0.35">
      <c r="W290" t="str">
        <f t="shared" si="4"/>
        <v/>
      </c>
    </row>
    <row r="291" spans="23:23" x14ac:dyDescent="0.35">
      <c r="W291" t="str">
        <f t="shared" si="4"/>
        <v/>
      </c>
    </row>
    <row r="292" spans="23:23" x14ac:dyDescent="0.35">
      <c r="W292" t="str">
        <f t="shared" si="4"/>
        <v/>
      </c>
    </row>
    <row r="293" spans="23:23" x14ac:dyDescent="0.35">
      <c r="W293" t="str">
        <f t="shared" si="4"/>
        <v/>
      </c>
    </row>
    <row r="294" spans="23:23" x14ac:dyDescent="0.35">
      <c r="W294" t="str">
        <f t="shared" si="4"/>
        <v/>
      </c>
    </row>
    <row r="295" spans="23:23" x14ac:dyDescent="0.35">
      <c r="W295" t="str">
        <f t="shared" si="4"/>
        <v/>
      </c>
    </row>
    <row r="296" spans="23:23" x14ac:dyDescent="0.35">
      <c r="W296" t="str">
        <f t="shared" si="4"/>
        <v/>
      </c>
    </row>
    <row r="297" spans="23:23" x14ac:dyDescent="0.35">
      <c r="W297" t="str">
        <f t="shared" si="4"/>
        <v/>
      </c>
    </row>
    <row r="298" spans="23:23" x14ac:dyDescent="0.35">
      <c r="W298" t="str">
        <f t="shared" si="4"/>
        <v/>
      </c>
    </row>
    <row r="299" spans="23:23" x14ac:dyDescent="0.35">
      <c r="W299" t="str">
        <f t="shared" si="4"/>
        <v/>
      </c>
    </row>
    <row r="300" spans="23:23" x14ac:dyDescent="0.35">
      <c r="W300" t="str">
        <f t="shared" si="4"/>
        <v/>
      </c>
    </row>
    <row r="301" spans="23:23" x14ac:dyDescent="0.35">
      <c r="W301" t="str">
        <f t="shared" si="4"/>
        <v/>
      </c>
    </row>
    <row r="302" spans="23:23" x14ac:dyDescent="0.35">
      <c r="W302" t="str">
        <f t="shared" si="4"/>
        <v/>
      </c>
    </row>
    <row r="303" spans="23:23" x14ac:dyDescent="0.35">
      <c r="W303" t="str">
        <f t="shared" si="4"/>
        <v/>
      </c>
    </row>
    <row r="304" spans="23:23" x14ac:dyDescent="0.35">
      <c r="W304" t="str">
        <f t="shared" si="4"/>
        <v/>
      </c>
    </row>
    <row r="305" spans="23:23" x14ac:dyDescent="0.35">
      <c r="W305" t="str">
        <f t="shared" si="4"/>
        <v/>
      </c>
    </row>
    <row r="306" spans="23:23" x14ac:dyDescent="0.35">
      <c r="W306" t="str">
        <f t="shared" si="4"/>
        <v/>
      </c>
    </row>
    <row r="307" spans="23:23" x14ac:dyDescent="0.35">
      <c r="W307" t="str">
        <f t="shared" si="4"/>
        <v/>
      </c>
    </row>
    <row r="308" spans="23:23" x14ac:dyDescent="0.35">
      <c r="W308" t="str">
        <f t="shared" si="4"/>
        <v/>
      </c>
    </row>
    <row r="309" spans="23:23" x14ac:dyDescent="0.35">
      <c r="W309" t="str">
        <f t="shared" si="4"/>
        <v/>
      </c>
    </row>
    <row r="310" spans="23:23" x14ac:dyDescent="0.35">
      <c r="W310" t="str">
        <f t="shared" si="4"/>
        <v/>
      </c>
    </row>
    <row r="311" spans="23:23" x14ac:dyDescent="0.35">
      <c r="W311" t="str">
        <f t="shared" si="4"/>
        <v/>
      </c>
    </row>
    <row r="312" spans="23:23" x14ac:dyDescent="0.35">
      <c r="W312" t="str">
        <f t="shared" si="4"/>
        <v/>
      </c>
    </row>
    <row r="313" spans="23:23" x14ac:dyDescent="0.35">
      <c r="W313" t="str">
        <f t="shared" si="4"/>
        <v/>
      </c>
    </row>
    <row r="314" spans="23:23" x14ac:dyDescent="0.35">
      <c r="W314" t="str">
        <f t="shared" si="4"/>
        <v/>
      </c>
    </row>
    <row r="315" spans="23:23" x14ac:dyDescent="0.35">
      <c r="W315" t="str">
        <f t="shared" si="4"/>
        <v/>
      </c>
    </row>
    <row r="316" spans="23:23" x14ac:dyDescent="0.35">
      <c r="W316" t="str">
        <f t="shared" si="4"/>
        <v/>
      </c>
    </row>
    <row r="317" spans="23:23" x14ac:dyDescent="0.35">
      <c r="W317" t="str">
        <f t="shared" si="4"/>
        <v/>
      </c>
    </row>
    <row r="318" spans="23:23" x14ac:dyDescent="0.35">
      <c r="W318" t="str">
        <f t="shared" si="4"/>
        <v/>
      </c>
    </row>
    <row r="319" spans="23:23" x14ac:dyDescent="0.35">
      <c r="W319" t="str">
        <f t="shared" si="4"/>
        <v/>
      </c>
    </row>
    <row r="320" spans="23:23" x14ac:dyDescent="0.35">
      <c r="W320" t="str">
        <f t="shared" si="4"/>
        <v/>
      </c>
    </row>
    <row r="321" spans="23:23" x14ac:dyDescent="0.35">
      <c r="W321" t="str">
        <f t="shared" si="4"/>
        <v/>
      </c>
    </row>
    <row r="322" spans="23:23" x14ac:dyDescent="0.35">
      <c r="W322" t="str">
        <f t="shared" ref="W322:W385" si="5">IF(P322="","",YEAR(P322))</f>
        <v/>
      </c>
    </row>
    <row r="323" spans="23:23" x14ac:dyDescent="0.35">
      <c r="W323" t="str">
        <f t="shared" si="5"/>
        <v/>
      </c>
    </row>
    <row r="324" spans="23:23" x14ac:dyDescent="0.35">
      <c r="W324" t="str">
        <f t="shared" si="5"/>
        <v/>
      </c>
    </row>
    <row r="325" spans="23:23" x14ac:dyDescent="0.35">
      <c r="W325" t="str">
        <f t="shared" si="5"/>
        <v/>
      </c>
    </row>
    <row r="326" spans="23:23" x14ac:dyDescent="0.35">
      <c r="W326" t="str">
        <f t="shared" si="5"/>
        <v/>
      </c>
    </row>
    <row r="327" spans="23:23" x14ac:dyDescent="0.35">
      <c r="W327" t="str">
        <f t="shared" si="5"/>
        <v/>
      </c>
    </row>
    <row r="328" spans="23:23" x14ac:dyDescent="0.35">
      <c r="W328" t="str">
        <f t="shared" si="5"/>
        <v/>
      </c>
    </row>
    <row r="329" spans="23:23" x14ac:dyDescent="0.35">
      <c r="W329" t="str">
        <f t="shared" si="5"/>
        <v/>
      </c>
    </row>
    <row r="330" spans="23:23" x14ac:dyDescent="0.35">
      <c r="W330" t="str">
        <f t="shared" si="5"/>
        <v/>
      </c>
    </row>
    <row r="331" spans="23:23" x14ac:dyDescent="0.35">
      <c r="W331" t="str">
        <f t="shared" si="5"/>
        <v/>
      </c>
    </row>
    <row r="332" spans="23:23" x14ac:dyDescent="0.35">
      <c r="W332" t="str">
        <f t="shared" si="5"/>
        <v/>
      </c>
    </row>
    <row r="333" spans="23:23" x14ac:dyDescent="0.35">
      <c r="W333" t="str">
        <f t="shared" si="5"/>
        <v/>
      </c>
    </row>
    <row r="334" spans="23:23" x14ac:dyDescent="0.35">
      <c r="W334" t="str">
        <f t="shared" si="5"/>
        <v/>
      </c>
    </row>
    <row r="335" spans="23:23" x14ac:dyDescent="0.35">
      <c r="W335" t="str">
        <f t="shared" si="5"/>
        <v/>
      </c>
    </row>
    <row r="336" spans="23:23" x14ac:dyDescent="0.35">
      <c r="W336" t="str">
        <f t="shared" si="5"/>
        <v/>
      </c>
    </row>
    <row r="337" spans="23:23" x14ac:dyDescent="0.35">
      <c r="W337" t="str">
        <f t="shared" si="5"/>
        <v/>
      </c>
    </row>
    <row r="338" spans="23:23" x14ac:dyDescent="0.35">
      <c r="W338" t="str">
        <f t="shared" si="5"/>
        <v/>
      </c>
    </row>
    <row r="339" spans="23:23" x14ac:dyDescent="0.35">
      <c r="W339" t="str">
        <f t="shared" si="5"/>
        <v/>
      </c>
    </row>
    <row r="340" spans="23:23" x14ac:dyDescent="0.35">
      <c r="W340" t="str">
        <f t="shared" si="5"/>
        <v/>
      </c>
    </row>
    <row r="341" spans="23:23" x14ac:dyDescent="0.35">
      <c r="W341" t="str">
        <f t="shared" si="5"/>
        <v/>
      </c>
    </row>
    <row r="342" spans="23:23" x14ac:dyDescent="0.35">
      <c r="W342" t="str">
        <f t="shared" si="5"/>
        <v/>
      </c>
    </row>
    <row r="343" spans="23:23" x14ac:dyDescent="0.35">
      <c r="W343" t="str">
        <f t="shared" si="5"/>
        <v/>
      </c>
    </row>
    <row r="344" spans="23:23" x14ac:dyDescent="0.35">
      <c r="W344" t="str">
        <f t="shared" si="5"/>
        <v/>
      </c>
    </row>
    <row r="345" spans="23:23" x14ac:dyDescent="0.35">
      <c r="W345" t="str">
        <f t="shared" si="5"/>
        <v/>
      </c>
    </row>
    <row r="346" spans="23:23" x14ac:dyDescent="0.35">
      <c r="W346" t="str">
        <f t="shared" si="5"/>
        <v/>
      </c>
    </row>
    <row r="347" spans="23:23" x14ac:dyDescent="0.35">
      <c r="W347" t="str">
        <f t="shared" si="5"/>
        <v/>
      </c>
    </row>
    <row r="348" spans="23:23" x14ac:dyDescent="0.35">
      <c r="W348" t="str">
        <f t="shared" si="5"/>
        <v/>
      </c>
    </row>
    <row r="349" spans="23:23" x14ac:dyDescent="0.35">
      <c r="W349" t="str">
        <f t="shared" si="5"/>
        <v/>
      </c>
    </row>
    <row r="350" spans="23:23" x14ac:dyDescent="0.35">
      <c r="W350" t="str">
        <f t="shared" si="5"/>
        <v/>
      </c>
    </row>
    <row r="351" spans="23:23" x14ac:dyDescent="0.35">
      <c r="W351" t="str">
        <f t="shared" si="5"/>
        <v/>
      </c>
    </row>
    <row r="352" spans="23:23" x14ac:dyDescent="0.35">
      <c r="W352" t="str">
        <f t="shared" si="5"/>
        <v/>
      </c>
    </row>
    <row r="353" spans="23:23" x14ac:dyDescent="0.35">
      <c r="W353" t="str">
        <f t="shared" si="5"/>
        <v/>
      </c>
    </row>
    <row r="354" spans="23:23" x14ac:dyDescent="0.35">
      <c r="W354" t="str">
        <f t="shared" si="5"/>
        <v/>
      </c>
    </row>
    <row r="355" spans="23:23" x14ac:dyDescent="0.35">
      <c r="W355" t="str">
        <f t="shared" si="5"/>
        <v/>
      </c>
    </row>
    <row r="356" spans="23:23" x14ac:dyDescent="0.35">
      <c r="W356" t="str">
        <f t="shared" si="5"/>
        <v/>
      </c>
    </row>
    <row r="357" spans="23:23" x14ac:dyDescent="0.35">
      <c r="W357" t="str">
        <f t="shared" si="5"/>
        <v/>
      </c>
    </row>
    <row r="358" spans="23:23" x14ac:dyDescent="0.35">
      <c r="W358" t="str">
        <f t="shared" si="5"/>
        <v/>
      </c>
    </row>
    <row r="359" spans="23:23" x14ac:dyDescent="0.35">
      <c r="W359" t="str">
        <f t="shared" si="5"/>
        <v/>
      </c>
    </row>
    <row r="360" spans="23:23" x14ac:dyDescent="0.35">
      <c r="W360" t="str">
        <f t="shared" si="5"/>
        <v/>
      </c>
    </row>
    <row r="361" spans="23:23" x14ac:dyDescent="0.35">
      <c r="W361" t="str">
        <f t="shared" si="5"/>
        <v/>
      </c>
    </row>
    <row r="362" spans="23:23" x14ac:dyDescent="0.35">
      <c r="W362" t="str">
        <f t="shared" si="5"/>
        <v/>
      </c>
    </row>
    <row r="363" spans="23:23" x14ac:dyDescent="0.35">
      <c r="W363" t="str">
        <f t="shared" si="5"/>
        <v/>
      </c>
    </row>
    <row r="364" spans="23:23" x14ac:dyDescent="0.35">
      <c r="W364" t="str">
        <f t="shared" si="5"/>
        <v/>
      </c>
    </row>
    <row r="365" spans="23:23" x14ac:dyDescent="0.35">
      <c r="W365" t="str">
        <f t="shared" si="5"/>
        <v/>
      </c>
    </row>
    <row r="366" spans="23:23" x14ac:dyDescent="0.35">
      <c r="W366" t="str">
        <f t="shared" si="5"/>
        <v/>
      </c>
    </row>
    <row r="367" spans="23:23" x14ac:dyDescent="0.35">
      <c r="W367" t="str">
        <f t="shared" si="5"/>
        <v/>
      </c>
    </row>
    <row r="368" spans="23:23" x14ac:dyDescent="0.35">
      <c r="W368" t="str">
        <f t="shared" si="5"/>
        <v/>
      </c>
    </row>
    <row r="369" spans="23:23" x14ac:dyDescent="0.35">
      <c r="W369" t="str">
        <f t="shared" si="5"/>
        <v/>
      </c>
    </row>
    <row r="370" spans="23:23" x14ac:dyDescent="0.35">
      <c r="W370" t="str">
        <f t="shared" si="5"/>
        <v/>
      </c>
    </row>
    <row r="371" spans="23:23" x14ac:dyDescent="0.35">
      <c r="W371" t="str">
        <f t="shared" si="5"/>
        <v/>
      </c>
    </row>
    <row r="372" spans="23:23" x14ac:dyDescent="0.35">
      <c r="W372" t="str">
        <f t="shared" si="5"/>
        <v/>
      </c>
    </row>
    <row r="373" spans="23:23" x14ac:dyDescent="0.35">
      <c r="W373" t="str">
        <f t="shared" si="5"/>
        <v/>
      </c>
    </row>
    <row r="374" spans="23:23" x14ac:dyDescent="0.35">
      <c r="W374" t="str">
        <f t="shared" si="5"/>
        <v/>
      </c>
    </row>
    <row r="375" spans="23:23" x14ac:dyDescent="0.35">
      <c r="W375" t="str">
        <f t="shared" si="5"/>
        <v/>
      </c>
    </row>
    <row r="376" spans="23:23" x14ac:dyDescent="0.35">
      <c r="W376" t="str">
        <f t="shared" si="5"/>
        <v/>
      </c>
    </row>
    <row r="377" spans="23:23" x14ac:dyDescent="0.35">
      <c r="W377" t="str">
        <f t="shared" si="5"/>
        <v/>
      </c>
    </row>
    <row r="378" spans="23:23" x14ac:dyDescent="0.35">
      <c r="W378" t="str">
        <f t="shared" si="5"/>
        <v/>
      </c>
    </row>
    <row r="379" spans="23:23" x14ac:dyDescent="0.35">
      <c r="W379" t="str">
        <f t="shared" si="5"/>
        <v/>
      </c>
    </row>
    <row r="380" spans="23:23" x14ac:dyDescent="0.35">
      <c r="W380" t="str">
        <f t="shared" si="5"/>
        <v/>
      </c>
    </row>
    <row r="381" spans="23:23" x14ac:dyDescent="0.35">
      <c r="W381" t="str">
        <f t="shared" si="5"/>
        <v/>
      </c>
    </row>
    <row r="382" spans="23:23" x14ac:dyDescent="0.35">
      <c r="W382" t="str">
        <f t="shared" si="5"/>
        <v/>
      </c>
    </row>
    <row r="383" spans="23:23" x14ac:dyDescent="0.35">
      <c r="W383" t="str">
        <f t="shared" si="5"/>
        <v/>
      </c>
    </row>
    <row r="384" spans="23:23" x14ac:dyDescent="0.35">
      <c r="W384" t="str">
        <f t="shared" si="5"/>
        <v/>
      </c>
    </row>
    <row r="385" spans="23:23" x14ac:dyDescent="0.35">
      <c r="W385" t="str">
        <f t="shared" si="5"/>
        <v/>
      </c>
    </row>
    <row r="386" spans="23:23" x14ac:dyDescent="0.35">
      <c r="W386" t="str">
        <f t="shared" ref="W386:W449" si="6">IF(P386="","",YEAR(P386))</f>
        <v/>
      </c>
    </row>
    <row r="387" spans="23:23" x14ac:dyDescent="0.35">
      <c r="W387" t="str">
        <f t="shared" si="6"/>
        <v/>
      </c>
    </row>
    <row r="388" spans="23:23" x14ac:dyDescent="0.35">
      <c r="W388" t="str">
        <f t="shared" si="6"/>
        <v/>
      </c>
    </row>
    <row r="389" spans="23:23" x14ac:dyDescent="0.35">
      <c r="W389" t="str">
        <f t="shared" si="6"/>
        <v/>
      </c>
    </row>
    <row r="390" spans="23:23" x14ac:dyDescent="0.35">
      <c r="W390" t="str">
        <f t="shared" si="6"/>
        <v/>
      </c>
    </row>
    <row r="391" spans="23:23" x14ac:dyDescent="0.35">
      <c r="W391" t="str">
        <f t="shared" si="6"/>
        <v/>
      </c>
    </row>
    <row r="392" spans="23:23" x14ac:dyDescent="0.35">
      <c r="W392" t="str">
        <f t="shared" si="6"/>
        <v/>
      </c>
    </row>
    <row r="393" spans="23:23" x14ac:dyDescent="0.35">
      <c r="W393" t="str">
        <f t="shared" si="6"/>
        <v/>
      </c>
    </row>
    <row r="394" spans="23:23" x14ac:dyDescent="0.35">
      <c r="W394" t="str">
        <f t="shared" si="6"/>
        <v/>
      </c>
    </row>
    <row r="395" spans="23:23" x14ac:dyDescent="0.35">
      <c r="W395" t="str">
        <f t="shared" si="6"/>
        <v/>
      </c>
    </row>
    <row r="396" spans="23:23" x14ac:dyDescent="0.35">
      <c r="W396" t="str">
        <f t="shared" si="6"/>
        <v/>
      </c>
    </row>
    <row r="397" spans="23:23" x14ac:dyDescent="0.35">
      <c r="W397" t="str">
        <f t="shared" si="6"/>
        <v/>
      </c>
    </row>
    <row r="398" spans="23:23" x14ac:dyDescent="0.35">
      <c r="W398" t="str">
        <f t="shared" si="6"/>
        <v/>
      </c>
    </row>
    <row r="399" spans="23:23" x14ac:dyDescent="0.35">
      <c r="W399" t="str">
        <f t="shared" si="6"/>
        <v/>
      </c>
    </row>
    <row r="400" spans="23:23" x14ac:dyDescent="0.35">
      <c r="W400" t="str">
        <f t="shared" si="6"/>
        <v/>
      </c>
    </row>
    <row r="401" spans="23:23" x14ac:dyDescent="0.35">
      <c r="W401" t="str">
        <f t="shared" si="6"/>
        <v/>
      </c>
    </row>
    <row r="402" spans="23:23" x14ac:dyDescent="0.35">
      <c r="W402" t="str">
        <f t="shared" si="6"/>
        <v/>
      </c>
    </row>
    <row r="403" spans="23:23" x14ac:dyDescent="0.35">
      <c r="W403" t="str">
        <f t="shared" si="6"/>
        <v/>
      </c>
    </row>
    <row r="404" spans="23:23" x14ac:dyDescent="0.35">
      <c r="W404" t="str">
        <f t="shared" si="6"/>
        <v/>
      </c>
    </row>
    <row r="405" spans="23:23" x14ac:dyDescent="0.35">
      <c r="W405" t="str">
        <f t="shared" si="6"/>
        <v/>
      </c>
    </row>
    <row r="406" spans="23:23" x14ac:dyDescent="0.35">
      <c r="W406" t="str">
        <f t="shared" si="6"/>
        <v/>
      </c>
    </row>
    <row r="407" spans="23:23" x14ac:dyDescent="0.35">
      <c r="W407" t="str">
        <f t="shared" si="6"/>
        <v/>
      </c>
    </row>
    <row r="408" spans="23:23" x14ac:dyDescent="0.35">
      <c r="W408" t="str">
        <f t="shared" si="6"/>
        <v/>
      </c>
    </row>
    <row r="409" spans="23:23" x14ac:dyDescent="0.35">
      <c r="W409" t="str">
        <f t="shared" si="6"/>
        <v/>
      </c>
    </row>
    <row r="410" spans="23:23" x14ac:dyDescent="0.35">
      <c r="W410" t="str">
        <f t="shared" si="6"/>
        <v/>
      </c>
    </row>
    <row r="411" spans="23:23" x14ac:dyDescent="0.35">
      <c r="W411" t="str">
        <f t="shared" si="6"/>
        <v/>
      </c>
    </row>
    <row r="412" spans="23:23" x14ac:dyDescent="0.35">
      <c r="W412" t="str">
        <f t="shared" si="6"/>
        <v/>
      </c>
    </row>
    <row r="413" spans="23:23" x14ac:dyDescent="0.35">
      <c r="W413" t="str">
        <f t="shared" si="6"/>
        <v/>
      </c>
    </row>
    <row r="414" spans="23:23" x14ac:dyDescent="0.35">
      <c r="W414" t="str">
        <f t="shared" si="6"/>
        <v/>
      </c>
    </row>
    <row r="415" spans="23:23" x14ac:dyDescent="0.35">
      <c r="W415" t="str">
        <f t="shared" si="6"/>
        <v/>
      </c>
    </row>
    <row r="416" spans="23:23" x14ac:dyDescent="0.35">
      <c r="W416" t="str">
        <f t="shared" si="6"/>
        <v/>
      </c>
    </row>
    <row r="417" spans="23:23" x14ac:dyDescent="0.35">
      <c r="W417" t="str">
        <f t="shared" si="6"/>
        <v/>
      </c>
    </row>
    <row r="418" spans="23:23" x14ac:dyDescent="0.35">
      <c r="W418" t="str">
        <f t="shared" si="6"/>
        <v/>
      </c>
    </row>
    <row r="419" spans="23:23" x14ac:dyDescent="0.35">
      <c r="W419" t="str">
        <f t="shared" si="6"/>
        <v/>
      </c>
    </row>
    <row r="420" spans="23:23" x14ac:dyDescent="0.35">
      <c r="W420" t="str">
        <f t="shared" si="6"/>
        <v/>
      </c>
    </row>
    <row r="421" spans="23:23" x14ac:dyDescent="0.35">
      <c r="W421" t="str">
        <f t="shared" si="6"/>
        <v/>
      </c>
    </row>
    <row r="422" spans="23:23" x14ac:dyDescent="0.35">
      <c r="W422" t="str">
        <f t="shared" si="6"/>
        <v/>
      </c>
    </row>
    <row r="423" spans="23:23" x14ac:dyDescent="0.35">
      <c r="W423" t="str">
        <f t="shared" si="6"/>
        <v/>
      </c>
    </row>
    <row r="424" spans="23:23" x14ac:dyDescent="0.35">
      <c r="W424" t="str">
        <f t="shared" si="6"/>
        <v/>
      </c>
    </row>
    <row r="425" spans="23:23" x14ac:dyDescent="0.35">
      <c r="W425" t="str">
        <f t="shared" si="6"/>
        <v/>
      </c>
    </row>
    <row r="426" spans="23:23" x14ac:dyDescent="0.35">
      <c r="W426" t="str">
        <f t="shared" si="6"/>
        <v/>
      </c>
    </row>
    <row r="427" spans="23:23" x14ac:dyDescent="0.35">
      <c r="W427" t="str">
        <f t="shared" si="6"/>
        <v/>
      </c>
    </row>
    <row r="428" spans="23:23" x14ac:dyDescent="0.35">
      <c r="W428" t="str">
        <f t="shared" si="6"/>
        <v/>
      </c>
    </row>
    <row r="429" spans="23:23" x14ac:dyDescent="0.35">
      <c r="W429" t="str">
        <f t="shared" si="6"/>
        <v/>
      </c>
    </row>
    <row r="430" spans="23:23" x14ac:dyDescent="0.35">
      <c r="W430" t="str">
        <f t="shared" si="6"/>
        <v/>
      </c>
    </row>
    <row r="431" spans="23:23" x14ac:dyDescent="0.35">
      <c r="W431" t="str">
        <f t="shared" si="6"/>
        <v/>
      </c>
    </row>
    <row r="432" spans="23:23" x14ac:dyDescent="0.35">
      <c r="W432" t="str">
        <f t="shared" si="6"/>
        <v/>
      </c>
    </row>
    <row r="433" spans="23:23" x14ac:dyDescent="0.35">
      <c r="W433" t="str">
        <f t="shared" si="6"/>
        <v/>
      </c>
    </row>
    <row r="434" spans="23:23" x14ac:dyDescent="0.35">
      <c r="W434" t="str">
        <f t="shared" si="6"/>
        <v/>
      </c>
    </row>
    <row r="435" spans="23:23" x14ac:dyDescent="0.35">
      <c r="W435" t="str">
        <f t="shared" si="6"/>
        <v/>
      </c>
    </row>
    <row r="436" spans="23:23" x14ac:dyDescent="0.35">
      <c r="W436" t="str">
        <f t="shared" si="6"/>
        <v/>
      </c>
    </row>
    <row r="437" spans="23:23" x14ac:dyDescent="0.35">
      <c r="W437" t="str">
        <f t="shared" si="6"/>
        <v/>
      </c>
    </row>
    <row r="438" spans="23:23" x14ac:dyDescent="0.35">
      <c r="W438" t="str">
        <f t="shared" si="6"/>
        <v/>
      </c>
    </row>
    <row r="439" spans="23:23" x14ac:dyDescent="0.35">
      <c r="W439" t="str">
        <f t="shared" si="6"/>
        <v/>
      </c>
    </row>
    <row r="440" spans="23:23" x14ac:dyDescent="0.35">
      <c r="W440" t="str">
        <f t="shared" si="6"/>
        <v/>
      </c>
    </row>
    <row r="441" spans="23:23" x14ac:dyDescent="0.35">
      <c r="W441" t="str">
        <f t="shared" si="6"/>
        <v/>
      </c>
    </row>
    <row r="442" spans="23:23" x14ac:dyDescent="0.35">
      <c r="W442" t="str">
        <f t="shared" si="6"/>
        <v/>
      </c>
    </row>
    <row r="443" spans="23:23" x14ac:dyDescent="0.35">
      <c r="W443" t="str">
        <f t="shared" si="6"/>
        <v/>
      </c>
    </row>
    <row r="444" spans="23:23" x14ac:dyDescent="0.35">
      <c r="W444" t="str">
        <f t="shared" si="6"/>
        <v/>
      </c>
    </row>
    <row r="445" spans="23:23" x14ac:dyDescent="0.35">
      <c r="W445" t="str">
        <f t="shared" si="6"/>
        <v/>
      </c>
    </row>
    <row r="446" spans="23:23" x14ac:dyDescent="0.35">
      <c r="W446" t="str">
        <f t="shared" si="6"/>
        <v/>
      </c>
    </row>
    <row r="447" spans="23:23" x14ac:dyDescent="0.35">
      <c r="W447" t="str">
        <f t="shared" si="6"/>
        <v/>
      </c>
    </row>
    <row r="448" spans="23:23" x14ac:dyDescent="0.35">
      <c r="W448" t="str">
        <f t="shared" si="6"/>
        <v/>
      </c>
    </row>
    <row r="449" spans="23:23" x14ac:dyDescent="0.35">
      <c r="W449" t="str">
        <f t="shared" si="6"/>
        <v/>
      </c>
    </row>
    <row r="450" spans="23:23" x14ac:dyDescent="0.35">
      <c r="W450" t="str">
        <f t="shared" ref="W450:W513" si="7">IF(P450="","",YEAR(P450))</f>
        <v/>
      </c>
    </row>
    <row r="451" spans="23:23" x14ac:dyDescent="0.35">
      <c r="W451" t="str">
        <f t="shared" si="7"/>
        <v/>
      </c>
    </row>
    <row r="452" spans="23:23" x14ac:dyDescent="0.35">
      <c r="W452" t="str">
        <f t="shared" si="7"/>
        <v/>
      </c>
    </row>
    <row r="453" spans="23:23" x14ac:dyDescent="0.35">
      <c r="W453" t="str">
        <f t="shared" si="7"/>
        <v/>
      </c>
    </row>
    <row r="454" spans="23:23" x14ac:dyDescent="0.35">
      <c r="W454" t="str">
        <f t="shared" si="7"/>
        <v/>
      </c>
    </row>
    <row r="455" spans="23:23" x14ac:dyDescent="0.35">
      <c r="W455" t="str">
        <f t="shared" si="7"/>
        <v/>
      </c>
    </row>
    <row r="456" spans="23:23" x14ac:dyDescent="0.35">
      <c r="W456" t="str">
        <f t="shared" si="7"/>
        <v/>
      </c>
    </row>
    <row r="457" spans="23:23" x14ac:dyDescent="0.35">
      <c r="W457" t="str">
        <f t="shared" si="7"/>
        <v/>
      </c>
    </row>
    <row r="458" spans="23:23" x14ac:dyDescent="0.35">
      <c r="W458" t="str">
        <f t="shared" si="7"/>
        <v/>
      </c>
    </row>
    <row r="459" spans="23:23" x14ac:dyDescent="0.35">
      <c r="W459" t="str">
        <f t="shared" si="7"/>
        <v/>
      </c>
    </row>
    <row r="460" spans="23:23" x14ac:dyDescent="0.35">
      <c r="W460" t="str">
        <f t="shared" si="7"/>
        <v/>
      </c>
    </row>
    <row r="461" spans="23:23" x14ac:dyDescent="0.35">
      <c r="W461" t="str">
        <f t="shared" si="7"/>
        <v/>
      </c>
    </row>
    <row r="462" spans="23:23" x14ac:dyDescent="0.35">
      <c r="W462" t="str">
        <f t="shared" si="7"/>
        <v/>
      </c>
    </row>
    <row r="463" spans="23:23" x14ac:dyDescent="0.35">
      <c r="W463" t="str">
        <f t="shared" si="7"/>
        <v/>
      </c>
    </row>
    <row r="464" spans="23:23" x14ac:dyDescent="0.35">
      <c r="W464" t="str">
        <f t="shared" si="7"/>
        <v/>
      </c>
    </row>
    <row r="465" spans="23:23" x14ac:dyDescent="0.35">
      <c r="W465" t="str">
        <f t="shared" si="7"/>
        <v/>
      </c>
    </row>
    <row r="466" spans="23:23" x14ac:dyDescent="0.35">
      <c r="W466" t="str">
        <f t="shared" si="7"/>
        <v/>
      </c>
    </row>
    <row r="467" spans="23:23" x14ac:dyDescent="0.35">
      <c r="W467" t="str">
        <f t="shared" si="7"/>
        <v/>
      </c>
    </row>
    <row r="468" spans="23:23" x14ac:dyDescent="0.35">
      <c r="W468" t="str">
        <f t="shared" si="7"/>
        <v/>
      </c>
    </row>
    <row r="469" spans="23:23" x14ac:dyDescent="0.35">
      <c r="W469" t="str">
        <f t="shared" si="7"/>
        <v/>
      </c>
    </row>
    <row r="470" spans="23:23" x14ac:dyDescent="0.35">
      <c r="W470" t="str">
        <f t="shared" si="7"/>
        <v/>
      </c>
    </row>
    <row r="471" spans="23:23" x14ac:dyDescent="0.35">
      <c r="W471" t="str">
        <f t="shared" si="7"/>
        <v/>
      </c>
    </row>
    <row r="472" spans="23:23" x14ac:dyDescent="0.35">
      <c r="W472" t="str">
        <f t="shared" si="7"/>
        <v/>
      </c>
    </row>
    <row r="473" spans="23:23" x14ac:dyDescent="0.35">
      <c r="W473" t="str">
        <f t="shared" si="7"/>
        <v/>
      </c>
    </row>
    <row r="474" spans="23:23" x14ac:dyDescent="0.35">
      <c r="W474" t="str">
        <f t="shared" si="7"/>
        <v/>
      </c>
    </row>
    <row r="475" spans="23:23" x14ac:dyDescent="0.35">
      <c r="W475" t="str">
        <f t="shared" si="7"/>
        <v/>
      </c>
    </row>
    <row r="476" spans="23:23" x14ac:dyDescent="0.35">
      <c r="W476" t="str">
        <f t="shared" si="7"/>
        <v/>
      </c>
    </row>
    <row r="477" spans="23:23" x14ac:dyDescent="0.35">
      <c r="W477" t="str">
        <f t="shared" si="7"/>
        <v/>
      </c>
    </row>
    <row r="478" spans="23:23" x14ac:dyDescent="0.35">
      <c r="W478" t="str">
        <f t="shared" si="7"/>
        <v/>
      </c>
    </row>
    <row r="479" spans="23:23" x14ac:dyDescent="0.35">
      <c r="W479" t="str">
        <f t="shared" si="7"/>
        <v/>
      </c>
    </row>
    <row r="480" spans="23:23" x14ac:dyDescent="0.35">
      <c r="W480" t="str">
        <f t="shared" si="7"/>
        <v/>
      </c>
    </row>
    <row r="481" spans="23:23" x14ac:dyDescent="0.35">
      <c r="W481" t="str">
        <f t="shared" si="7"/>
        <v/>
      </c>
    </row>
    <row r="482" spans="23:23" x14ac:dyDescent="0.35">
      <c r="W482" t="str">
        <f t="shared" si="7"/>
        <v/>
      </c>
    </row>
    <row r="483" spans="23:23" x14ac:dyDescent="0.35">
      <c r="W483" t="str">
        <f t="shared" si="7"/>
        <v/>
      </c>
    </row>
    <row r="484" spans="23:23" x14ac:dyDescent="0.35">
      <c r="W484" t="str">
        <f t="shared" si="7"/>
        <v/>
      </c>
    </row>
    <row r="485" spans="23:23" x14ac:dyDescent="0.35">
      <c r="W485" t="str">
        <f t="shared" si="7"/>
        <v/>
      </c>
    </row>
    <row r="486" spans="23:23" x14ac:dyDescent="0.35">
      <c r="W486" t="str">
        <f t="shared" si="7"/>
        <v/>
      </c>
    </row>
    <row r="487" spans="23:23" x14ac:dyDescent="0.35">
      <c r="W487" t="str">
        <f t="shared" si="7"/>
        <v/>
      </c>
    </row>
    <row r="488" spans="23:23" x14ac:dyDescent="0.35">
      <c r="W488" t="str">
        <f t="shared" si="7"/>
        <v/>
      </c>
    </row>
    <row r="489" spans="23:23" x14ac:dyDescent="0.35">
      <c r="W489" t="str">
        <f t="shared" si="7"/>
        <v/>
      </c>
    </row>
    <row r="490" spans="23:23" x14ac:dyDescent="0.35">
      <c r="W490" t="str">
        <f t="shared" si="7"/>
        <v/>
      </c>
    </row>
    <row r="491" spans="23:23" x14ac:dyDescent="0.35">
      <c r="W491" t="str">
        <f t="shared" si="7"/>
        <v/>
      </c>
    </row>
    <row r="492" spans="23:23" x14ac:dyDescent="0.35">
      <c r="W492" t="str">
        <f t="shared" si="7"/>
        <v/>
      </c>
    </row>
    <row r="493" spans="23:23" x14ac:dyDescent="0.35">
      <c r="W493" t="str">
        <f t="shared" si="7"/>
        <v/>
      </c>
    </row>
    <row r="494" spans="23:23" x14ac:dyDescent="0.35">
      <c r="W494" t="str">
        <f t="shared" si="7"/>
        <v/>
      </c>
    </row>
    <row r="495" spans="23:23" x14ac:dyDescent="0.35">
      <c r="W495" t="str">
        <f t="shared" si="7"/>
        <v/>
      </c>
    </row>
    <row r="496" spans="23:23" x14ac:dyDescent="0.35">
      <c r="W496" t="str">
        <f t="shared" si="7"/>
        <v/>
      </c>
    </row>
    <row r="497" spans="23:23" x14ac:dyDescent="0.35">
      <c r="W497" t="str">
        <f t="shared" si="7"/>
        <v/>
      </c>
    </row>
    <row r="498" spans="23:23" x14ac:dyDescent="0.35">
      <c r="W498" t="str">
        <f t="shared" si="7"/>
        <v/>
      </c>
    </row>
    <row r="499" spans="23:23" x14ac:dyDescent="0.35">
      <c r="W499" t="str">
        <f t="shared" si="7"/>
        <v/>
      </c>
    </row>
    <row r="500" spans="23:23" x14ac:dyDescent="0.35">
      <c r="W500" t="str">
        <f t="shared" si="7"/>
        <v/>
      </c>
    </row>
    <row r="501" spans="23:23" x14ac:dyDescent="0.35">
      <c r="W501" t="str">
        <f t="shared" si="7"/>
        <v/>
      </c>
    </row>
    <row r="502" spans="23:23" x14ac:dyDescent="0.35">
      <c r="W502" t="str">
        <f t="shared" si="7"/>
        <v/>
      </c>
    </row>
    <row r="503" spans="23:23" x14ac:dyDescent="0.35">
      <c r="W503" t="str">
        <f t="shared" si="7"/>
        <v/>
      </c>
    </row>
    <row r="504" spans="23:23" x14ac:dyDescent="0.35">
      <c r="W504" t="str">
        <f t="shared" si="7"/>
        <v/>
      </c>
    </row>
    <row r="505" spans="23:23" x14ac:dyDescent="0.35">
      <c r="W505" t="str">
        <f t="shared" si="7"/>
        <v/>
      </c>
    </row>
    <row r="506" spans="23:23" x14ac:dyDescent="0.35">
      <c r="W506" t="str">
        <f t="shared" si="7"/>
        <v/>
      </c>
    </row>
    <row r="507" spans="23:23" x14ac:dyDescent="0.35">
      <c r="W507" t="str">
        <f t="shared" si="7"/>
        <v/>
      </c>
    </row>
    <row r="508" spans="23:23" x14ac:dyDescent="0.35">
      <c r="W508" t="str">
        <f t="shared" si="7"/>
        <v/>
      </c>
    </row>
    <row r="509" spans="23:23" x14ac:dyDescent="0.35">
      <c r="W509" t="str">
        <f t="shared" si="7"/>
        <v/>
      </c>
    </row>
    <row r="510" spans="23:23" x14ac:dyDescent="0.35">
      <c r="W510" t="str">
        <f t="shared" si="7"/>
        <v/>
      </c>
    </row>
    <row r="511" spans="23:23" x14ac:dyDescent="0.35">
      <c r="W511" t="str">
        <f t="shared" si="7"/>
        <v/>
      </c>
    </row>
    <row r="512" spans="23:23" x14ac:dyDescent="0.35">
      <c r="W512" t="str">
        <f t="shared" si="7"/>
        <v/>
      </c>
    </row>
    <row r="513" spans="23:23" x14ac:dyDescent="0.35">
      <c r="W513" t="str">
        <f t="shared" si="7"/>
        <v/>
      </c>
    </row>
    <row r="514" spans="23:23" x14ac:dyDescent="0.35">
      <c r="W514" t="str">
        <f t="shared" ref="W514:W577" si="8">IF(P514="","",YEAR(P514))</f>
        <v/>
      </c>
    </row>
    <row r="515" spans="23:23" x14ac:dyDescent="0.35">
      <c r="W515" t="str">
        <f t="shared" si="8"/>
        <v/>
      </c>
    </row>
    <row r="516" spans="23:23" x14ac:dyDescent="0.35">
      <c r="W516" t="str">
        <f t="shared" si="8"/>
        <v/>
      </c>
    </row>
    <row r="517" spans="23:23" x14ac:dyDescent="0.35">
      <c r="W517" t="str">
        <f t="shared" si="8"/>
        <v/>
      </c>
    </row>
    <row r="518" spans="23:23" x14ac:dyDescent="0.35">
      <c r="W518" t="str">
        <f t="shared" si="8"/>
        <v/>
      </c>
    </row>
    <row r="519" spans="23:23" x14ac:dyDescent="0.35">
      <c r="W519" t="str">
        <f t="shared" si="8"/>
        <v/>
      </c>
    </row>
    <row r="520" spans="23:23" x14ac:dyDescent="0.35">
      <c r="W520" t="str">
        <f t="shared" si="8"/>
        <v/>
      </c>
    </row>
    <row r="521" spans="23:23" x14ac:dyDescent="0.35">
      <c r="W521" t="str">
        <f t="shared" si="8"/>
        <v/>
      </c>
    </row>
    <row r="522" spans="23:23" x14ac:dyDescent="0.35">
      <c r="W522" t="str">
        <f t="shared" si="8"/>
        <v/>
      </c>
    </row>
    <row r="523" spans="23:23" x14ac:dyDescent="0.35">
      <c r="W523" t="str">
        <f t="shared" si="8"/>
        <v/>
      </c>
    </row>
    <row r="524" spans="23:23" x14ac:dyDescent="0.35">
      <c r="W524" t="str">
        <f t="shared" si="8"/>
        <v/>
      </c>
    </row>
    <row r="525" spans="23:23" x14ac:dyDescent="0.35">
      <c r="W525" t="str">
        <f t="shared" si="8"/>
        <v/>
      </c>
    </row>
    <row r="526" spans="23:23" x14ac:dyDescent="0.35">
      <c r="W526" t="str">
        <f t="shared" si="8"/>
        <v/>
      </c>
    </row>
    <row r="527" spans="23:23" x14ac:dyDescent="0.35">
      <c r="W527" t="str">
        <f t="shared" si="8"/>
        <v/>
      </c>
    </row>
    <row r="528" spans="23:23" x14ac:dyDescent="0.35">
      <c r="W528" t="str">
        <f t="shared" si="8"/>
        <v/>
      </c>
    </row>
    <row r="529" spans="23:23" x14ac:dyDescent="0.35">
      <c r="W529" t="str">
        <f t="shared" si="8"/>
        <v/>
      </c>
    </row>
    <row r="530" spans="23:23" x14ac:dyDescent="0.35">
      <c r="W530" t="str">
        <f t="shared" si="8"/>
        <v/>
      </c>
    </row>
    <row r="531" spans="23:23" x14ac:dyDescent="0.35">
      <c r="W531" t="str">
        <f t="shared" si="8"/>
        <v/>
      </c>
    </row>
    <row r="532" spans="23:23" x14ac:dyDescent="0.35">
      <c r="W532" t="str">
        <f t="shared" si="8"/>
        <v/>
      </c>
    </row>
    <row r="533" spans="23:23" x14ac:dyDescent="0.35">
      <c r="W533" t="str">
        <f t="shared" si="8"/>
        <v/>
      </c>
    </row>
    <row r="534" spans="23:23" x14ac:dyDescent="0.35">
      <c r="W534" t="str">
        <f t="shared" si="8"/>
        <v/>
      </c>
    </row>
    <row r="535" spans="23:23" x14ac:dyDescent="0.35">
      <c r="W535" t="str">
        <f t="shared" si="8"/>
        <v/>
      </c>
    </row>
    <row r="536" spans="23:23" x14ac:dyDescent="0.35">
      <c r="W536" t="str">
        <f t="shared" si="8"/>
        <v/>
      </c>
    </row>
    <row r="537" spans="23:23" x14ac:dyDescent="0.35">
      <c r="W537" t="str">
        <f t="shared" si="8"/>
        <v/>
      </c>
    </row>
    <row r="538" spans="23:23" x14ac:dyDescent="0.35">
      <c r="W538" t="str">
        <f t="shared" si="8"/>
        <v/>
      </c>
    </row>
    <row r="539" spans="23:23" x14ac:dyDescent="0.35">
      <c r="W539" t="str">
        <f t="shared" si="8"/>
        <v/>
      </c>
    </row>
    <row r="540" spans="23:23" x14ac:dyDescent="0.35">
      <c r="W540" t="str">
        <f t="shared" si="8"/>
        <v/>
      </c>
    </row>
    <row r="541" spans="23:23" x14ac:dyDescent="0.35">
      <c r="W541" t="str">
        <f t="shared" si="8"/>
        <v/>
      </c>
    </row>
    <row r="542" spans="23:23" x14ac:dyDescent="0.35">
      <c r="W542" t="str">
        <f t="shared" si="8"/>
        <v/>
      </c>
    </row>
    <row r="543" spans="23:23" x14ac:dyDescent="0.35">
      <c r="W543" t="str">
        <f t="shared" si="8"/>
        <v/>
      </c>
    </row>
    <row r="544" spans="23:23" x14ac:dyDescent="0.35">
      <c r="W544" t="str">
        <f t="shared" si="8"/>
        <v/>
      </c>
    </row>
    <row r="545" spans="23:23" x14ac:dyDescent="0.35">
      <c r="W545" t="str">
        <f t="shared" si="8"/>
        <v/>
      </c>
    </row>
    <row r="546" spans="23:23" x14ac:dyDescent="0.35">
      <c r="W546" t="str">
        <f t="shared" si="8"/>
        <v/>
      </c>
    </row>
    <row r="547" spans="23:23" x14ac:dyDescent="0.35">
      <c r="W547" t="str">
        <f t="shared" si="8"/>
        <v/>
      </c>
    </row>
    <row r="548" spans="23:23" x14ac:dyDescent="0.35">
      <c r="W548" t="str">
        <f t="shared" si="8"/>
        <v/>
      </c>
    </row>
    <row r="549" spans="23:23" x14ac:dyDescent="0.35">
      <c r="W549" t="str">
        <f t="shared" si="8"/>
        <v/>
      </c>
    </row>
    <row r="550" spans="23:23" x14ac:dyDescent="0.35">
      <c r="W550" t="str">
        <f t="shared" si="8"/>
        <v/>
      </c>
    </row>
    <row r="551" spans="23:23" x14ac:dyDescent="0.35">
      <c r="W551" t="str">
        <f t="shared" si="8"/>
        <v/>
      </c>
    </row>
    <row r="552" spans="23:23" x14ac:dyDescent="0.35">
      <c r="W552" t="str">
        <f t="shared" si="8"/>
        <v/>
      </c>
    </row>
    <row r="553" spans="23:23" x14ac:dyDescent="0.35">
      <c r="W553" t="str">
        <f t="shared" si="8"/>
        <v/>
      </c>
    </row>
    <row r="554" spans="23:23" x14ac:dyDescent="0.35">
      <c r="W554" t="str">
        <f t="shared" si="8"/>
        <v/>
      </c>
    </row>
    <row r="555" spans="23:23" x14ac:dyDescent="0.35">
      <c r="W555" t="str">
        <f t="shared" si="8"/>
        <v/>
      </c>
    </row>
    <row r="556" spans="23:23" x14ac:dyDescent="0.35">
      <c r="W556" t="str">
        <f t="shared" si="8"/>
        <v/>
      </c>
    </row>
    <row r="557" spans="23:23" x14ac:dyDescent="0.35">
      <c r="W557" t="str">
        <f t="shared" si="8"/>
        <v/>
      </c>
    </row>
    <row r="558" spans="23:23" x14ac:dyDescent="0.35">
      <c r="W558" t="str">
        <f t="shared" si="8"/>
        <v/>
      </c>
    </row>
    <row r="559" spans="23:23" x14ac:dyDescent="0.35">
      <c r="W559" t="str">
        <f t="shared" si="8"/>
        <v/>
      </c>
    </row>
    <row r="560" spans="23:23" x14ac:dyDescent="0.35">
      <c r="W560" t="str">
        <f t="shared" si="8"/>
        <v/>
      </c>
    </row>
    <row r="561" spans="23:23" x14ac:dyDescent="0.35">
      <c r="W561" t="str">
        <f t="shared" si="8"/>
        <v/>
      </c>
    </row>
    <row r="562" spans="23:23" x14ac:dyDescent="0.35">
      <c r="W562" t="str">
        <f t="shared" si="8"/>
        <v/>
      </c>
    </row>
    <row r="563" spans="23:23" x14ac:dyDescent="0.35">
      <c r="W563" t="str">
        <f t="shared" si="8"/>
        <v/>
      </c>
    </row>
    <row r="564" spans="23:23" x14ac:dyDescent="0.35">
      <c r="W564" t="str">
        <f t="shared" si="8"/>
        <v/>
      </c>
    </row>
    <row r="565" spans="23:23" x14ac:dyDescent="0.35">
      <c r="W565" t="str">
        <f t="shared" si="8"/>
        <v/>
      </c>
    </row>
    <row r="566" spans="23:23" x14ac:dyDescent="0.35">
      <c r="W566" t="str">
        <f t="shared" si="8"/>
        <v/>
      </c>
    </row>
    <row r="567" spans="23:23" x14ac:dyDescent="0.35">
      <c r="W567" t="str">
        <f t="shared" si="8"/>
        <v/>
      </c>
    </row>
    <row r="568" spans="23:23" x14ac:dyDescent="0.35">
      <c r="W568" t="str">
        <f t="shared" si="8"/>
        <v/>
      </c>
    </row>
    <row r="569" spans="23:23" x14ac:dyDescent="0.35">
      <c r="W569" t="str">
        <f t="shared" si="8"/>
        <v/>
      </c>
    </row>
    <row r="570" spans="23:23" x14ac:dyDescent="0.35">
      <c r="W570" t="str">
        <f t="shared" si="8"/>
        <v/>
      </c>
    </row>
    <row r="571" spans="23:23" x14ac:dyDescent="0.35">
      <c r="W571" t="str">
        <f t="shared" si="8"/>
        <v/>
      </c>
    </row>
    <row r="572" spans="23:23" x14ac:dyDescent="0.35">
      <c r="W572" t="str">
        <f t="shared" si="8"/>
        <v/>
      </c>
    </row>
    <row r="573" spans="23:23" x14ac:dyDescent="0.35">
      <c r="W573" t="str">
        <f t="shared" si="8"/>
        <v/>
      </c>
    </row>
    <row r="574" spans="23:23" x14ac:dyDescent="0.35">
      <c r="W574" t="str">
        <f t="shared" si="8"/>
        <v/>
      </c>
    </row>
    <row r="575" spans="23:23" x14ac:dyDescent="0.35">
      <c r="W575" t="str">
        <f t="shared" si="8"/>
        <v/>
      </c>
    </row>
    <row r="576" spans="23:23" x14ac:dyDescent="0.35">
      <c r="W576" t="str">
        <f t="shared" si="8"/>
        <v/>
      </c>
    </row>
    <row r="577" spans="23:23" x14ac:dyDescent="0.35">
      <c r="W577" t="str">
        <f t="shared" si="8"/>
        <v/>
      </c>
    </row>
    <row r="578" spans="23:23" x14ac:dyDescent="0.35">
      <c r="W578" t="str">
        <f t="shared" ref="W578:W641" si="9">IF(P578="","",YEAR(P578))</f>
        <v/>
      </c>
    </row>
    <row r="579" spans="23:23" x14ac:dyDescent="0.35">
      <c r="W579" t="str">
        <f t="shared" si="9"/>
        <v/>
      </c>
    </row>
    <row r="580" spans="23:23" x14ac:dyDescent="0.35">
      <c r="W580" t="str">
        <f t="shared" si="9"/>
        <v/>
      </c>
    </row>
    <row r="581" spans="23:23" x14ac:dyDescent="0.35">
      <c r="W581" t="str">
        <f t="shared" si="9"/>
        <v/>
      </c>
    </row>
    <row r="582" spans="23:23" x14ac:dyDescent="0.35">
      <c r="W582" t="str">
        <f t="shared" si="9"/>
        <v/>
      </c>
    </row>
    <row r="583" spans="23:23" x14ac:dyDescent="0.35">
      <c r="W583" t="str">
        <f t="shared" si="9"/>
        <v/>
      </c>
    </row>
    <row r="584" spans="23:23" x14ac:dyDescent="0.35">
      <c r="W584" t="str">
        <f t="shared" si="9"/>
        <v/>
      </c>
    </row>
    <row r="585" spans="23:23" x14ac:dyDescent="0.35">
      <c r="W585" t="str">
        <f t="shared" si="9"/>
        <v/>
      </c>
    </row>
    <row r="586" spans="23:23" x14ac:dyDescent="0.35">
      <c r="W586" t="str">
        <f t="shared" si="9"/>
        <v/>
      </c>
    </row>
    <row r="587" spans="23:23" x14ac:dyDescent="0.35">
      <c r="W587" t="str">
        <f t="shared" si="9"/>
        <v/>
      </c>
    </row>
    <row r="588" spans="23:23" x14ac:dyDescent="0.35">
      <c r="W588" t="str">
        <f t="shared" si="9"/>
        <v/>
      </c>
    </row>
    <row r="589" spans="23:23" x14ac:dyDescent="0.35">
      <c r="W589" t="str">
        <f t="shared" si="9"/>
        <v/>
      </c>
    </row>
    <row r="590" spans="23:23" x14ac:dyDescent="0.35">
      <c r="W590" t="str">
        <f t="shared" si="9"/>
        <v/>
      </c>
    </row>
    <row r="591" spans="23:23" x14ac:dyDescent="0.35">
      <c r="W591" t="str">
        <f t="shared" si="9"/>
        <v/>
      </c>
    </row>
    <row r="592" spans="23:23" x14ac:dyDescent="0.35">
      <c r="W592" t="str">
        <f t="shared" si="9"/>
        <v/>
      </c>
    </row>
    <row r="593" spans="23:23" x14ac:dyDescent="0.35">
      <c r="W593" t="str">
        <f t="shared" si="9"/>
        <v/>
      </c>
    </row>
    <row r="594" spans="23:23" x14ac:dyDescent="0.35">
      <c r="W594" t="str">
        <f t="shared" si="9"/>
        <v/>
      </c>
    </row>
    <row r="595" spans="23:23" x14ac:dyDescent="0.35">
      <c r="W595" t="str">
        <f t="shared" si="9"/>
        <v/>
      </c>
    </row>
    <row r="596" spans="23:23" x14ac:dyDescent="0.35">
      <c r="W596" t="str">
        <f t="shared" si="9"/>
        <v/>
      </c>
    </row>
    <row r="597" spans="23:23" x14ac:dyDescent="0.35">
      <c r="W597" t="str">
        <f t="shared" si="9"/>
        <v/>
      </c>
    </row>
    <row r="598" spans="23:23" x14ac:dyDescent="0.35">
      <c r="W598" t="str">
        <f t="shared" si="9"/>
        <v/>
      </c>
    </row>
    <row r="599" spans="23:23" x14ac:dyDescent="0.35">
      <c r="W599" t="str">
        <f t="shared" si="9"/>
        <v/>
      </c>
    </row>
    <row r="600" spans="23:23" x14ac:dyDescent="0.35">
      <c r="W600" t="str">
        <f t="shared" si="9"/>
        <v/>
      </c>
    </row>
    <row r="601" spans="23:23" x14ac:dyDescent="0.35">
      <c r="W601" t="str">
        <f t="shared" si="9"/>
        <v/>
      </c>
    </row>
    <row r="602" spans="23:23" x14ac:dyDescent="0.35">
      <c r="W602" t="str">
        <f t="shared" si="9"/>
        <v/>
      </c>
    </row>
    <row r="603" spans="23:23" x14ac:dyDescent="0.35">
      <c r="W603" t="str">
        <f t="shared" si="9"/>
        <v/>
      </c>
    </row>
    <row r="604" spans="23:23" x14ac:dyDescent="0.35">
      <c r="W604" t="str">
        <f t="shared" si="9"/>
        <v/>
      </c>
    </row>
    <row r="605" spans="23:23" x14ac:dyDescent="0.35">
      <c r="W605" t="str">
        <f t="shared" si="9"/>
        <v/>
      </c>
    </row>
    <row r="606" spans="23:23" x14ac:dyDescent="0.35">
      <c r="W606" t="str">
        <f t="shared" si="9"/>
        <v/>
      </c>
    </row>
    <row r="607" spans="23:23" x14ac:dyDescent="0.35">
      <c r="W607" t="str">
        <f t="shared" si="9"/>
        <v/>
      </c>
    </row>
    <row r="608" spans="23:23" x14ac:dyDescent="0.35">
      <c r="W608" t="str">
        <f t="shared" si="9"/>
        <v/>
      </c>
    </row>
    <row r="609" spans="23:23" x14ac:dyDescent="0.35">
      <c r="W609" t="str">
        <f t="shared" si="9"/>
        <v/>
      </c>
    </row>
    <row r="610" spans="23:23" x14ac:dyDescent="0.35">
      <c r="W610" t="str">
        <f t="shared" si="9"/>
        <v/>
      </c>
    </row>
    <row r="611" spans="23:23" x14ac:dyDescent="0.35">
      <c r="W611" t="str">
        <f t="shared" si="9"/>
        <v/>
      </c>
    </row>
    <row r="612" spans="23:23" x14ac:dyDescent="0.35">
      <c r="W612" t="str">
        <f t="shared" si="9"/>
        <v/>
      </c>
    </row>
    <row r="613" spans="23:23" x14ac:dyDescent="0.35">
      <c r="W613" t="str">
        <f t="shared" si="9"/>
        <v/>
      </c>
    </row>
    <row r="614" spans="23:23" x14ac:dyDescent="0.35">
      <c r="W614" t="str">
        <f t="shared" si="9"/>
        <v/>
      </c>
    </row>
    <row r="615" spans="23:23" x14ac:dyDescent="0.35">
      <c r="W615" t="str">
        <f t="shared" si="9"/>
        <v/>
      </c>
    </row>
    <row r="616" spans="23:23" x14ac:dyDescent="0.35">
      <c r="W616" t="str">
        <f t="shared" si="9"/>
        <v/>
      </c>
    </row>
    <row r="617" spans="23:23" x14ac:dyDescent="0.35">
      <c r="W617" t="str">
        <f t="shared" si="9"/>
        <v/>
      </c>
    </row>
    <row r="618" spans="23:23" x14ac:dyDescent="0.35">
      <c r="W618" t="str">
        <f t="shared" si="9"/>
        <v/>
      </c>
    </row>
    <row r="619" spans="23:23" x14ac:dyDescent="0.35">
      <c r="W619" t="str">
        <f t="shared" si="9"/>
        <v/>
      </c>
    </row>
    <row r="620" spans="23:23" x14ac:dyDescent="0.35">
      <c r="W620" t="str">
        <f t="shared" si="9"/>
        <v/>
      </c>
    </row>
    <row r="621" spans="23:23" x14ac:dyDescent="0.35">
      <c r="W621" t="str">
        <f t="shared" si="9"/>
        <v/>
      </c>
    </row>
    <row r="622" spans="23:23" x14ac:dyDescent="0.35">
      <c r="W622" t="str">
        <f t="shared" si="9"/>
        <v/>
      </c>
    </row>
    <row r="623" spans="23:23" x14ac:dyDescent="0.35">
      <c r="W623" t="str">
        <f t="shared" si="9"/>
        <v/>
      </c>
    </row>
    <row r="624" spans="23:23" x14ac:dyDescent="0.35">
      <c r="W624" t="str">
        <f t="shared" si="9"/>
        <v/>
      </c>
    </row>
    <row r="625" spans="23:23" x14ac:dyDescent="0.35">
      <c r="W625" t="str">
        <f t="shared" si="9"/>
        <v/>
      </c>
    </row>
    <row r="626" spans="23:23" x14ac:dyDescent="0.35">
      <c r="W626" t="str">
        <f t="shared" si="9"/>
        <v/>
      </c>
    </row>
    <row r="627" spans="23:23" x14ac:dyDescent="0.35">
      <c r="W627" t="str">
        <f t="shared" si="9"/>
        <v/>
      </c>
    </row>
    <row r="628" spans="23:23" x14ac:dyDescent="0.35">
      <c r="W628" t="str">
        <f t="shared" si="9"/>
        <v/>
      </c>
    </row>
    <row r="629" spans="23:23" x14ac:dyDescent="0.35">
      <c r="W629" t="str">
        <f t="shared" si="9"/>
        <v/>
      </c>
    </row>
    <row r="630" spans="23:23" x14ac:dyDescent="0.35">
      <c r="W630" t="str">
        <f t="shared" si="9"/>
        <v/>
      </c>
    </row>
    <row r="631" spans="23:23" x14ac:dyDescent="0.35">
      <c r="W631" t="str">
        <f t="shared" si="9"/>
        <v/>
      </c>
    </row>
    <row r="632" spans="23:23" x14ac:dyDescent="0.35">
      <c r="W632" t="str">
        <f t="shared" si="9"/>
        <v/>
      </c>
    </row>
    <row r="633" spans="23:23" x14ac:dyDescent="0.35">
      <c r="W633" t="str">
        <f t="shared" si="9"/>
        <v/>
      </c>
    </row>
    <row r="634" spans="23:23" x14ac:dyDescent="0.35">
      <c r="W634" t="str">
        <f t="shared" si="9"/>
        <v/>
      </c>
    </row>
    <row r="635" spans="23:23" x14ac:dyDescent="0.35">
      <c r="W635" t="str">
        <f t="shared" si="9"/>
        <v/>
      </c>
    </row>
    <row r="636" spans="23:23" x14ac:dyDescent="0.35">
      <c r="W636" t="str">
        <f t="shared" si="9"/>
        <v/>
      </c>
    </row>
    <row r="637" spans="23:23" x14ac:dyDescent="0.35">
      <c r="W637" t="str">
        <f t="shared" si="9"/>
        <v/>
      </c>
    </row>
    <row r="638" spans="23:23" x14ac:dyDescent="0.35">
      <c r="W638" t="str">
        <f t="shared" si="9"/>
        <v/>
      </c>
    </row>
    <row r="639" spans="23:23" x14ac:dyDescent="0.35">
      <c r="W639" t="str">
        <f t="shared" si="9"/>
        <v/>
      </c>
    </row>
    <row r="640" spans="23:23" x14ac:dyDescent="0.35">
      <c r="W640" t="str">
        <f t="shared" si="9"/>
        <v/>
      </c>
    </row>
    <row r="641" spans="23:23" x14ac:dyDescent="0.35">
      <c r="W641" t="str">
        <f t="shared" si="9"/>
        <v/>
      </c>
    </row>
    <row r="642" spans="23:23" x14ac:dyDescent="0.35">
      <c r="W642" t="str">
        <f t="shared" ref="W642:W705" si="10">IF(P642="","",YEAR(P642))</f>
        <v/>
      </c>
    </row>
    <row r="643" spans="23:23" x14ac:dyDescent="0.35">
      <c r="W643" t="str">
        <f t="shared" si="10"/>
        <v/>
      </c>
    </row>
    <row r="644" spans="23:23" x14ac:dyDescent="0.35">
      <c r="W644" t="str">
        <f t="shared" si="10"/>
        <v/>
      </c>
    </row>
    <row r="645" spans="23:23" x14ac:dyDescent="0.35">
      <c r="W645" t="str">
        <f t="shared" si="10"/>
        <v/>
      </c>
    </row>
    <row r="646" spans="23:23" x14ac:dyDescent="0.35">
      <c r="W646" t="str">
        <f t="shared" si="10"/>
        <v/>
      </c>
    </row>
    <row r="647" spans="23:23" x14ac:dyDescent="0.35">
      <c r="W647" t="str">
        <f t="shared" si="10"/>
        <v/>
      </c>
    </row>
    <row r="648" spans="23:23" x14ac:dyDescent="0.35">
      <c r="W648" t="str">
        <f t="shared" si="10"/>
        <v/>
      </c>
    </row>
    <row r="649" spans="23:23" x14ac:dyDescent="0.35">
      <c r="W649" t="str">
        <f t="shared" si="10"/>
        <v/>
      </c>
    </row>
    <row r="650" spans="23:23" x14ac:dyDescent="0.35">
      <c r="W650" t="str">
        <f t="shared" si="10"/>
        <v/>
      </c>
    </row>
    <row r="651" spans="23:23" x14ac:dyDescent="0.35">
      <c r="W651" t="str">
        <f t="shared" si="10"/>
        <v/>
      </c>
    </row>
    <row r="652" spans="23:23" x14ac:dyDescent="0.35">
      <c r="W652" t="str">
        <f t="shared" si="10"/>
        <v/>
      </c>
    </row>
    <row r="653" spans="23:23" x14ac:dyDescent="0.35">
      <c r="W653" t="str">
        <f t="shared" si="10"/>
        <v/>
      </c>
    </row>
    <row r="654" spans="23:23" x14ac:dyDescent="0.35">
      <c r="W654" t="str">
        <f t="shared" si="10"/>
        <v/>
      </c>
    </row>
    <row r="655" spans="23:23" x14ac:dyDescent="0.35">
      <c r="W655" t="str">
        <f t="shared" si="10"/>
        <v/>
      </c>
    </row>
    <row r="656" spans="23:23" x14ac:dyDescent="0.35">
      <c r="W656" t="str">
        <f t="shared" si="10"/>
        <v/>
      </c>
    </row>
    <row r="657" spans="23:23" x14ac:dyDescent="0.35">
      <c r="W657" t="str">
        <f t="shared" si="10"/>
        <v/>
      </c>
    </row>
    <row r="658" spans="23:23" x14ac:dyDescent="0.35">
      <c r="W658" t="str">
        <f t="shared" si="10"/>
        <v/>
      </c>
    </row>
    <row r="659" spans="23:23" x14ac:dyDescent="0.35">
      <c r="W659" t="str">
        <f t="shared" si="10"/>
        <v/>
      </c>
    </row>
    <row r="660" spans="23:23" x14ac:dyDescent="0.35">
      <c r="W660" t="str">
        <f t="shared" si="10"/>
        <v/>
      </c>
    </row>
    <row r="661" spans="23:23" x14ac:dyDescent="0.35">
      <c r="W661" t="str">
        <f t="shared" si="10"/>
        <v/>
      </c>
    </row>
    <row r="662" spans="23:23" x14ac:dyDescent="0.35">
      <c r="W662" t="str">
        <f t="shared" si="10"/>
        <v/>
      </c>
    </row>
    <row r="663" spans="23:23" x14ac:dyDescent="0.35">
      <c r="W663" t="str">
        <f t="shared" si="10"/>
        <v/>
      </c>
    </row>
    <row r="664" spans="23:23" x14ac:dyDescent="0.35">
      <c r="W664" t="str">
        <f t="shared" si="10"/>
        <v/>
      </c>
    </row>
    <row r="665" spans="23:23" x14ac:dyDescent="0.35">
      <c r="W665" t="str">
        <f t="shared" si="10"/>
        <v/>
      </c>
    </row>
    <row r="666" spans="23:23" x14ac:dyDescent="0.35">
      <c r="W666" t="str">
        <f t="shared" si="10"/>
        <v/>
      </c>
    </row>
    <row r="667" spans="23:23" x14ac:dyDescent="0.35">
      <c r="W667" t="str">
        <f t="shared" si="10"/>
        <v/>
      </c>
    </row>
    <row r="668" spans="23:23" x14ac:dyDescent="0.35">
      <c r="W668" t="str">
        <f t="shared" si="10"/>
        <v/>
      </c>
    </row>
    <row r="669" spans="23:23" x14ac:dyDescent="0.35">
      <c r="W669" t="str">
        <f t="shared" si="10"/>
        <v/>
      </c>
    </row>
    <row r="670" spans="23:23" x14ac:dyDescent="0.35">
      <c r="W670" t="str">
        <f t="shared" si="10"/>
        <v/>
      </c>
    </row>
    <row r="671" spans="23:23" x14ac:dyDescent="0.35">
      <c r="W671" t="str">
        <f t="shared" si="10"/>
        <v/>
      </c>
    </row>
    <row r="672" spans="23:23" x14ac:dyDescent="0.35">
      <c r="W672" t="str">
        <f t="shared" si="10"/>
        <v/>
      </c>
    </row>
    <row r="673" spans="23:23" x14ac:dyDescent="0.35">
      <c r="W673" t="str">
        <f t="shared" si="10"/>
        <v/>
      </c>
    </row>
    <row r="674" spans="23:23" x14ac:dyDescent="0.35">
      <c r="W674" t="str">
        <f t="shared" si="10"/>
        <v/>
      </c>
    </row>
    <row r="675" spans="23:23" x14ac:dyDescent="0.35">
      <c r="W675" t="str">
        <f t="shared" si="10"/>
        <v/>
      </c>
    </row>
    <row r="676" spans="23:23" x14ac:dyDescent="0.35">
      <c r="W676" t="str">
        <f t="shared" si="10"/>
        <v/>
      </c>
    </row>
    <row r="677" spans="23:23" x14ac:dyDescent="0.35">
      <c r="W677" t="str">
        <f t="shared" si="10"/>
        <v/>
      </c>
    </row>
    <row r="678" spans="23:23" x14ac:dyDescent="0.35">
      <c r="W678" t="str">
        <f t="shared" si="10"/>
        <v/>
      </c>
    </row>
    <row r="679" spans="23:23" x14ac:dyDescent="0.35">
      <c r="W679" t="str">
        <f t="shared" si="10"/>
        <v/>
      </c>
    </row>
    <row r="680" spans="23:23" x14ac:dyDescent="0.35">
      <c r="W680" t="str">
        <f t="shared" si="10"/>
        <v/>
      </c>
    </row>
    <row r="681" spans="23:23" x14ac:dyDescent="0.35">
      <c r="W681" t="str">
        <f t="shared" si="10"/>
        <v/>
      </c>
    </row>
    <row r="682" spans="23:23" x14ac:dyDescent="0.35">
      <c r="W682" t="str">
        <f t="shared" si="10"/>
        <v/>
      </c>
    </row>
    <row r="683" spans="23:23" x14ac:dyDescent="0.35">
      <c r="W683" t="str">
        <f t="shared" si="10"/>
        <v/>
      </c>
    </row>
    <row r="684" spans="23:23" x14ac:dyDescent="0.35">
      <c r="W684" t="str">
        <f t="shared" si="10"/>
        <v/>
      </c>
    </row>
    <row r="685" spans="23:23" x14ac:dyDescent="0.35">
      <c r="W685" t="str">
        <f t="shared" si="10"/>
        <v/>
      </c>
    </row>
    <row r="686" spans="23:23" x14ac:dyDescent="0.35">
      <c r="W686" t="str">
        <f t="shared" si="10"/>
        <v/>
      </c>
    </row>
    <row r="687" spans="23:23" x14ac:dyDescent="0.35">
      <c r="W687" t="str">
        <f t="shared" si="10"/>
        <v/>
      </c>
    </row>
    <row r="688" spans="23:23" x14ac:dyDescent="0.35">
      <c r="W688" t="str">
        <f t="shared" si="10"/>
        <v/>
      </c>
    </row>
    <row r="689" spans="23:23" x14ac:dyDescent="0.35">
      <c r="W689" t="str">
        <f t="shared" si="10"/>
        <v/>
      </c>
    </row>
    <row r="690" spans="23:23" x14ac:dyDescent="0.35">
      <c r="W690" t="str">
        <f t="shared" si="10"/>
        <v/>
      </c>
    </row>
    <row r="691" spans="23:23" x14ac:dyDescent="0.35">
      <c r="W691" t="str">
        <f t="shared" si="10"/>
        <v/>
      </c>
    </row>
    <row r="692" spans="23:23" x14ac:dyDescent="0.35">
      <c r="W692" t="str">
        <f t="shared" si="10"/>
        <v/>
      </c>
    </row>
    <row r="693" spans="23:23" x14ac:dyDescent="0.35">
      <c r="W693" t="str">
        <f t="shared" si="10"/>
        <v/>
      </c>
    </row>
    <row r="694" spans="23:23" x14ac:dyDescent="0.35">
      <c r="W694" t="str">
        <f t="shared" si="10"/>
        <v/>
      </c>
    </row>
    <row r="695" spans="23:23" x14ac:dyDescent="0.35">
      <c r="W695" t="str">
        <f t="shared" si="10"/>
        <v/>
      </c>
    </row>
    <row r="696" spans="23:23" x14ac:dyDescent="0.35">
      <c r="W696" t="str">
        <f t="shared" si="10"/>
        <v/>
      </c>
    </row>
    <row r="697" spans="23:23" x14ac:dyDescent="0.35">
      <c r="W697" t="str">
        <f t="shared" si="10"/>
        <v/>
      </c>
    </row>
    <row r="698" spans="23:23" x14ac:dyDescent="0.35">
      <c r="W698" t="str">
        <f t="shared" si="10"/>
        <v/>
      </c>
    </row>
    <row r="699" spans="23:23" x14ac:dyDescent="0.35">
      <c r="W699" t="str">
        <f t="shared" si="10"/>
        <v/>
      </c>
    </row>
    <row r="700" spans="23:23" x14ac:dyDescent="0.35">
      <c r="W700" t="str">
        <f t="shared" si="10"/>
        <v/>
      </c>
    </row>
    <row r="701" spans="23:23" x14ac:dyDescent="0.35">
      <c r="W701" t="str">
        <f t="shared" si="10"/>
        <v/>
      </c>
    </row>
    <row r="702" spans="23:23" x14ac:dyDescent="0.35">
      <c r="W702" t="str">
        <f t="shared" si="10"/>
        <v/>
      </c>
    </row>
    <row r="703" spans="23:23" x14ac:dyDescent="0.35">
      <c r="W703" t="str">
        <f t="shared" si="10"/>
        <v/>
      </c>
    </row>
    <row r="704" spans="23:23" x14ac:dyDescent="0.35">
      <c r="W704" t="str">
        <f t="shared" si="10"/>
        <v/>
      </c>
    </row>
    <row r="705" spans="23:23" x14ac:dyDescent="0.35">
      <c r="W705" t="str">
        <f t="shared" si="10"/>
        <v/>
      </c>
    </row>
    <row r="706" spans="23:23" x14ac:dyDescent="0.35">
      <c r="W706" t="str">
        <f t="shared" ref="W706:W769" si="11">IF(P706="","",YEAR(P706))</f>
        <v/>
      </c>
    </row>
    <row r="707" spans="23:23" x14ac:dyDescent="0.35">
      <c r="W707" t="str">
        <f t="shared" si="11"/>
        <v/>
      </c>
    </row>
    <row r="708" spans="23:23" x14ac:dyDescent="0.35">
      <c r="W708" t="str">
        <f t="shared" si="11"/>
        <v/>
      </c>
    </row>
    <row r="709" spans="23:23" x14ac:dyDescent="0.35">
      <c r="W709" t="str">
        <f t="shared" si="11"/>
        <v/>
      </c>
    </row>
    <row r="710" spans="23:23" x14ac:dyDescent="0.35">
      <c r="W710" t="str">
        <f t="shared" si="11"/>
        <v/>
      </c>
    </row>
    <row r="711" spans="23:23" x14ac:dyDescent="0.35">
      <c r="W711" t="str">
        <f t="shared" si="11"/>
        <v/>
      </c>
    </row>
    <row r="712" spans="23:23" x14ac:dyDescent="0.35">
      <c r="W712" t="str">
        <f t="shared" si="11"/>
        <v/>
      </c>
    </row>
    <row r="713" spans="23:23" x14ac:dyDescent="0.35">
      <c r="W713" t="str">
        <f t="shared" si="11"/>
        <v/>
      </c>
    </row>
    <row r="714" spans="23:23" x14ac:dyDescent="0.35">
      <c r="W714" t="str">
        <f t="shared" si="11"/>
        <v/>
      </c>
    </row>
    <row r="715" spans="23:23" x14ac:dyDescent="0.35">
      <c r="W715" t="str">
        <f t="shared" si="11"/>
        <v/>
      </c>
    </row>
    <row r="716" spans="23:23" x14ac:dyDescent="0.35">
      <c r="W716" t="str">
        <f t="shared" si="11"/>
        <v/>
      </c>
    </row>
    <row r="717" spans="23:23" x14ac:dyDescent="0.35">
      <c r="W717" t="str">
        <f t="shared" si="11"/>
        <v/>
      </c>
    </row>
    <row r="718" spans="23:23" x14ac:dyDescent="0.35">
      <c r="W718" t="str">
        <f t="shared" si="11"/>
        <v/>
      </c>
    </row>
    <row r="719" spans="23:23" x14ac:dyDescent="0.35">
      <c r="W719" t="str">
        <f t="shared" si="11"/>
        <v/>
      </c>
    </row>
    <row r="720" spans="23:23" x14ac:dyDescent="0.35">
      <c r="W720" t="str">
        <f t="shared" si="11"/>
        <v/>
      </c>
    </row>
    <row r="721" spans="23:23" x14ac:dyDescent="0.35">
      <c r="W721" t="str">
        <f t="shared" si="11"/>
        <v/>
      </c>
    </row>
    <row r="722" spans="23:23" x14ac:dyDescent="0.35">
      <c r="W722" t="str">
        <f t="shared" si="11"/>
        <v/>
      </c>
    </row>
    <row r="723" spans="23:23" x14ac:dyDescent="0.35">
      <c r="W723" t="str">
        <f t="shared" si="11"/>
        <v/>
      </c>
    </row>
    <row r="724" spans="23:23" x14ac:dyDescent="0.35">
      <c r="W724" t="str">
        <f t="shared" si="11"/>
        <v/>
      </c>
    </row>
    <row r="725" spans="23:23" x14ac:dyDescent="0.35">
      <c r="W725" t="str">
        <f t="shared" si="11"/>
        <v/>
      </c>
    </row>
    <row r="726" spans="23:23" x14ac:dyDescent="0.35">
      <c r="W726" t="str">
        <f t="shared" si="11"/>
        <v/>
      </c>
    </row>
    <row r="727" spans="23:23" x14ac:dyDescent="0.35">
      <c r="W727" t="str">
        <f t="shared" si="11"/>
        <v/>
      </c>
    </row>
    <row r="728" spans="23:23" x14ac:dyDescent="0.35">
      <c r="W728" t="str">
        <f t="shared" si="11"/>
        <v/>
      </c>
    </row>
    <row r="729" spans="23:23" x14ac:dyDescent="0.35">
      <c r="W729" t="str">
        <f t="shared" si="11"/>
        <v/>
      </c>
    </row>
    <row r="730" spans="23:23" x14ac:dyDescent="0.35">
      <c r="W730" t="str">
        <f t="shared" si="11"/>
        <v/>
      </c>
    </row>
    <row r="731" spans="23:23" x14ac:dyDescent="0.35">
      <c r="W731" t="str">
        <f t="shared" si="11"/>
        <v/>
      </c>
    </row>
    <row r="732" spans="23:23" x14ac:dyDescent="0.35">
      <c r="W732" t="str">
        <f t="shared" si="11"/>
        <v/>
      </c>
    </row>
    <row r="733" spans="23:23" x14ac:dyDescent="0.35">
      <c r="W733" t="str">
        <f t="shared" si="11"/>
        <v/>
      </c>
    </row>
    <row r="734" spans="23:23" x14ac:dyDescent="0.35">
      <c r="W734" t="str">
        <f t="shared" si="11"/>
        <v/>
      </c>
    </row>
    <row r="735" spans="23:23" x14ac:dyDescent="0.35">
      <c r="W735" t="str">
        <f t="shared" si="11"/>
        <v/>
      </c>
    </row>
    <row r="736" spans="23:23" x14ac:dyDescent="0.35">
      <c r="W736" t="str">
        <f t="shared" si="11"/>
        <v/>
      </c>
    </row>
    <row r="737" spans="23:23" x14ac:dyDescent="0.35">
      <c r="W737" t="str">
        <f t="shared" si="11"/>
        <v/>
      </c>
    </row>
    <row r="738" spans="23:23" x14ac:dyDescent="0.35">
      <c r="W738" t="str">
        <f t="shared" si="11"/>
        <v/>
      </c>
    </row>
    <row r="739" spans="23:23" x14ac:dyDescent="0.35">
      <c r="W739" t="str">
        <f t="shared" si="11"/>
        <v/>
      </c>
    </row>
    <row r="740" spans="23:23" x14ac:dyDescent="0.35">
      <c r="W740" t="str">
        <f t="shared" si="11"/>
        <v/>
      </c>
    </row>
    <row r="741" spans="23:23" x14ac:dyDescent="0.35">
      <c r="W741" t="str">
        <f t="shared" si="11"/>
        <v/>
      </c>
    </row>
    <row r="742" spans="23:23" x14ac:dyDescent="0.35">
      <c r="W742" t="str">
        <f t="shared" si="11"/>
        <v/>
      </c>
    </row>
    <row r="743" spans="23:23" x14ac:dyDescent="0.35">
      <c r="W743" t="str">
        <f t="shared" si="11"/>
        <v/>
      </c>
    </row>
    <row r="744" spans="23:23" x14ac:dyDescent="0.35">
      <c r="W744" t="str">
        <f t="shared" si="11"/>
        <v/>
      </c>
    </row>
    <row r="745" spans="23:23" x14ac:dyDescent="0.35">
      <c r="W745" t="str">
        <f t="shared" si="11"/>
        <v/>
      </c>
    </row>
    <row r="746" spans="23:23" x14ac:dyDescent="0.35">
      <c r="W746" t="str">
        <f t="shared" si="11"/>
        <v/>
      </c>
    </row>
    <row r="747" spans="23:23" x14ac:dyDescent="0.35">
      <c r="W747" t="str">
        <f t="shared" si="11"/>
        <v/>
      </c>
    </row>
    <row r="748" spans="23:23" x14ac:dyDescent="0.35">
      <c r="W748" t="str">
        <f t="shared" si="11"/>
        <v/>
      </c>
    </row>
    <row r="749" spans="23:23" x14ac:dyDescent="0.35">
      <c r="W749" t="str">
        <f t="shared" si="11"/>
        <v/>
      </c>
    </row>
    <row r="750" spans="23:23" x14ac:dyDescent="0.35">
      <c r="W750" t="str">
        <f t="shared" si="11"/>
        <v/>
      </c>
    </row>
    <row r="751" spans="23:23" x14ac:dyDescent="0.35">
      <c r="W751" t="str">
        <f t="shared" si="11"/>
        <v/>
      </c>
    </row>
    <row r="752" spans="23:23" x14ac:dyDescent="0.35">
      <c r="W752" t="str">
        <f t="shared" si="11"/>
        <v/>
      </c>
    </row>
    <row r="753" spans="23:23" x14ac:dyDescent="0.35">
      <c r="W753" t="str">
        <f t="shared" si="11"/>
        <v/>
      </c>
    </row>
    <row r="754" spans="23:23" x14ac:dyDescent="0.35">
      <c r="W754" t="str">
        <f t="shared" si="11"/>
        <v/>
      </c>
    </row>
    <row r="755" spans="23:23" x14ac:dyDescent="0.35">
      <c r="W755" t="str">
        <f t="shared" si="11"/>
        <v/>
      </c>
    </row>
    <row r="756" spans="23:23" x14ac:dyDescent="0.35">
      <c r="W756" t="str">
        <f t="shared" si="11"/>
        <v/>
      </c>
    </row>
    <row r="757" spans="23:23" x14ac:dyDescent="0.35">
      <c r="W757" t="str">
        <f t="shared" si="11"/>
        <v/>
      </c>
    </row>
    <row r="758" spans="23:23" x14ac:dyDescent="0.35">
      <c r="W758" t="str">
        <f t="shared" si="11"/>
        <v/>
      </c>
    </row>
    <row r="759" spans="23:23" x14ac:dyDescent="0.35">
      <c r="W759" t="str">
        <f t="shared" si="11"/>
        <v/>
      </c>
    </row>
    <row r="760" spans="23:23" x14ac:dyDescent="0.35">
      <c r="W760" t="str">
        <f t="shared" si="11"/>
        <v/>
      </c>
    </row>
    <row r="761" spans="23:23" x14ac:dyDescent="0.35">
      <c r="W761" t="str">
        <f t="shared" si="11"/>
        <v/>
      </c>
    </row>
    <row r="762" spans="23:23" x14ac:dyDescent="0.35">
      <c r="W762" t="str">
        <f t="shared" si="11"/>
        <v/>
      </c>
    </row>
    <row r="763" spans="23:23" x14ac:dyDescent="0.35">
      <c r="W763" t="str">
        <f t="shared" si="11"/>
        <v/>
      </c>
    </row>
    <row r="764" spans="23:23" x14ac:dyDescent="0.35">
      <c r="W764" t="str">
        <f t="shared" si="11"/>
        <v/>
      </c>
    </row>
    <row r="765" spans="23:23" x14ac:dyDescent="0.35">
      <c r="W765" t="str">
        <f t="shared" si="11"/>
        <v/>
      </c>
    </row>
    <row r="766" spans="23:23" x14ac:dyDescent="0.35">
      <c r="W766" t="str">
        <f t="shared" si="11"/>
        <v/>
      </c>
    </row>
    <row r="767" spans="23:23" x14ac:dyDescent="0.35">
      <c r="W767" t="str">
        <f t="shared" si="11"/>
        <v/>
      </c>
    </row>
    <row r="768" spans="23:23" x14ac:dyDescent="0.35">
      <c r="W768" t="str">
        <f t="shared" si="11"/>
        <v/>
      </c>
    </row>
    <row r="769" spans="23:23" x14ac:dyDescent="0.35">
      <c r="W769" t="str">
        <f t="shared" si="11"/>
        <v/>
      </c>
    </row>
    <row r="770" spans="23:23" x14ac:dyDescent="0.35">
      <c r="W770" t="str">
        <f t="shared" ref="W770:W833" si="12">IF(P770="","",YEAR(P770))</f>
        <v/>
      </c>
    </row>
    <row r="771" spans="23:23" x14ac:dyDescent="0.35">
      <c r="W771" t="str">
        <f t="shared" si="12"/>
        <v/>
      </c>
    </row>
    <row r="772" spans="23:23" x14ac:dyDescent="0.35">
      <c r="W772" t="str">
        <f t="shared" si="12"/>
        <v/>
      </c>
    </row>
    <row r="773" spans="23:23" x14ac:dyDescent="0.35">
      <c r="W773" t="str">
        <f t="shared" si="12"/>
        <v/>
      </c>
    </row>
    <row r="774" spans="23:23" x14ac:dyDescent="0.35">
      <c r="W774" t="str">
        <f t="shared" si="12"/>
        <v/>
      </c>
    </row>
    <row r="775" spans="23:23" x14ac:dyDescent="0.35">
      <c r="W775" t="str">
        <f t="shared" si="12"/>
        <v/>
      </c>
    </row>
    <row r="776" spans="23:23" x14ac:dyDescent="0.35">
      <c r="W776" t="str">
        <f t="shared" si="12"/>
        <v/>
      </c>
    </row>
    <row r="777" spans="23:23" x14ac:dyDescent="0.35">
      <c r="W777" t="str">
        <f t="shared" si="12"/>
        <v/>
      </c>
    </row>
    <row r="778" spans="23:23" x14ac:dyDescent="0.35">
      <c r="W778" t="str">
        <f t="shared" si="12"/>
        <v/>
      </c>
    </row>
    <row r="779" spans="23:23" x14ac:dyDescent="0.35">
      <c r="W779" t="str">
        <f t="shared" si="12"/>
        <v/>
      </c>
    </row>
    <row r="780" spans="23:23" x14ac:dyDescent="0.35">
      <c r="W780" t="str">
        <f t="shared" si="12"/>
        <v/>
      </c>
    </row>
    <row r="781" spans="23:23" x14ac:dyDescent="0.35">
      <c r="W781" t="str">
        <f t="shared" si="12"/>
        <v/>
      </c>
    </row>
    <row r="782" spans="23:23" x14ac:dyDescent="0.35">
      <c r="W782" t="str">
        <f t="shared" si="12"/>
        <v/>
      </c>
    </row>
    <row r="783" spans="23:23" x14ac:dyDescent="0.35">
      <c r="W783" t="str">
        <f t="shared" si="12"/>
        <v/>
      </c>
    </row>
    <row r="784" spans="23:23" x14ac:dyDescent="0.35">
      <c r="W784" t="str">
        <f t="shared" si="12"/>
        <v/>
      </c>
    </row>
    <row r="785" spans="23:23" x14ac:dyDescent="0.35">
      <c r="W785" t="str">
        <f t="shared" si="12"/>
        <v/>
      </c>
    </row>
    <row r="786" spans="23:23" x14ac:dyDescent="0.35">
      <c r="W786" t="str">
        <f t="shared" si="12"/>
        <v/>
      </c>
    </row>
    <row r="787" spans="23:23" x14ac:dyDescent="0.35">
      <c r="W787" t="str">
        <f t="shared" si="12"/>
        <v/>
      </c>
    </row>
    <row r="788" spans="23:23" x14ac:dyDescent="0.35">
      <c r="W788" t="str">
        <f t="shared" si="12"/>
        <v/>
      </c>
    </row>
    <row r="789" spans="23:23" x14ac:dyDescent="0.35">
      <c r="W789" t="str">
        <f t="shared" si="12"/>
        <v/>
      </c>
    </row>
    <row r="790" spans="23:23" x14ac:dyDescent="0.35">
      <c r="W790" t="str">
        <f t="shared" si="12"/>
        <v/>
      </c>
    </row>
    <row r="791" spans="23:23" x14ac:dyDescent="0.35">
      <c r="W791" t="str">
        <f t="shared" si="12"/>
        <v/>
      </c>
    </row>
    <row r="792" spans="23:23" x14ac:dyDescent="0.35">
      <c r="W792" t="str">
        <f t="shared" si="12"/>
        <v/>
      </c>
    </row>
    <row r="793" spans="23:23" x14ac:dyDescent="0.35">
      <c r="W793" t="str">
        <f t="shared" si="12"/>
        <v/>
      </c>
    </row>
    <row r="794" spans="23:23" x14ac:dyDescent="0.35">
      <c r="W794" t="str">
        <f t="shared" si="12"/>
        <v/>
      </c>
    </row>
    <row r="795" spans="23:23" x14ac:dyDescent="0.35">
      <c r="W795" t="str">
        <f t="shared" si="12"/>
        <v/>
      </c>
    </row>
    <row r="796" spans="23:23" x14ac:dyDescent="0.35">
      <c r="W796" t="str">
        <f t="shared" si="12"/>
        <v/>
      </c>
    </row>
    <row r="797" spans="23:23" x14ac:dyDescent="0.35">
      <c r="W797" t="str">
        <f t="shared" si="12"/>
        <v/>
      </c>
    </row>
    <row r="798" spans="23:23" x14ac:dyDescent="0.35">
      <c r="W798" t="str">
        <f t="shared" si="12"/>
        <v/>
      </c>
    </row>
    <row r="799" spans="23:23" x14ac:dyDescent="0.35">
      <c r="W799" t="str">
        <f t="shared" si="12"/>
        <v/>
      </c>
    </row>
    <row r="800" spans="23:23" x14ac:dyDescent="0.35">
      <c r="W800" t="str">
        <f t="shared" si="12"/>
        <v/>
      </c>
    </row>
    <row r="801" spans="23:23" x14ac:dyDescent="0.35">
      <c r="W801" t="str">
        <f t="shared" si="12"/>
        <v/>
      </c>
    </row>
    <row r="802" spans="23:23" x14ac:dyDescent="0.35">
      <c r="W802" t="str">
        <f t="shared" si="12"/>
        <v/>
      </c>
    </row>
    <row r="803" spans="23:23" x14ac:dyDescent="0.35">
      <c r="W803" t="str">
        <f t="shared" si="12"/>
        <v/>
      </c>
    </row>
    <row r="804" spans="23:23" x14ac:dyDescent="0.35">
      <c r="W804" t="str">
        <f t="shared" si="12"/>
        <v/>
      </c>
    </row>
    <row r="805" spans="23:23" x14ac:dyDescent="0.35">
      <c r="W805" t="str">
        <f t="shared" si="12"/>
        <v/>
      </c>
    </row>
    <row r="806" spans="23:23" x14ac:dyDescent="0.35">
      <c r="W806" t="str">
        <f t="shared" si="12"/>
        <v/>
      </c>
    </row>
    <row r="807" spans="23:23" x14ac:dyDescent="0.35">
      <c r="W807" t="str">
        <f t="shared" si="12"/>
        <v/>
      </c>
    </row>
    <row r="808" spans="23:23" x14ac:dyDescent="0.35">
      <c r="W808" t="str">
        <f t="shared" si="12"/>
        <v/>
      </c>
    </row>
    <row r="809" spans="23:23" x14ac:dyDescent="0.35">
      <c r="W809" t="str">
        <f t="shared" si="12"/>
        <v/>
      </c>
    </row>
    <row r="810" spans="23:23" x14ac:dyDescent="0.35">
      <c r="W810" t="str">
        <f t="shared" si="12"/>
        <v/>
      </c>
    </row>
    <row r="811" spans="23:23" x14ac:dyDescent="0.35">
      <c r="W811" t="str">
        <f t="shared" si="12"/>
        <v/>
      </c>
    </row>
    <row r="812" spans="23:23" x14ac:dyDescent="0.35">
      <c r="W812" t="str">
        <f t="shared" si="12"/>
        <v/>
      </c>
    </row>
    <row r="813" spans="23:23" x14ac:dyDescent="0.35">
      <c r="W813" t="str">
        <f t="shared" si="12"/>
        <v/>
      </c>
    </row>
    <row r="814" spans="23:23" x14ac:dyDescent="0.35">
      <c r="W814" t="str">
        <f t="shared" si="12"/>
        <v/>
      </c>
    </row>
    <row r="815" spans="23:23" x14ac:dyDescent="0.35">
      <c r="W815" t="str">
        <f t="shared" si="12"/>
        <v/>
      </c>
    </row>
    <row r="816" spans="23:23" x14ac:dyDescent="0.35">
      <c r="W816" t="str">
        <f t="shared" si="12"/>
        <v/>
      </c>
    </row>
    <row r="817" spans="23:23" x14ac:dyDescent="0.35">
      <c r="W817" t="str">
        <f t="shared" si="12"/>
        <v/>
      </c>
    </row>
    <row r="818" spans="23:23" x14ac:dyDescent="0.35">
      <c r="W818" t="str">
        <f t="shared" si="12"/>
        <v/>
      </c>
    </row>
    <row r="819" spans="23:23" x14ac:dyDescent="0.35">
      <c r="W819" t="str">
        <f t="shared" si="12"/>
        <v/>
      </c>
    </row>
    <row r="820" spans="23:23" x14ac:dyDescent="0.35">
      <c r="W820" t="str">
        <f t="shared" si="12"/>
        <v/>
      </c>
    </row>
    <row r="821" spans="23:23" x14ac:dyDescent="0.35">
      <c r="W821" t="str">
        <f t="shared" si="12"/>
        <v/>
      </c>
    </row>
    <row r="822" spans="23:23" x14ac:dyDescent="0.35">
      <c r="W822" t="str">
        <f t="shared" si="12"/>
        <v/>
      </c>
    </row>
    <row r="823" spans="23:23" x14ac:dyDescent="0.35">
      <c r="W823" t="str">
        <f t="shared" si="12"/>
        <v/>
      </c>
    </row>
    <row r="824" spans="23:23" x14ac:dyDescent="0.35">
      <c r="W824" t="str">
        <f t="shared" si="12"/>
        <v/>
      </c>
    </row>
    <row r="825" spans="23:23" x14ac:dyDescent="0.35">
      <c r="W825" t="str">
        <f t="shared" si="12"/>
        <v/>
      </c>
    </row>
    <row r="826" spans="23:23" x14ac:dyDescent="0.35">
      <c r="W826" t="str">
        <f t="shared" si="12"/>
        <v/>
      </c>
    </row>
    <row r="827" spans="23:23" x14ac:dyDescent="0.35">
      <c r="W827" t="str">
        <f t="shared" si="12"/>
        <v/>
      </c>
    </row>
    <row r="828" spans="23:23" x14ac:dyDescent="0.35">
      <c r="W828" t="str">
        <f t="shared" si="12"/>
        <v/>
      </c>
    </row>
    <row r="829" spans="23:23" x14ac:dyDescent="0.35">
      <c r="W829" t="str">
        <f t="shared" si="12"/>
        <v/>
      </c>
    </row>
    <row r="830" spans="23:23" x14ac:dyDescent="0.35">
      <c r="W830" t="str">
        <f t="shared" si="12"/>
        <v/>
      </c>
    </row>
    <row r="831" spans="23:23" x14ac:dyDescent="0.35">
      <c r="W831" t="str">
        <f t="shared" si="12"/>
        <v/>
      </c>
    </row>
    <row r="832" spans="23:23" x14ac:dyDescent="0.35">
      <c r="W832" t="str">
        <f t="shared" si="12"/>
        <v/>
      </c>
    </row>
    <row r="833" spans="23:23" x14ac:dyDescent="0.35">
      <c r="W833" t="str">
        <f t="shared" si="12"/>
        <v/>
      </c>
    </row>
    <row r="834" spans="23:23" x14ac:dyDescent="0.35">
      <c r="W834" t="str">
        <f t="shared" ref="W834:W897" si="13">IF(P834="","",YEAR(P834))</f>
        <v/>
      </c>
    </row>
    <row r="835" spans="23:23" x14ac:dyDescent="0.35">
      <c r="W835" t="str">
        <f t="shared" si="13"/>
        <v/>
      </c>
    </row>
    <row r="836" spans="23:23" x14ac:dyDescent="0.35">
      <c r="W836" t="str">
        <f t="shared" si="13"/>
        <v/>
      </c>
    </row>
    <row r="837" spans="23:23" x14ac:dyDescent="0.35">
      <c r="W837" t="str">
        <f t="shared" si="13"/>
        <v/>
      </c>
    </row>
    <row r="838" spans="23:23" x14ac:dyDescent="0.35">
      <c r="W838" t="str">
        <f t="shared" si="13"/>
        <v/>
      </c>
    </row>
    <row r="839" spans="23:23" x14ac:dyDescent="0.35">
      <c r="W839" t="str">
        <f t="shared" si="13"/>
        <v/>
      </c>
    </row>
    <row r="840" spans="23:23" x14ac:dyDescent="0.35">
      <c r="W840" t="str">
        <f t="shared" si="13"/>
        <v/>
      </c>
    </row>
    <row r="841" spans="23:23" x14ac:dyDescent="0.35">
      <c r="W841" t="str">
        <f t="shared" si="13"/>
        <v/>
      </c>
    </row>
    <row r="842" spans="23:23" x14ac:dyDescent="0.35">
      <c r="W842" t="str">
        <f t="shared" si="13"/>
        <v/>
      </c>
    </row>
    <row r="843" spans="23:23" x14ac:dyDescent="0.35">
      <c r="W843" t="str">
        <f t="shared" si="13"/>
        <v/>
      </c>
    </row>
    <row r="844" spans="23:23" x14ac:dyDescent="0.35">
      <c r="W844" t="str">
        <f t="shared" si="13"/>
        <v/>
      </c>
    </row>
    <row r="845" spans="23:23" x14ac:dyDescent="0.35">
      <c r="W845" t="str">
        <f t="shared" si="13"/>
        <v/>
      </c>
    </row>
    <row r="846" spans="23:23" x14ac:dyDescent="0.35">
      <c r="W846" t="str">
        <f t="shared" si="13"/>
        <v/>
      </c>
    </row>
    <row r="847" spans="23:23" x14ac:dyDescent="0.35">
      <c r="W847" t="str">
        <f t="shared" si="13"/>
        <v/>
      </c>
    </row>
    <row r="848" spans="23:23" x14ac:dyDescent="0.35">
      <c r="W848" t="str">
        <f t="shared" si="13"/>
        <v/>
      </c>
    </row>
    <row r="849" spans="23:23" x14ac:dyDescent="0.35">
      <c r="W849" t="str">
        <f t="shared" si="13"/>
        <v/>
      </c>
    </row>
    <row r="850" spans="23:23" x14ac:dyDescent="0.35">
      <c r="W850" t="str">
        <f t="shared" si="13"/>
        <v/>
      </c>
    </row>
    <row r="851" spans="23:23" x14ac:dyDescent="0.35">
      <c r="W851" t="str">
        <f t="shared" si="13"/>
        <v/>
      </c>
    </row>
    <row r="852" spans="23:23" x14ac:dyDescent="0.35">
      <c r="W852" t="str">
        <f t="shared" si="13"/>
        <v/>
      </c>
    </row>
    <row r="853" spans="23:23" x14ac:dyDescent="0.35">
      <c r="W853" t="str">
        <f t="shared" si="13"/>
        <v/>
      </c>
    </row>
    <row r="854" spans="23:23" x14ac:dyDescent="0.35">
      <c r="W854" t="str">
        <f t="shared" si="13"/>
        <v/>
      </c>
    </row>
    <row r="855" spans="23:23" x14ac:dyDescent="0.35">
      <c r="W855" t="str">
        <f t="shared" si="13"/>
        <v/>
      </c>
    </row>
    <row r="856" spans="23:23" x14ac:dyDescent="0.35">
      <c r="W856" t="str">
        <f t="shared" si="13"/>
        <v/>
      </c>
    </row>
    <row r="857" spans="23:23" x14ac:dyDescent="0.35">
      <c r="W857" t="str">
        <f t="shared" si="13"/>
        <v/>
      </c>
    </row>
    <row r="858" spans="23:23" x14ac:dyDescent="0.35">
      <c r="W858" t="str">
        <f t="shared" si="13"/>
        <v/>
      </c>
    </row>
    <row r="859" spans="23:23" x14ac:dyDescent="0.35">
      <c r="W859" t="str">
        <f t="shared" si="13"/>
        <v/>
      </c>
    </row>
    <row r="860" spans="23:23" x14ac:dyDescent="0.35">
      <c r="W860" t="str">
        <f t="shared" si="13"/>
        <v/>
      </c>
    </row>
    <row r="861" spans="23:23" x14ac:dyDescent="0.35">
      <c r="W861" t="str">
        <f t="shared" si="13"/>
        <v/>
      </c>
    </row>
    <row r="862" spans="23:23" x14ac:dyDescent="0.35">
      <c r="W862" t="str">
        <f t="shared" si="13"/>
        <v/>
      </c>
    </row>
    <row r="863" spans="23:23" x14ac:dyDescent="0.35">
      <c r="W863" t="str">
        <f t="shared" si="13"/>
        <v/>
      </c>
    </row>
    <row r="864" spans="23:23" x14ac:dyDescent="0.35">
      <c r="W864" t="str">
        <f t="shared" si="13"/>
        <v/>
      </c>
    </row>
    <row r="865" spans="23:23" x14ac:dyDescent="0.35">
      <c r="W865" t="str">
        <f t="shared" si="13"/>
        <v/>
      </c>
    </row>
    <row r="866" spans="23:23" x14ac:dyDescent="0.35">
      <c r="W866" t="str">
        <f t="shared" si="13"/>
        <v/>
      </c>
    </row>
    <row r="867" spans="23:23" x14ac:dyDescent="0.35">
      <c r="W867" t="str">
        <f t="shared" si="13"/>
        <v/>
      </c>
    </row>
    <row r="868" spans="23:23" x14ac:dyDescent="0.35">
      <c r="W868" t="str">
        <f t="shared" si="13"/>
        <v/>
      </c>
    </row>
    <row r="869" spans="23:23" x14ac:dyDescent="0.35">
      <c r="W869" t="str">
        <f t="shared" si="13"/>
        <v/>
      </c>
    </row>
    <row r="870" spans="23:23" x14ac:dyDescent="0.35">
      <c r="W870" t="str">
        <f t="shared" si="13"/>
        <v/>
      </c>
    </row>
    <row r="871" spans="23:23" x14ac:dyDescent="0.35">
      <c r="W871" t="str">
        <f t="shared" si="13"/>
        <v/>
      </c>
    </row>
    <row r="872" spans="23:23" x14ac:dyDescent="0.35">
      <c r="W872" t="str">
        <f t="shared" si="13"/>
        <v/>
      </c>
    </row>
    <row r="873" spans="23:23" x14ac:dyDescent="0.35">
      <c r="W873" t="str">
        <f t="shared" si="13"/>
        <v/>
      </c>
    </row>
    <row r="874" spans="23:23" x14ac:dyDescent="0.35">
      <c r="W874" t="str">
        <f t="shared" si="13"/>
        <v/>
      </c>
    </row>
    <row r="875" spans="23:23" x14ac:dyDescent="0.35">
      <c r="W875" t="str">
        <f t="shared" si="13"/>
        <v/>
      </c>
    </row>
    <row r="876" spans="23:23" x14ac:dyDescent="0.35">
      <c r="W876" t="str">
        <f t="shared" si="13"/>
        <v/>
      </c>
    </row>
    <row r="877" spans="23:23" x14ac:dyDescent="0.35">
      <c r="W877" t="str">
        <f t="shared" si="13"/>
        <v/>
      </c>
    </row>
    <row r="878" spans="23:23" x14ac:dyDescent="0.35">
      <c r="W878" t="str">
        <f t="shared" si="13"/>
        <v/>
      </c>
    </row>
    <row r="879" spans="23:23" x14ac:dyDescent="0.35">
      <c r="W879" t="str">
        <f t="shared" si="13"/>
        <v/>
      </c>
    </row>
    <row r="880" spans="23:23" x14ac:dyDescent="0.35">
      <c r="W880" t="str">
        <f t="shared" si="13"/>
        <v/>
      </c>
    </row>
    <row r="881" spans="23:23" x14ac:dyDescent="0.35">
      <c r="W881" t="str">
        <f t="shared" si="13"/>
        <v/>
      </c>
    </row>
    <row r="882" spans="23:23" x14ac:dyDescent="0.35">
      <c r="W882" t="str">
        <f t="shared" si="13"/>
        <v/>
      </c>
    </row>
    <row r="883" spans="23:23" x14ac:dyDescent="0.35">
      <c r="W883" t="str">
        <f t="shared" si="13"/>
        <v/>
      </c>
    </row>
    <row r="884" spans="23:23" x14ac:dyDescent="0.35">
      <c r="W884" t="str">
        <f t="shared" si="13"/>
        <v/>
      </c>
    </row>
    <row r="885" spans="23:23" x14ac:dyDescent="0.35">
      <c r="W885" t="str">
        <f t="shared" si="13"/>
        <v/>
      </c>
    </row>
    <row r="886" spans="23:23" x14ac:dyDescent="0.35">
      <c r="W886" t="str">
        <f t="shared" si="13"/>
        <v/>
      </c>
    </row>
    <row r="887" spans="23:23" x14ac:dyDescent="0.35">
      <c r="W887" t="str">
        <f t="shared" si="13"/>
        <v/>
      </c>
    </row>
    <row r="888" spans="23:23" x14ac:dyDescent="0.35">
      <c r="W888" t="str">
        <f t="shared" si="13"/>
        <v/>
      </c>
    </row>
    <row r="889" spans="23:23" x14ac:dyDescent="0.35">
      <c r="W889" t="str">
        <f t="shared" si="13"/>
        <v/>
      </c>
    </row>
    <row r="890" spans="23:23" x14ac:dyDescent="0.35">
      <c r="W890" t="str">
        <f t="shared" si="13"/>
        <v/>
      </c>
    </row>
    <row r="891" spans="23:23" x14ac:dyDescent="0.35">
      <c r="W891" t="str">
        <f t="shared" si="13"/>
        <v/>
      </c>
    </row>
    <row r="892" spans="23:23" x14ac:dyDescent="0.35">
      <c r="W892" t="str">
        <f t="shared" si="13"/>
        <v/>
      </c>
    </row>
    <row r="893" spans="23:23" x14ac:dyDescent="0.35">
      <c r="W893" t="str">
        <f t="shared" si="13"/>
        <v/>
      </c>
    </row>
    <row r="894" spans="23:23" x14ac:dyDescent="0.35">
      <c r="W894" t="str">
        <f t="shared" si="13"/>
        <v/>
      </c>
    </row>
    <row r="895" spans="23:23" x14ac:dyDescent="0.35">
      <c r="W895" t="str">
        <f t="shared" si="13"/>
        <v/>
      </c>
    </row>
    <row r="896" spans="23:23" x14ac:dyDescent="0.35">
      <c r="W896" t="str">
        <f t="shared" si="13"/>
        <v/>
      </c>
    </row>
    <row r="897" spans="23:23" x14ac:dyDescent="0.35">
      <c r="W897" t="str">
        <f t="shared" si="13"/>
        <v/>
      </c>
    </row>
    <row r="898" spans="23:23" x14ac:dyDescent="0.35">
      <c r="W898" t="str">
        <f t="shared" ref="W898:W961" si="14">IF(P898="","",YEAR(P898))</f>
        <v/>
      </c>
    </row>
    <row r="899" spans="23:23" x14ac:dyDescent="0.35">
      <c r="W899" t="str">
        <f t="shared" si="14"/>
        <v/>
      </c>
    </row>
    <row r="900" spans="23:23" x14ac:dyDescent="0.35">
      <c r="W900" t="str">
        <f t="shared" si="14"/>
        <v/>
      </c>
    </row>
    <row r="901" spans="23:23" x14ac:dyDescent="0.35">
      <c r="W901" t="str">
        <f t="shared" si="14"/>
        <v/>
      </c>
    </row>
    <row r="902" spans="23:23" x14ac:dyDescent="0.35">
      <c r="W902" t="str">
        <f t="shared" si="14"/>
        <v/>
      </c>
    </row>
    <row r="903" spans="23:23" x14ac:dyDescent="0.35">
      <c r="W903" t="str">
        <f t="shared" si="14"/>
        <v/>
      </c>
    </row>
    <row r="904" spans="23:23" x14ac:dyDescent="0.35">
      <c r="W904" t="str">
        <f t="shared" si="14"/>
        <v/>
      </c>
    </row>
    <row r="905" spans="23:23" x14ac:dyDescent="0.35">
      <c r="W905" t="str">
        <f t="shared" si="14"/>
        <v/>
      </c>
    </row>
    <row r="906" spans="23:23" x14ac:dyDescent="0.35">
      <c r="W906" t="str">
        <f t="shared" si="14"/>
        <v/>
      </c>
    </row>
    <row r="907" spans="23:23" x14ac:dyDescent="0.35">
      <c r="W907" t="str">
        <f t="shared" si="14"/>
        <v/>
      </c>
    </row>
    <row r="908" spans="23:23" x14ac:dyDescent="0.35">
      <c r="W908" t="str">
        <f t="shared" si="14"/>
        <v/>
      </c>
    </row>
    <row r="909" spans="23:23" x14ac:dyDescent="0.35">
      <c r="W909" t="str">
        <f t="shared" si="14"/>
        <v/>
      </c>
    </row>
    <row r="910" spans="23:23" x14ac:dyDescent="0.35">
      <c r="W910" t="str">
        <f t="shared" si="14"/>
        <v/>
      </c>
    </row>
    <row r="911" spans="23:23" x14ac:dyDescent="0.35">
      <c r="W911" t="str">
        <f t="shared" si="14"/>
        <v/>
      </c>
    </row>
    <row r="912" spans="23:23" x14ac:dyDescent="0.35">
      <c r="W912" t="str">
        <f t="shared" si="14"/>
        <v/>
      </c>
    </row>
    <row r="913" spans="23:23" x14ac:dyDescent="0.35">
      <c r="W913" t="str">
        <f t="shared" si="14"/>
        <v/>
      </c>
    </row>
    <row r="914" spans="23:23" x14ac:dyDescent="0.35">
      <c r="W914" t="str">
        <f t="shared" si="14"/>
        <v/>
      </c>
    </row>
    <row r="915" spans="23:23" x14ac:dyDescent="0.35">
      <c r="W915" t="str">
        <f t="shared" si="14"/>
        <v/>
      </c>
    </row>
    <row r="916" spans="23:23" x14ac:dyDescent="0.35">
      <c r="W916" t="str">
        <f t="shared" si="14"/>
        <v/>
      </c>
    </row>
    <row r="917" spans="23:23" x14ac:dyDescent="0.35">
      <c r="W917" t="str">
        <f t="shared" si="14"/>
        <v/>
      </c>
    </row>
    <row r="918" spans="23:23" x14ac:dyDescent="0.35">
      <c r="W918" t="str">
        <f t="shared" si="14"/>
        <v/>
      </c>
    </row>
    <row r="919" spans="23:23" x14ac:dyDescent="0.35">
      <c r="W919" t="str">
        <f t="shared" si="14"/>
        <v/>
      </c>
    </row>
    <row r="920" spans="23:23" x14ac:dyDescent="0.35">
      <c r="W920" t="str">
        <f t="shared" si="14"/>
        <v/>
      </c>
    </row>
    <row r="921" spans="23:23" x14ac:dyDescent="0.35">
      <c r="W921" t="str">
        <f t="shared" si="14"/>
        <v/>
      </c>
    </row>
    <row r="922" spans="23:23" x14ac:dyDescent="0.35">
      <c r="W922" t="str">
        <f t="shared" si="14"/>
        <v/>
      </c>
    </row>
    <row r="923" spans="23:23" x14ac:dyDescent="0.35">
      <c r="W923" t="str">
        <f t="shared" si="14"/>
        <v/>
      </c>
    </row>
    <row r="924" spans="23:23" x14ac:dyDescent="0.35">
      <c r="W924" t="str">
        <f t="shared" si="14"/>
        <v/>
      </c>
    </row>
    <row r="925" spans="23:23" x14ac:dyDescent="0.35">
      <c r="W925" t="str">
        <f t="shared" si="14"/>
        <v/>
      </c>
    </row>
    <row r="926" spans="23:23" x14ac:dyDescent="0.35">
      <c r="W926" t="str">
        <f t="shared" si="14"/>
        <v/>
      </c>
    </row>
    <row r="927" spans="23:23" x14ac:dyDescent="0.35">
      <c r="W927" t="str">
        <f t="shared" si="14"/>
        <v/>
      </c>
    </row>
    <row r="928" spans="23:23" x14ac:dyDescent="0.35">
      <c r="W928" t="str">
        <f t="shared" si="14"/>
        <v/>
      </c>
    </row>
    <row r="929" spans="23:23" x14ac:dyDescent="0.35">
      <c r="W929" t="str">
        <f t="shared" si="14"/>
        <v/>
      </c>
    </row>
    <row r="930" spans="23:23" x14ac:dyDescent="0.35">
      <c r="W930" t="str">
        <f t="shared" si="14"/>
        <v/>
      </c>
    </row>
    <row r="931" spans="23:23" x14ac:dyDescent="0.35">
      <c r="W931" t="str">
        <f t="shared" si="14"/>
        <v/>
      </c>
    </row>
    <row r="932" spans="23:23" x14ac:dyDescent="0.35">
      <c r="W932" t="str">
        <f t="shared" si="14"/>
        <v/>
      </c>
    </row>
    <row r="933" spans="23:23" x14ac:dyDescent="0.35">
      <c r="W933" t="str">
        <f t="shared" si="14"/>
        <v/>
      </c>
    </row>
    <row r="934" spans="23:23" x14ac:dyDescent="0.35">
      <c r="W934" t="str">
        <f t="shared" si="14"/>
        <v/>
      </c>
    </row>
    <row r="935" spans="23:23" x14ac:dyDescent="0.35">
      <c r="W935" t="str">
        <f t="shared" si="14"/>
        <v/>
      </c>
    </row>
    <row r="936" spans="23:23" x14ac:dyDescent="0.35">
      <c r="W936" t="str">
        <f t="shared" si="14"/>
        <v/>
      </c>
    </row>
    <row r="937" spans="23:23" x14ac:dyDescent="0.35">
      <c r="W937" t="str">
        <f t="shared" si="14"/>
        <v/>
      </c>
    </row>
    <row r="938" spans="23:23" x14ac:dyDescent="0.35">
      <c r="W938" t="str">
        <f t="shared" si="14"/>
        <v/>
      </c>
    </row>
    <row r="939" spans="23:23" x14ac:dyDescent="0.35">
      <c r="W939" t="str">
        <f t="shared" si="14"/>
        <v/>
      </c>
    </row>
    <row r="940" spans="23:23" x14ac:dyDescent="0.35">
      <c r="W940" t="str">
        <f t="shared" si="14"/>
        <v/>
      </c>
    </row>
    <row r="941" spans="23:23" x14ac:dyDescent="0.35">
      <c r="W941" t="str">
        <f t="shared" si="14"/>
        <v/>
      </c>
    </row>
    <row r="942" spans="23:23" x14ac:dyDescent="0.35">
      <c r="W942" t="str">
        <f t="shared" si="14"/>
        <v/>
      </c>
    </row>
    <row r="943" spans="23:23" x14ac:dyDescent="0.35">
      <c r="W943" t="str">
        <f t="shared" si="14"/>
        <v/>
      </c>
    </row>
    <row r="944" spans="23:23" x14ac:dyDescent="0.35">
      <c r="W944" t="str">
        <f t="shared" si="14"/>
        <v/>
      </c>
    </row>
    <row r="945" spans="23:23" x14ac:dyDescent="0.35">
      <c r="W945" t="str">
        <f t="shared" si="14"/>
        <v/>
      </c>
    </row>
    <row r="946" spans="23:23" x14ac:dyDescent="0.35">
      <c r="W946" t="str">
        <f t="shared" si="14"/>
        <v/>
      </c>
    </row>
    <row r="947" spans="23:23" x14ac:dyDescent="0.35">
      <c r="W947" t="str">
        <f t="shared" si="14"/>
        <v/>
      </c>
    </row>
    <row r="948" spans="23:23" x14ac:dyDescent="0.35">
      <c r="W948" t="str">
        <f t="shared" si="14"/>
        <v/>
      </c>
    </row>
    <row r="949" spans="23:23" x14ac:dyDescent="0.35">
      <c r="W949" t="str">
        <f t="shared" si="14"/>
        <v/>
      </c>
    </row>
    <row r="950" spans="23:23" x14ac:dyDescent="0.35">
      <c r="W950" t="str">
        <f t="shared" si="14"/>
        <v/>
      </c>
    </row>
    <row r="951" spans="23:23" x14ac:dyDescent="0.35">
      <c r="W951" t="str">
        <f t="shared" si="14"/>
        <v/>
      </c>
    </row>
    <row r="952" spans="23:23" x14ac:dyDescent="0.35">
      <c r="W952" t="str">
        <f t="shared" si="14"/>
        <v/>
      </c>
    </row>
    <row r="953" spans="23:23" x14ac:dyDescent="0.35">
      <c r="W953" t="str">
        <f t="shared" si="14"/>
        <v/>
      </c>
    </row>
    <row r="954" spans="23:23" x14ac:dyDescent="0.35">
      <c r="W954" t="str">
        <f t="shared" si="14"/>
        <v/>
      </c>
    </row>
    <row r="955" spans="23:23" x14ac:dyDescent="0.35">
      <c r="W955" t="str">
        <f t="shared" si="14"/>
        <v/>
      </c>
    </row>
    <row r="956" spans="23:23" x14ac:dyDescent="0.35">
      <c r="W956" t="str">
        <f t="shared" si="14"/>
        <v/>
      </c>
    </row>
    <row r="957" spans="23:23" x14ac:dyDescent="0.35">
      <c r="W957" t="str">
        <f t="shared" si="14"/>
        <v/>
      </c>
    </row>
    <row r="958" spans="23:23" x14ac:dyDescent="0.35">
      <c r="W958" t="str">
        <f t="shared" si="14"/>
        <v/>
      </c>
    </row>
    <row r="959" spans="23:23" x14ac:dyDescent="0.35">
      <c r="W959" t="str">
        <f t="shared" si="14"/>
        <v/>
      </c>
    </row>
    <row r="960" spans="23:23" x14ac:dyDescent="0.35">
      <c r="W960" t="str">
        <f t="shared" si="14"/>
        <v/>
      </c>
    </row>
    <row r="961" spans="23:23" x14ac:dyDescent="0.35">
      <c r="W961" t="str">
        <f t="shared" si="14"/>
        <v/>
      </c>
    </row>
    <row r="962" spans="23:23" x14ac:dyDescent="0.35">
      <c r="W962" t="str">
        <f t="shared" ref="W962:W1000" si="15">IF(P962="","",YEAR(P962))</f>
        <v/>
      </c>
    </row>
    <row r="963" spans="23:23" x14ac:dyDescent="0.35">
      <c r="W963" t="str">
        <f t="shared" si="15"/>
        <v/>
      </c>
    </row>
    <row r="964" spans="23:23" x14ac:dyDescent="0.35">
      <c r="W964" t="str">
        <f t="shared" si="15"/>
        <v/>
      </c>
    </row>
    <row r="965" spans="23:23" x14ac:dyDescent="0.35">
      <c r="W965" t="str">
        <f t="shared" si="15"/>
        <v/>
      </c>
    </row>
    <row r="966" spans="23:23" x14ac:dyDescent="0.35">
      <c r="W966" t="str">
        <f t="shared" si="15"/>
        <v/>
      </c>
    </row>
    <row r="967" spans="23:23" x14ac:dyDescent="0.35">
      <c r="W967" t="str">
        <f t="shared" si="15"/>
        <v/>
      </c>
    </row>
    <row r="968" spans="23:23" x14ac:dyDescent="0.35">
      <c r="W968" t="str">
        <f t="shared" si="15"/>
        <v/>
      </c>
    </row>
    <row r="969" spans="23:23" x14ac:dyDescent="0.35">
      <c r="W969" t="str">
        <f t="shared" si="15"/>
        <v/>
      </c>
    </row>
    <row r="970" spans="23:23" x14ac:dyDescent="0.35">
      <c r="W970" t="str">
        <f t="shared" si="15"/>
        <v/>
      </c>
    </row>
    <row r="971" spans="23:23" x14ac:dyDescent="0.35">
      <c r="W971" t="str">
        <f t="shared" si="15"/>
        <v/>
      </c>
    </row>
    <row r="972" spans="23:23" x14ac:dyDescent="0.35">
      <c r="W972" t="str">
        <f t="shared" si="15"/>
        <v/>
      </c>
    </row>
    <row r="973" spans="23:23" x14ac:dyDescent="0.35">
      <c r="W973" t="str">
        <f t="shared" si="15"/>
        <v/>
      </c>
    </row>
    <row r="974" spans="23:23" x14ac:dyDescent="0.35">
      <c r="W974" t="str">
        <f t="shared" si="15"/>
        <v/>
      </c>
    </row>
    <row r="975" spans="23:23" x14ac:dyDescent="0.35">
      <c r="W975" t="str">
        <f t="shared" si="15"/>
        <v/>
      </c>
    </row>
    <row r="976" spans="23:23" x14ac:dyDescent="0.35">
      <c r="W976" t="str">
        <f t="shared" si="15"/>
        <v/>
      </c>
    </row>
    <row r="977" spans="23:23" x14ac:dyDescent="0.35">
      <c r="W977" t="str">
        <f t="shared" si="15"/>
        <v/>
      </c>
    </row>
    <row r="978" spans="23:23" x14ac:dyDescent="0.35">
      <c r="W978" t="str">
        <f t="shared" si="15"/>
        <v/>
      </c>
    </row>
    <row r="979" spans="23:23" x14ac:dyDescent="0.35">
      <c r="W979" t="str">
        <f t="shared" si="15"/>
        <v/>
      </c>
    </row>
    <row r="980" spans="23:23" x14ac:dyDescent="0.35">
      <c r="W980" t="str">
        <f t="shared" si="15"/>
        <v/>
      </c>
    </row>
    <row r="981" spans="23:23" x14ac:dyDescent="0.35">
      <c r="W981" t="str">
        <f t="shared" si="15"/>
        <v/>
      </c>
    </row>
    <row r="982" spans="23:23" x14ac:dyDescent="0.35">
      <c r="W982" t="str">
        <f t="shared" si="15"/>
        <v/>
      </c>
    </row>
    <row r="983" spans="23:23" x14ac:dyDescent="0.35">
      <c r="W983" t="str">
        <f t="shared" si="15"/>
        <v/>
      </c>
    </row>
    <row r="984" spans="23:23" x14ac:dyDescent="0.35">
      <c r="W984" t="str">
        <f t="shared" si="15"/>
        <v/>
      </c>
    </row>
    <row r="985" spans="23:23" x14ac:dyDescent="0.35">
      <c r="W985" t="str">
        <f t="shared" si="15"/>
        <v/>
      </c>
    </row>
    <row r="986" spans="23:23" x14ac:dyDescent="0.35">
      <c r="W986" t="str">
        <f t="shared" si="15"/>
        <v/>
      </c>
    </row>
    <row r="987" spans="23:23" x14ac:dyDescent="0.35">
      <c r="W987" t="str">
        <f t="shared" si="15"/>
        <v/>
      </c>
    </row>
    <row r="988" spans="23:23" x14ac:dyDescent="0.35">
      <c r="W988" t="str">
        <f t="shared" si="15"/>
        <v/>
      </c>
    </row>
    <row r="989" spans="23:23" x14ac:dyDescent="0.35">
      <c r="W989" t="str">
        <f t="shared" si="15"/>
        <v/>
      </c>
    </row>
    <row r="990" spans="23:23" x14ac:dyDescent="0.35">
      <c r="W990" t="str">
        <f t="shared" si="15"/>
        <v/>
      </c>
    </row>
    <row r="991" spans="23:23" x14ac:dyDescent="0.35">
      <c r="W991" t="str">
        <f t="shared" si="15"/>
        <v/>
      </c>
    </row>
    <row r="992" spans="23:23" x14ac:dyDescent="0.35">
      <c r="W992" t="str">
        <f t="shared" si="15"/>
        <v/>
      </c>
    </row>
    <row r="993" spans="23:23" x14ac:dyDescent="0.35">
      <c r="W993" t="str">
        <f t="shared" si="15"/>
        <v/>
      </c>
    </row>
    <row r="994" spans="23:23" x14ac:dyDescent="0.35">
      <c r="W994" t="str">
        <f t="shared" si="15"/>
        <v/>
      </c>
    </row>
    <row r="995" spans="23:23" x14ac:dyDescent="0.35">
      <c r="W995" t="str">
        <f t="shared" si="15"/>
        <v/>
      </c>
    </row>
    <row r="996" spans="23:23" x14ac:dyDescent="0.35">
      <c r="W996" t="str">
        <f t="shared" si="15"/>
        <v/>
      </c>
    </row>
    <row r="997" spans="23:23" x14ac:dyDescent="0.35">
      <c r="W997" t="str">
        <f t="shared" si="15"/>
        <v/>
      </c>
    </row>
    <row r="998" spans="23:23" x14ac:dyDescent="0.35">
      <c r="W998" t="str">
        <f t="shared" si="15"/>
        <v/>
      </c>
    </row>
    <row r="999" spans="23:23" x14ac:dyDescent="0.35">
      <c r="W999" t="str">
        <f t="shared" si="15"/>
        <v/>
      </c>
    </row>
    <row r="1000" spans="23:23" x14ac:dyDescent="0.35">
      <c r="W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700-000000000000}">
          <x14:formula1>
            <xm:f>DB_Lookups!$A$2:$A$20</xm:f>
          </x14:formula1>
          <xm:sqref>M2:M1000</xm:sqref>
        </x14:dataValidation>
        <x14:dataValidation type="list" allowBlank="1" xr:uid="{00000000-0002-0000-0700-000001000000}">
          <x14:formula1>
            <xm:f>DB_Lookups!$D$2:$D$10</xm:f>
          </x14:formula1>
          <xm:sqref>W2:W1000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Y1000"/>
  <sheetViews>
    <sheetView rightToLeft="1" workbookViewId="0">
      <selection activeCell="M1" sqref="M1:M1048576"/>
    </sheetView>
  </sheetViews>
  <sheetFormatPr defaultRowHeight="16.8" x14ac:dyDescent="0.35"/>
  <cols>
    <col min="1" max="1" width="6.88671875" style="12" bestFit="1" customWidth="1"/>
    <col min="2" max="2" width="13.33203125" style="12" bestFit="1" customWidth="1"/>
    <col min="3" max="3" width="12" style="12" bestFit="1" customWidth="1"/>
    <col min="4" max="4" width="20.21875" style="12" bestFit="1" customWidth="1"/>
    <col min="5" max="6" width="14.6640625" style="12" bestFit="1" customWidth="1"/>
    <col min="7" max="7" width="11.33203125" style="12" bestFit="1" customWidth="1"/>
    <col min="8" max="8" width="30.77734375" style="12" bestFit="1" customWidth="1"/>
    <col min="9" max="9" width="9.5546875" style="12" bestFit="1" customWidth="1"/>
    <col min="10" max="10" width="7.6640625" style="12" bestFit="1" customWidth="1"/>
    <col min="11" max="11" width="16.6640625" style="12" bestFit="1" customWidth="1"/>
    <col min="12" max="12" width="9.88671875" style="12" bestFit="1" customWidth="1"/>
    <col min="13" max="13" width="20.33203125" style="12" bestFit="1" customWidth="1"/>
    <col min="14" max="14" width="15.6640625" style="12" bestFit="1" customWidth="1"/>
    <col min="15" max="15" width="8.21875" style="12" bestFit="1" customWidth="1"/>
    <col min="16" max="16" width="12.88671875" style="12" bestFit="1" customWidth="1"/>
    <col min="17" max="17" width="8.21875" style="12" bestFit="1" customWidth="1"/>
    <col min="18" max="18" width="13.109375" style="12" customWidth="1"/>
    <col min="19" max="19" width="8" style="12" customWidth="1"/>
    <col min="20" max="20" width="8.88671875" style="12" customWidth="1"/>
    <col min="21" max="22" width="8.88671875" style="3" customWidth="1"/>
    <col min="23" max="23" width="8.88671875" style="12" customWidth="1"/>
    <col min="24" max="24" width="18" customWidth="1"/>
    <col min="25" max="25" width="22" customWidth="1"/>
    <col min="26" max="16384" width="8.88671875" style="12"/>
  </cols>
  <sheetData>
    <row r="1" spans="1:25" s="15" customFormat="1" x14ac:dyDescent="0.35">
      <c r="A1" s="15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5" t="s">
        <v>38</v>
      </c>
      <c r="H1" s="15" t="s">
        <v>8</v>
      </c>
      <c r="I1" s="15" t="s">
        <v>70</v>
      </c>
      <c r="J1" s="16" t="s">
        <v>10</v>
      </c>
      <c r="K1" s="15" t="s">
        <v>71</v>
      </c>
      <c r="L1" s="15" t="s">
        <v>72</v>
      </c>
      <c r="M1" s="21" t="s">
        <v>11</v>
      </c>
      <c r="N1" s="16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W1" t="s">
        <v>18</v>
      </c>
      <c r="X1" t="s">
        <v>19</v>
      </c>
      <c r="Y1" t="s">
        <v>20</v>
      </c>
    </row>
    <row r="2" spans="1:25" x14ac:dyDescent="0.35">
      <c r="V2" s="12"/>
      <c r="W2" t="str">
        <f t="shared" ref="W2:W65" si="0">IF(P2="","",YEAR(P2))</f>
        <v/>
      </c>
    </row>
    <row r="3" spans="1:25" x14ac:dyDescent="0.35">
      <c r="A3" s="12">
        <v>4</v>
      </c>
      <c r="B3" s="12" t="s">
        <v>25</v>
      </c>
      <c r="C3" s="12" t="s">
        <v>26</v>
      </c>
      <c r="D3" s="12" t="s">
        <v>22</v>
      </c>
      <c r="E3" s="12">
        <v>332</v>
      </c>
      <c r="F3" s="12" t="s">
        <v>27</v>
      </c>
      <c r="G3" s="12" t="s">
        <v>29</v>
      </c>
      <c r="H3" s="12" t="s">
        <v>28</v>
      </c>
      <c r="I3" s="12">
        <v>3</v>
      </c>
      <c r="J3" s="14">
        <v>443</v>
      </c>
      <c r="K3" s="13">
        <v>45690</v>
      </c>
      <c r="L3" s="12">
        <v>5</v>
      </c>
      <c r="N3" s="14"/>
      <c r="T3" s="12">
        <v>3</v>
      </c>
      <c r="V3" s="12"/>
      <c r="W3" t="str">
        <f t="shared" si="0"/>
        <v/>
      </c>
    </row>
    <row r="4" spans="1:25" x14ac:dyDescent="0.35">
      <c r="V4" s="12"/>
      <c r="W4" t="str">
        <f t="shared" si="0"/>
        <v/>
      </c>
    </row>
    <row r="5" spans="1:25" x14ac:dyDescent="0.35">
      <c r="V5" s="12"/>
      <c r="W5" t="str">
        <f t="shared" si="0"/>
        <v/>
      </c>
    </row>
    <row r="6" spans="1:25" x14ac:dyDescent="0.35">
      <c r="J6" s="14"/>
      <c r="K6" s="13"/>
      <c r="N6" s="14"/>
      <c r="V6" s="12"/>
      <c r="W6" t="str">
        <f t="shared" si="0"/>
        <v/>
      </c>
    </row>
    <row r="7" spans="1:25" x14ac:dyDescent="0.35">
      <c r="E7" s="14"/>
      <c r="F7" s="14"/>
      <c r="G7" s="14"/>
      <c r="H7" s="14"/>
      <c r="I7" s="14"/>
      <c r="J7" s="14"/>
      <c r="K7" s="14"/>
      <c r="L7" s="14"/>
      <c r="N7" s="14"/>
      <c r="O7" s="14"/>
      <c r="V7" s="12"/>
      <c r="W7" t="str">
        <f t="shared" si="0"/>
        <v/>
      </c>
    </row>
    <row r="8" spans="1:25" x14ac:dyDescent="0.35">
      <c r="E8" s="14"/>
      <c r="F8" s="14"/>
      <c r="G8" s="14"/>
      <c r="H8" s="17"/>
      <c r="I8" s="14"/>
      <c r="J8" s="14"/>
      <c r="K8" s="14"/>
      <c r="L8" s="14"/>
      <c r="N8" s="14"/>
      <c r="O8" s="14"/>
      <c r="V8" s="12"/>
      <c r="W8" t="str">
        <f t="shared" si="0"/>
        <v/>
      </c>
    </row>
    <row r="9" spans="1:25" x14ac:dyDescent="0.35">
      <c r="G9" s="5"/>
      <c r="H9" s="5"/>
      <c r="V9" s="12"/>
      <c r="W9" t="str">
        <f t="shared" si="0"/>
        <v/>
      </c>
    </row>
    <row r="10" spans="1:25" x14ac:dyDescent="0.35">
      <c r="G10" s="5"/>
      <c r="H10" s="5"/>
      <c r="V10" s="12"/>
      <c r="W10" t="str">
        <f t="shared" si="0"/>
        <v/>
      </c>
    </row>
    <row r="11" spans="1:25" x14ac:dyDescent="0.35">
      <c r="G11" s="5"/>
      <c r="H11" s="5"/>
      <c r="V11" s="12"/>
      <c r="W11" t="str">
        <f t="shared" si="0"/>
        <v/>
      </c>
    </row>
    <row r="12" spans="1:25" x14ac:dyDescent="0.35">
      <c r="G12" s="5"/>
      <c r="H12" s="5"/>
      <c r="V12" s="12"/>
      <c r="W12" t="str">
        <f t="shared" si="0"/>
        <v/>
      </c>
    </row>
    <row r="13" spans="1:25" x14ac:dyDescent="0.35">
      <c r="G13" s="5"/>
      <c r="H13" s="5"/>
      <c r="V13" s="12"/>
      <c r="W13" t="str">
        <f t="shared" si="0"/>
        <v/>
      </c>
    </row>
    <row r="14" spans="1:25" x14ac:dyDescent="0.35">
      <c r="G14" s="5"/>
      <c r="H14" s="5"/>
      <c r="V14" s="12"/>
      <c r="W14" t="str">
        <f t="shared" si="0"/>
        <v/>
      </c>
    </row>
    <row r="15" spans="1:25" x14ac:dyDescent="0.35">
      <c r="G15" s="5"/>
      <c r="H15" s="5"/>
      <c r="V15" s="12"/>
      <c r="W15" t="str">
        <f t="shared" si="0"/>
        <v/>
      </c>
    </row>
    <row r="16" spans="1:25" x14ac:dyDescent="0.35">
      <c r="G16" s="5"/>
      <c r="H16" s="5"/>
      <c r="V16" s="12"/>
      <c r="W16" t="str">
        <f t="shared" si="0"/>
        <v/>
      </c>
    </row>
    <row r="17" spans="4:23" x14ac:dyDescent="0.35">
      <c r="G17" s="5"/>
      <c r="H17" s="5"/>
      <c r="V17" s="12"/>
      <c r="W17" t="str">
        <f t="shared" si="0"/>
        <v/>
      </c>
    </row>
    <row r="18" spans="4:23" x14ac:dyDescent="0.35">
      <c r="G18" s="5"/>
      <c r="H18" s="5"/>
      <c r="V18" s="12"/>
      <c r="W18" t="str">
        <f t="shared" si="0"/>
        <v/>
      </c>
    </row>
    <row r="19" spans="4:23" x14ac:dyDescent="0.35">
      <c r="G19" s="5"/>
      <c r="H19" s="5"/>
      <c r="J19" s="14"/>
      <c r="N19" s="14"/>
      <c r="V19" s="12"/>
      <c r="W19" t="str">
        <f t="shared" si="0"/>
        <v/>
      </c>
    </row>
    <row r="20" spans="4:23" x14ac:dyDescent="0.35">
      <c r="G20" s="5"/>
      <c r="H20" s="5"/>
      <c r="V20" s="12"/>
      <c r="W20" t="str">
        <f t="shared" si="0"/>
        <v/>
      </c>
    </row>
    <row r="21" spans="4:23" x14ac:dyDescent="0.35">
      <c r="G21" s="5"/>
      <c r="H21" s="5"/>
      <c r="V21" s="12"/>
      <c r="W21" t="str">
        <f t="shared" si="0"/>
        <v/>
      </c>
    </row>
    <row r="22" spans="4:23" x14ac:dyDescent="0.35">
      <c r="G22" s="5"/>
      <c r="H22" s="5"/>
      <c r="V22" s="12"/>
      <c r="W22" t="str">
        <f t="shared" si="0"/>
        <v/>
      </c>
    </row>
    <row r="23" spans="4:23" x14ac:dyDescent="0.35">
      <c r="V23" s="12"/>
      <c r="W23" t="str">
        <f t="shared" si="0"/>
        <v/>
      </c>
    </row>
    <row r="24" spans="4:23" x14ac:dyDescent="0.35">
      <c r="N24" s="14"/>
      <c r="O24" s="14"/>
      <c r="P24" s="14"/>
      <c r="Q24" s="14"/>
      <c r="V24" s="12"/>
      <c r="W24" t="str">
        <f t="shared" si="0"/>
        <v/>
      </c>
    </row>
    <row r="25" spans="4:23" x14ac:dyDescent="0.35">
      <c r="N25" s="14"/>
      <c r="O25" s="14"/>
      <c r="P25" s="14"/>
      <c r="Q25" s="14"/>
      <c r="V25" s="12"/>
      <c r="W25" t="str">
        <f t="shared" si="0"/>
        <v/>
      </c>
    </row>
    <row r="26" spans="4:23" x14ac:dyDescent="0.35">
      <c r="D26" s="14"/>
      <c r="E26" s="14"/>
      <c r="F26" s="14"/>
      <c r="G26" s="14"/>
      <c r="H26" s="14"/>
      <c r="I26" s="14"/>
      <c r="N26" s="14"/>
      <c r="O26" s="14"/>
      <c r="V26" s="12"/>
      <c r="W26" t="str">
        <f t="shared" si="0"/>
        <v/>
      </c>
    </row>
    <row r="27" spans="4:23" x14ac:dyDescent="0.35">
      <c r="D27" s="14"/>
      <c r="E27" s="14"/>
      <c r="F27" s="14"/>
      <c r="G27" s="14"/>
      <c r="H27" s="14"/>
      <c r="I27" s="14"/>
      <c r="N27" s="14"/>
      <c r="O27" s="14"/>
      <c r="V27" s="12"/>
      <c r="W27" t="str">
        <f t="shared" si="0"/>
        <v/>
      </c>
    </row>
    <row r="28" spans="4:23" x14ac:dyDescent="0.35">
      <c r="D28" s="14"/>
      <c r="E28" s="14"/>
      <c r="F28" s="14"/>
      <c r="G28" s="14"/>
      <c r="H28" s="14"/>
      <c r="I28" s="14"/>
      <c r="N28" s="14"/>
      <c r="O28" s="14"/>
      <c r="V28" s="12"/>
      <c r="W28" t="str">
        <f t="shared" si="0"/>
        <v/>
      </c>
    </row>
    <row r="29" spans="4:23" x14ac:dyDescent="0.35">
      <c r="D29" s="14"/>
      <c r="E29" s="14"/>
      <c r="F29" s="14"/>
      <c r="G29" s="14"/>
      <c r="H29" s="14"/>
      <c r="I29" s="14"/>
      <c r="V29" s="12"/>
      <c r="W29" t="str">
        <f t="shared" si="0"/>
        <v/>
      </c>
    </row>
    <row r="30" spans="4:23" x14ac:dyDescent="0.35">
      <c r="D30" s="14"/>
      <c r="E30" s="14"/>
      <c r="F30" s="14"/>
      <c r="G30" s="14"/>
      <c r="H30" s="14"/>
      <c r="I30" s="14"/>
      <c r="V30" s="12"/>
      <c r="W30" t="str">
        <f t="shared" si="0"/>
        <v/>
      </c>
    </row>
    <row r="31" spans="4:23" x14ac:dyDescent="0.35">
      <c r="D31" s="14"/>
      <c r="E31" s="14"/>
      <c r="F31" s="14"/>
      <c r="G31" s="14"/>
      <c r="H31" s="14"/>
      <c r="I31" s="14"/>
      <c r="V31" s="12"/>
      <c r="W31" t="str">
        <f t="shared" si="0"/>
        <v/>
      </c>
    </row>
    <row r="32" spans="4:23" x14ac:dyDescent="0.35">
      <c r="D32" s="14"/>
      <c r="E32" s="14"/>
      <c r="F32" s="14"/>
      <c r="I32" s="14"/>
      <c r="V32" s="12"/>
      <c r="W32" t="str">
        <f t="shared" si="0"/>
        <v/>
      </c>
    </row>
    <row r="33" spans="4:23" x14ac:dyDescent="0.35">
      <c r="D33" s="14"/>
      <c r="E33" s="14"/>
      <c r="F33" s="14"/>
      <c r="I33" s="14"/>
      <c r="V33" s="12"/>
      <c r="W33" t="str">
        <f t="shared" si="0"/>
        <v/>
      </c>
    </row>
    <row r="34" spans="4:23" x14ac:dyDescent="0.35">
      <c r="D34" s="14"/>
      <c r="E34" s="14"/>
      <c r="F34" s="14"/>
      <c r="I34" s="14"/>
      <c r="V34" s="12"/>
      <c r="W34" t="str">
        <f t="shared" si="0"/>
        <v/>
      </c>
    </row>
    <row r="35" spans="4:23" x14ac:dyDescent="0.35">
      <c r="D35" s="14"/>
      <c r="E35" s="14"/>
      <c r="F35" s="14"/>
      <c r="I35" s="14"/>
      <c r="V35" s="12"/>
      <c r="W35" t="str">
        <f t="shared" si="0"/>
        <v/>
      </c>
    </row>
    <row r="36" spans="4:23" x14ac:dyDescent="0.35">
      <c r="D36" s="14"/>
      <c r="E36" s="14"/>
      <c r="F36" s="14"/>
      <c r="I36" s="14"/>
      <c r="V36" s="12"/>
      <c r="W36" t="str">
        <f t="shared" si="0"/>
        <v/>
      </c>
    </row>
    <row r="37" spans="4:23" x14ac:dyDescent="0.35">
      <c r="D37" s="14"/>
      <c r="E37" s="14"/>
      <c r="F37" s="14"/>
      <c r="I37" s="14"/>
      <c r="V37" s="12"/>
      <c r="W37" t="str">
        <f t="shared" si="0"/>
        <v/>
      </c>
    </row>
    <row r="38" spans="4:23" x14ac:dyDescent="0.35">
      <c r="D38" s="14"/>
      <c r="E38" s="14"/>
      <c r="F38" s="14"/>
      <c r="I38" s="14"/>
      <c r="V38" s="12"/>
      <c r="W38" t="str">
        <f t="shared" si="0"/>
        <v/>
      </c>
    </row>
    <row r="39" spans="4:23" x14ac:dyDescent="0.35">
      <c r="D39" s="14"/>
      <c r="E39" s="14"/>
      <c r="F39" s="14"/>
      <c r="I39" s="14"/>
      <c r="V39" s="12"/>
      <c r="W39" t="str">
        <f t="shared" si="0"/>
        <v/>
      </c>
    </row>
    <row r="40" spans="4:23" x14ac:dyDescent="0.35">
      <c r="D40" s="14"/>
      <c r="E40" s="14"/>
      <c r="F40" s="14"/>
      <c r="I40" s="14"/>
      <c r="V40" s="12"/>
      <c r="W40" t="str">
        <f t="shared" si="0"/>
        <v/>
      </c>
    </row>
    <row r="41" spans="4:23" x14ac:dyDescent="0.35">
      <c r="D41" s="14"/>
      <c r="E41" s="14"/>
      <c r="F41" s="14"/>
      <c r="I41" s="14"/>
      <c r="V41" s="12"/>
      <c r="W41" t="str">
        <f t="shared" si="0"/>
        <v/>
      </c>
    </row>
    <row r="42" spans="4:23" x14ac:dyDescent="0.35">
      <c r="D42" s="14"/>
      <c r="E42" s="14"/>
      <c r="F42" s="14"/>
      <c r="I42" s="14"/>
      <c r="V42" s="12"/>
      <c r="W42" t="str">
        <f t="shared" si="0"/>
        <v/>
      </c>
    </row>
    <row r="43" spans="4:23" x14ac:dyDescent="0.35">
      <c r="D43" s="14"/>
      <c r="E43" s="14"/>
      <c r="V43" s="12"/>
      <c r="W43" t="str">
        <f t="shared" si="0"/>
        <v/>
      </c>
    </row>
    <row r="44" spans="4:23" x14ac:dyDescent="0.35">
      <c r="W44" t="str">
        <f t="shared" si="0"/>
        <v/>
      </c>
    </row>
    <row r="45" spans="4:23" x14ac:dyDescent="0.35">
      <c r="W45" t="str">
        <f t="shared" si="0"/>
        <v/>
      </c>
    </row>
    <row r="46" spans="4:23" x14ac:dyDescent="0.35">
      <c r="W46" t="str">
        <f t="shared" si="0"/>
        <v/>
      </c>
    </row>
    <row r="47" spans="4:23" x14ac:dyDescent="0.35">
      <c r="W47" t="str">
        <f t="shared" si="0"/>
        <v/>
      </c>
    </row>
    <row r="48" spans="4:23" x14ac:dyDescent="0.35">
      <c r="W48" t="str">
        <f t="shared" si="0"/>
        <v/>
      </c>
    </row>
    <row r="49" spans="23:23" x14ac:dyDescent="0.35">
      <c r="W49" t="str">
        <f t="shared" si="0"/>
        <v/>
      </c>
    </row>
    <row r="50" spans="23:23" x14ac:dyDescent="0.35">
      <c r="W50" t="str">
        <f t="shared" si="0"/>
        <v/>
      </c>
    </row>
    <row r="51" spans="23:23" x14ac:dyDescent="0.35">
      <c r="W51" t="str">
        <f t="shared" si="0"/>
        <v/>
      </c>
    </row>
    <row r="52" spans="23:23" x14ac:dyDescent="0.35">
      <c r="W52" t="str">
        <f t="shared" si="0"/>
        <v/>
      </c>
    </row>
    <row r="53" spans="23:23" x14ac:dyDescent="0.35">
      <c r="W53" t="str">
        <f t="shared" si="0"/>
        <v/>
      </c>
    </row>
    <row r="54" spans="23:23" x14ac:dyDescent="0.35">
      <c r="W54" t="str">
        <f t="shared" si="0"/>
        <v/>
      </c>
    </row>
    <row r="55" spans="23:23" x14ac:dyDescent="0.35">
      <c r="W55" t="str">
        <f t="shared" si="0"/>
        <v/>
      </c>
    </row>
    <row r="56" spans="23:23" x14ac:dyDescent="0.35">
      <c r="W56" t="str">
        <f t="shared" si="0"/>
        <v/>
      </c>
    </row>
    <row r="57" spans="23:23" x14ac:dyDescent="0.35">
      <c r="W57" t="str">
        <f t="shared" si="0"/>
        <v/>
      </c>
    </row>
    <row r="58" spans="23:23" x14ac:dyDescent="0.35">
      <c r="W58" t="str">
        <f t="shared" si="0"/>
        <v/>
      </c>
    </row>
    <row r="59" spans="23:23" x14ac:dyDescent="0.35">
      <c r="W59" t="str">
        <f t="shared" si="0"/>
        <v/>
      </c>
    </row>
    <row r="60" spans="23:23" x14ac:dyDescent="0.35">
      <c r="W60" t="str">
        <f t="shared" si="0"/>
        <v/>
      </c>
    </row>
    <row r="61" spans="23:23" x14ac:dyDescent="0.35">
      <c r="W61" t="str">
        <f t="shared" si="0"/>
        <v/>
      </c>
    </row>
    <row r="62" spans="23:23" x14ac:dyDescent="0.35">
      <c r="W62" t="str">
        <f t="shared" si="0"/>
        <v/>
      </c>
    </row>
    <row r="63" spans="23:23" x14ac:dyDescent="0.35">
      <c r="W63" t="str">
        <f t="shared" si="0"/>
        <v/>
      </c>
    </row>
    <row r="64" spans="23:23" x14ac:dyDescent="0.35">
      <c r="W64" t="str">
        <f t="shared" si="0"/>
        <v/>
      </c>
    </row>
    <row r="65" spans="23:23" x14ac:dyDescent="0.35">
      <c r="W65" t="str">
        <f t="shared" si="0"/>
        <v/>
      </c>
    </row>
    <row r="66" spans="23:23" x14ac:dyDescent="0.35">
      <c r="W66" t="str">
        <f t="shared" ref="W66:W129" si="1">IF(P66="","",YEAR(P66))</f>
        <v/>
      </c>
    </row>
    <row r="67" spans="23:23" x14ac:dyDescent="0.35">
      <c r="W67" t="str">
        <f t="shared" si="1"/>
        <v/>
      </c>
    </row>
    <row r="68" spans="23:23" x14ac:dyDescent="0.35">
      <c r="W68" t="str">
        <f t="shared" si="1"/>
        <v/>
      </c>
    </row>
    <row r="69" spans="23:23" x14ac:dyDescent="0.35">
      <c r="W69" t="str">
        <f t="shared" si="1"/>
        <v/>
      </c>
    </row>
    <row r="70" spans="23:23" x14ac:dyDescent="0.35">
      <c r="W70" t="str">
        <f t="shared" si="1"/>
        <v/>
      </c>
    </row>
    <row r="71" spans="23:23" x14ac:dyDescent="0.35">
      <c r="W71" t="str">
        <f t="shared" si="1"/>
        <v/>
      </c>
    </row>
    <row r="72" spans="23:23" x14ac:dyDescent="0.35">
      <c r="W72" t="str">
        <f t="shared" si="1"/>
        <v/>
      </c>
    </row>
    <row r="73" spans="23:23" x14ac:dyDescent="0.35">
      <c r="W73" t="str">
        <f t="shared" si="1"/>
        <v/>
      </c>
    </row>
    <row r="74" spans="23:23" x14ac:dyDescent="0.35">
      <c r="W74" t="str">
        <f t="shared" si="1"/>
        <v/>
      </c>
    </row>
    <row r="75" spans="23:23" x14ac:dyDescent="0.35">
      <c r="W75" t="str">
        <f t="shared" si="1"/>
        <v/>
      </c>
    </row>
    <row r="76" spans="23:23" x14ac:dyDescent="0.35">
      <c r="W76" t="str">
        <f t="shared" si="1"/>
        <v/>
      </c>
    </row>
    <row r="77" spans="23:23" x14ac:dyDescent="0.35">
      <c r="W77" t="str">
        <f t="shared" si="1"/>
        <v/>
      </c>
    </row>
    <row r="78" spans="23:23" x14ac:dyDescent="0.35">
      <c r="W78" t="str">
        <f t="shared" si="1"/>
        <v/>
      </c>
    </row>
    <row r="79" spans="23:23" x14ac:dyDescent="0.35">
      <c r="W79" t="str">
        <f t="shared" si="1"/>
        <v/>
      </c>
    </row>
    <row r="80" spans="23:23" x14ac:dyDescent="0.35">
      <c r="W80" t="str">
        <f t="shared" si="1"/>
        <v/>
      </c>
    </row>
    <row r="81" spans="23:23" x14ac:dyDescent="0.35">
      <c r="W81" t="str">
        <f t="shared" si="1"/>
        <v/>
      </c>
    </row>
    <row r="82" spans="23:23" x14ac:dyDescent="0.35">
      <c r="W82" t="str">
        <f t="shared" si="1"/>
        <v/>
      </c>
    </row>
    <row r="83" spans="23:23" x14ac:dyDescent="0.35">
      <c r="W83" t="str">
        <f t="shared" si="1"/>
        <v/>
      </c>
    </row>
    <row r="84" spans="23:23" x14ac:dyDescent="0.35">
      <c r="W84" t="str">
        <f t="shared" si="1"/>
        <v/>
      </c>
    </row>
    <row r="85" spans="23:23" x14ac:dyDescent="0.35">
      <c r="W85" t="str">
        <f t="shared" si="1"/>
        <v/>
      </c>
    </row>
    <row r="86" spans="23:23" x14ac:dyDescent="0.35">
      <c r="W86" t="str">
        <f t="shared" si="1"/>
        <v/>
      </c>
    </row>
    <row r="87" spans="23:23" x14ac:dyDescent="0.35">
      <c r="W87" t="str">
        <f t="shared" si="1"/>
        <v/>
      </c>
    </row>
    <row r="88" spans="23:23" x14ac:dyDescent="0.35">
      <c r="W88" t="str">
        <f t="shared" si="1"/>
        <v/>
      </c>
    </row>
    <row r="89" spans="23:23" x14ac:dyDescent="0.35">
      <c r="W89" t="str">
        <f t="shared" si="1"/>
        <v/>
      </c>
    </row>
    <row r="90" spans="23:23" x14ac:dyDescent="0.35">
      <c r="W90" t="str">
        <f t="shared" si="1"/>
        <v/>
      </c>
    </row>
    <row r="91" spans="23:23" x14ac:dyDescent="0.35">
      <c r="W91" t="str">
        <f t="shared" si="1"/>
        <v/>
      </c>
    </row>
    <row r="92" spans="23:23" x14ac:dyDescent="0.35">
      <c r="W92" t="str">
        <f t="shared" si="1"/>
        <v/>
      </c>
    </row>
    <row r="93" spans="23:23" x14ac:dyDescent="0.35">
      <c r="W93" t="str">
        <f t="shared" si="1"/>
        <v/>
      </c>
    </row>
    <row r="94" spans="23:23" x14ac:dyDescent="0.35">
      <c r="W94" t="str">
        <f t="shared" si="1"/>
        <v/>
      </c>
    </row>
    <row r="95" spans="23:23" x14ac:dyDescent="0.35">
      <c r="W95" t="str">
        <f t="shared" si="1"/>
        <v/>
      </c>
    </row>
    <row r="96" spans="23:23" x14ac:dyDescent="0.35">
      <c r="W96" t="str">
        <f t="shared" si="1"/>
        <v/>
      </c>
    </row>
    <row r="97" spans="23:23" x14ac:dyDescent="0.35">
      <c r="W97" t="str">
        <f t="shared" si="1"/>
        <v/>
      </c>
    </row>
    <row r="98" spans="23:23" x14ac:dyDescent="0.35">
      <c r="W98" t="str">
        <f t="shared" si="1"/>
        <v/>
      </c>
    </row>
    <row r="99" spans="23:23" x14ac:dyDescent="0.35">
      <c r="W99" t="str">
        <f t="shared" si="1"/>
        <v/>
      </c>
    </row>
    <row r="100" spans="23:23" x14ac:dyDescent="0.35">
      <c r="W100" t="str">
        <f t="shared" si="1"/>
        <v/>
      </c>
    </row>
    <row r="101" spans="23:23" x14ac:dyDescent="0.35">
      <c r="W101" t="str">
        <f t="shared" si="1"/>
        <v/>
      </c>
    </row>
    <row r="102" spans="23:23" x14ac:dyDescent="0.35">
      <c r="W102" t="str">
        <f t="shared" si="1"/>
        <v/>
      </c>
    </row>
    <row r="103" spans="23:23" x14ac:dyDescent="0.35">
      <c r="W103" t="str">
        <f t="shared" si="1"/>
        <v/>
      </c>
    </row>
    <row r="104" spans="23:23" x14ac:dyDescent="0.35">
      <c r="W104" t="str">
        <f t="shared" si="1"/>
        <v/>
      </c>
    </row>
    <row r="105" spans="23:23" x14ac:dyDescent="0.35">
      <c r="W105" t="str">
        <f t="shared" si="1"/>
        <v/>
      </c>
    </row>
    <row r="106" spans="23:23" x14ac:dyDescent="0.35">
      <c r="W106" t="str">
        <f t="shared" si="1"/>
        <v/>
      </c>
    </row>
    <row r="107" spans="23:23" x14ac:dyDescent="0.35">
      <c r="W107" t="str">
        <f t="shared" si="1"/>
        <v/>
      </c>
    </row>
    <row r="108" spans="23:23" x14ac:dyDescent="0.35">
      <c r="W108" t="str">
        <f t="shared" si="1"/>
        <v/>
      </c>
    </row>
    <row r="109" spans="23:23" x14ac:dyDescent="0.35">
      <c r="W109" t="str">
        <f t="shared" si="1"/>
        <v/>
      </c>
    </row>
    <row r="110" spans="23:23" x14ac:dyDescent="0.35">
      <c r="W110" t="str">
        <f t="shared" si="1"/>
        <v/>
      </c>
    </row>
    <row r="111" spans="23:23" x14ac:dyDescent="0.35">
      <c r="W111" t="str">
        <f t="shared" si="1"/>
        <v/>
      </c>
    </row>
    <row r="112" spans="23:23" x14ac:dyDescent="0.35">
      <c r="W112" t="str">
        <f t="shared" si="1"/>
        <v/>
      </c>
    </row>
    <row r="113" spans="23:23" x14ac:dyDescent="0.35">
      <c r="W113" t="str">
        <f t="shared" si="1"/>
        <v/>
      </c>
    </row>
    <row r="114" spans="23:23" x14ac:dyDescent="0.35">
      <c r="W114" t="str">
        <f t="shared" si="1"/>
        <v/>
      </c>
    </row>
    <row r="115" spans="23:23" x14ac:dyDescent="0.35">
      <c r="W115" t="str">
        <f t="shared" si="1"/>
        <v/>
      </c>
    </row>
    <row r="116" spans="23:23" x14ac:dyDescent="0.35">
      <c r="W116" t="str">
        <f t="shared" si="1"/>
        <v/>
      </c>
    </row>
    <row r="117" spans="23:23" x14ac:dyDescent="0.35">
      <c r="W117" t="str">
        <f t="shared" si="1"/>
        <v/>
      </c>
    </row>
    <row r="118" spans="23:23" x14ac:dyDescent="0.35">
      <c r="W118" t="str">
        <f t="shared" si="1"/>
        <v/>
      </c>
    </row>
    <row r="119" spans="23:23" x14ac:dyDescent="0.35">
      <c r="W119" t="str">
        <f t="shared" si="1"/>
        <v/>
      </c>
    </row>
    <row r="120" spans="23:23" x14ac:dyDescent="0.35">
      <c r="W120" t="str">
        <f t="shared" si="1"/>
        <v/>
      </c>
    </row>
    <row r="121" spans="23:23" x14ac:dyDescent="0.35">
      <c r="W121" t="str">
        <f t="shared" si="1"/>
        <v/>
      </c>
    </row>
    <row r="122" spans="23:23" x14ac:dyDescent="0.35">
      <c r="W122" t="str">
        <f t="shared" si="1"/>
        <v/>
      </c>
    </row>
    <row r="123" spans="23:23" x14ac:dyDescent="0.35">
      <c r="W123" t="str">
        <f t="shared" si="1"/>
        <v/>
      </c>
    </row>
    <row r="124" spans="23:23" x14ac:dyDescent="0.35">
      <c r="W124" t="str">
        <f t="shared" si="1"/>
        <v/>
      </c>
    </row>
    <row r="125" spans="23:23" x14ac:dyDescent="0.35">
      <c r="W125" t="str">
        <f t="shared" si="1"/>
        <v/>
      </c>
    </row>
    <row r="126" spans="23:23" x14ac:dyDescent="0.35">
      <c r="W126" t="str">
        <f t="shared" si="1"/>
        <v/>
      </c>
    </row>
    <row r="127" spans="23:23" x14ac:dyDescent="0.35">
      <c r="W127" t="str">
        <f t="shared" si="1"/>
        <v/>
      </c>
    </row>
    <row r="128" spans="23:23" x14ac:dyDescent="0.35">
      <c r="W128" t="str">
        <f t="shared" si="1"/>
        <v/>
      </c>
    </row>
    <row r="129" spans="23:23" x14ac:dyDescent="0.35">
      <c r="W129" t="str">
        <f t="shared" si="1"/>
        <v/>
      </c>
    </row>
    <row r="130" spans="23:23" x14ac:dyDescent="0.35">
      <c r="W130" t="str">
        <f t="shared" ref="W130:W193" si="2">IF(P130="","",YEAR(P130))</f>
        <v/>
      </c>
    </row>
    <row r="131" spans="23:23" x14ac:dyDescent="0.35">
      <c r="W131" t="str">
        <f t="shared" si="2"/>
        <v/>
      </c>
    </row>
    <row r="132" spans="23:23" x14ac:dyDescent="0.35">
      <c r="W132" t="str">
        <f t="shared" si="2"/>
        <v/>
      </c>
    </row>
    <row r="133" spans="23:23" x14ac:dyDescent="0.35">
      <c r="W133" t="str">
        <f t="shared" si="2"/>
        <v/>
      </c>
    </row>
    <row r="134" spans="23:23" x14ac:dyDescent="0.35">
      <c r="W134" t="str">
        <f t="shared" si="2"/>
        <v/>
      </c>
    </row>
    <row r="135" spans="23:23" x14ac:dyDescent="0.35">
      <c r="W135" t="str">
        <f t="shared" si="2"/>
        <v/>
      </c>
    </row>
    <row r="136" spans="23:23" x14ac:dyDescent="0.35">
      <c r="W136" t="str">
        <f t="shared" si="2"/>
        <v/>
      </c>
    </row>
    <row r="137" spans="23:23" x14ac:dyDescent="0.35">
      <c r="W137" t="str">
        <f t="shared" si="2"/>
        <v/>
      </c>
    </row>
    <row r="138" spans="23:23" x14ac:dyDescent="0.35">
      <c r="W138" t="str">
        <f t="shared" si="2"/>
        <v/>
      </c>
    </row>
    <row r="139" spans="23:23" x14ac:dyDescent="0.35">
      <c r="W139" t="str">
        <f t="shared" si="2"/>
        <v/>
      </c>
    </row>
    <row r="140" spans="23:23" x14ac:dyDescent="0.35">
      <c r="W140" t="str">
        <f t="shared" si="2"/>
        <v/>
      </c>
    </row>
    <row r="141" spans="23:23" x14ac:dyDescent="0.35">
      <c r="W141" t="str">
        <f t="shared" si="2"/>
        <v/>
      </c>
    </row>
    <row r="142" spans="23:23" x14ac:dyDescent="0.35">
      <c r="W142" t="str">
        <f t="shared" si="2"/>
        <v/>
      </c>
    </row>
    <row r="143" spans="23:23" x14ac:dyDescent="0.35">
      <c r="W143" t="str">
        <f t="shared" si="2"/>
        <v/>
      </c>
    </row>
    <row r="144" spans="23:23" x14ac:dyDescent="0.35">
      <c r="W144" t="str">
        <f t="shared" si="2"/>
        <v/>
      </c>
    </row>
    <row r="145" spans="23:23" x14ac:dyDescent="0.35">
      <c r="W145" t="str">
        <f t="shared" si="2"/>
        <v/>
      </c>
    </row>
    <row r="146" spans="23:23" x14ac:dyDescent="0.35">
      <c r="W146" t="str">
        <f t="shared" si="2"/>
        <v/>
      </c>
    </row>
    <row r="147" spans="23:23" x14ac:dyDescent="0.35">
      <c r="W147" t="str">
        <f t="shared" si="2"/>
        <v/>
      </c>
    </row>
    <row r="148" spans="23:23" x14ac:dyDescent="0.35">
      <c r="W148" t="str">
        <f t="shared" si="2"/>
        <v/>
      </c>
    </row>
    <row r="149" spans="23:23" x14ac:dyDescent="0.35">
      <c r="W149" t="str">
        <f t="shared" si="2"/>
        <v/>
      </c>
    </row>
    <row r="150" spans="23:23" x14ac:dyDescent="0.35">
      <c r="W150" t="str">
        <f t="shared" si="2"/>
        <v/>
      </c>
    </row>
    <row r="151" spans="23:23" x14ac:dyDescent="0.35">
      <c r="W151" t="str">
        <f t="shared" si="2"/>
        <v/>
      </c>
    </row>
    <row r="152" spans="23:23" x14ac:dyDescent="0.35">
      <c r="W152" t="str">
        <f t="shared" si="2"/>
        <v/>
      </c>
    </row>
    <row r="153" spans="23:23" x14ac:dyDescent="0.35">
      <c r="W153" t="str">
        <f t="shared" si="2"/>
        <v/>
      </c>
    </row>
    <row r="154" spans="23:23" x14ac:dyDescent="0.35">
      <c r="W154" t="str">
        <f t="shared" si="2"/>
        <v/>
      </c>
    </row>
    <row r="155" spans="23:23" x14ac:dyDescent="0.35">
      <c r="W155" t="str">
        <f t="shared" si="2"/>
        <v/>
      </c>
    </row>
    <row r="156" spans="23:23" x14ac:dyDescent="0.35">
      <c r="W156" t="str">
        <f t="shared" si="2"/>
        <v/>
      </c>
    </row>
    <row r="157" spans="23:23" x14ac:dyDescent="0.35">
      <c r="W157" t="str">
        <f t="shared" si="2"/>
        <v/>
      </c>
    </row>
    <row r="158" spans="23:23" x14ac:dyDescent="0.35">
      <c r="W158" t="str">
        <f t="shared" si="2"/>
        <v/>
      </c>
    </row>
    <row r="159" spans="23:23" x14ac:dyDescent="0.35">
      <c r="W159" t="str">
        <f t="shared" si="2"/>
        <v/>
      </c>
    </row>
    <row r="160" spans="23:23" x14ac:dyDescent="0.35">
      <c r="W160" t="str">
        <f t="shared" si="2"/>
        <v/>
      </c>
    </row>
    <row r="161" spans="23:23" x14ac:dyDescent="0.35">
      <c r="W161" t="str">
        <f t="shared" si="2"/>
        <v/>
      </c>
    </row>
    <row r="162" spans="23:23" x14ac:dyDescent="0.35">
      <c r="W162" t="str">
        <f t="shared" si="2"/>
        <v/>
      </c>
    </row>
    <row r="163" spans="23:23" x14ac:dyDescent="0.35">
      <c r="W163" t="str">
        <f t="shared" si="2"/>
        <v/>
      </c>
    </row>
    <row r="164" spans="23:23" x14ac:dyDescent="0.35">
      <c r="W164" t="str">
        <f t="shared" si="2"/>
        <v/>
      </c>
    </row>
    <row r="165" spans="23:23" x14ac:dyDescent="0.35">
      <c r="W165" t="str">
        <f t="shared" si="2"/>
        <v/>
      </c>
    </row>
    <row r="166" spans="23:23" x14ac:dyDescent="0.35">
      <c r="W166" t="str">
        <f t="shared" si="2"/>
        <v/>
      </c>
    </row>
    <row r="167" spans="23:23" x14ac:dyDescent="0.35">
      <c r="W167" t="str">
        <f t="shared" si="2"/>
        <v/>
      </c>
    </row>
    <row r="168" spans="23:23" x14ac:dyDescent="0.35">
      <c r="W168" t="str">
        <f t="shared" si="2"/>
        <v/>
      </c>
    </row>
    <row r="169" spans="23:23" x14ac:dyDescent="0.35">
      <c r="W169" t="str">
        <f t="shared" si="2"/>
        <v/>
      </c>
    </row>
    <row r="170" spans="23:23" x14ac:dyDescent="0.35">
      <c r="W170" t="str">
        <f t="shared" si="2"/>
        <v/>
      </c>
    </row>
    <row r="171" spans="23:23" x14ac:dyDescent="0.35">
      <c r="W171" t="str">
        <f t="shared" si="2"/>
        <v/>
      </c>
    </row>
    <row r="172" spans="23:23" x14ac:dyDescent="0.35">
      <c r="W172" t="str">
        <f t="shared" si="2"/>
        <v/>
      </c>
    </row>
    <row r="173" spans="23:23" x14ac:dyDescent="0.35">
      <c r="W173" t="str">
        <f t="shared" si="2"/>
        <v/>
      </c>
    </row>
    <row r="174" spans="23:23" x14ac:dyDescent="0.35">
      <c r="W174" t="str">
        <f t="shared" si="2"/>
        <v/>
      </c>
    </row>
    <row r="175" spans="23:23" x14ac:dyDescent="0.35">
      <c r="W175" t="str">
        <f t="shared" si="2"/>
        <v/>
      </c>
    </row>
    <row r="176" spans="23:23" x14ac:dyDescent="0.35">
      <c r="W176" t="str">
        <f t="shared" si="2"/>
        <v/>
      </c>
    </row>
    <row r="177" spans="23:23" x14ac:dyDescent="0.35">
      <c r="W177" t="str">
        <f t="shared" si="2"/>
        <v/>
      </c>
    </row>
    <row r="178" spans="23:23" x14ac:dyDescent="0.35">
      <c r="W178" t="str">
        <f t="shared" si="2"/>
        <v/>
      </c>
    </row>
    <row r="179" spans="23:23" x14ac:dyDescent="0.35">
      <c r="W179" t="str">
        <f t="shared" si="2"/>
        <v/>
      </c>
    </row>
    <row r="180" spans="23:23" x14ac:dyDescent="0.35">
      <c r="W180" t="str">
        <f t="shared" si="2"/>
        <v/>
      </c>
    </row>
    <row r="181" spans="23:23" x14ac:dyDescent="0.35">
      <c r="W181" t="str">
        <f t="shared" si="2"/>
        <v/>
      </c>
    </row>
    <row r="182" spans="23:23" x14ac:dyDescent="0.35">
      <c r="W182" t="str">
        <f t="shared" si="2"/>
        <v/>
      </c>
    </row>
    <row r="183" spans="23:23" x14ac:dyDescent="0.35">
      <c r="W183" t="str">
        <f t="shared" si="2"/>
        <v/>
      </c>
    </row>
    <row r="184" spans="23:23" x14ac:dyDescent="0.35">
      <c r="W184" t="str">
        <f t="shared" si="2"/>
        <v/>
      </c>
    </row>
    <row r="185" spans="23:23" x14ac:dyDescent="0.35">
      <c r="W185" t="str">
        <f t="shared" si="2"/>
        <v/>
      </c>
    </row>
    <row r="186" spans="23:23" x14ac:dyDescent="0.35">
      <c r="W186" t="str">
        <f t="shared" si="2"/>
        <v/>
      </c>
    </row>
    <row r="187" spans="23:23" x14ac:dyDescent="0.35">
      <c r="W187" t="str">
        <f t="shared" si="2"/>
        <v/>
      </c>
    </row>
    <row r="188" spans="23:23" x14ac:dyDescent="0.35">
      <c r="W188" t="str">
        <f t="shared" si="2"/>
        <v/>
      </c>
    </row>
    <row r="189" spans="23:23" x14ac:dyDescent="0.35">
      <c r="W189" t="str">
        <f t="shared" si="2"/>
        <v/>
      </c>
    </row>
    <row r="190" spans="23:23" x14ac:dyDescent="0.35">
      <c r="W190" t="str">
        <f t="shared" si="2"/>
        <v/>
      </c>
    </row>
    <row r="191" spans="23:23" x14ac:dyDescent="0.35">
      <c r="W191" t="str">
        <f t="shared" si="2"/>
        <v/>
      </c>
    </row>
    <row r="192" spans="23:23" x14ac:dyDescent="0.35">
      <c r="W192" t="str">
        <f t="shared" si="2"/>
        <v/>
      </c>
    </row>
    <row r="193" spans="23:23" x14ac:dyDescent="0.35">
      <c r="W193" t="str">
        <f t="shared" si="2"/>
        <v/>
      </c>
    </row>
    <row r="194" spans="23:23" x14ac:dyDescent="0.35">
      <c r="W194" t="str">
        <f t="shared" ref="W194:W257" si="3">IF(P194="","",YEAR(P194))</f>
        <v/>
      </c>
    </row>
    <row r="195" spans="23:23" x14ac:dyDescent="0.35">
      <c r="W195" t="str">
        <f t="shared" si="3"/>
        <v/>
      </c>
    </row>
    <row r="196" spans="23:23" x14ac:dyDescent="0.35">
      <c r="W196" t="str">
        <f t="shared" si="3"/>
        <v/>
      </c>
    </row>
    <row r="197" spans="23:23" x14ac:dyDescent="0.35">
      <c r="W197" t="str">
        <f t="shared" si="3"/>
        <v/>
      </c>
    </row>
    <row r="198" spans="23:23" x14ac:dyDescent="0.35">
      <c r="W198" t="str">
        <f t="shared" si="3"/>
        <v/>
      </c>
    </row>
    <row r="199" spans="23:23" x14ac:dyDescent="0.35">
      <c r="W199" t="str">
        <f t="shared" si="3"/>
        <v/>
      </c>
    </row>
    <row r="200" spans="23:23" x14ac:dyDescent="0.35">
      <c r="W200" t="str">
        <f t="shared" si="3"/>
        <v/>
      </c>
    </row>
    <row r="201" spans="23:23" x14ac:dyDescent="0.35">
      <c r="W201" t="str">
        <f t="shared" si="3"/>
        <v/>
      </c>
    </row>
    <row r="202" spans="23:23" x14ac:dyDescent="0.35">
      <c r="W202" t="str">
        <f t="shared" si="3"/>
        <v/>
      </c>
    </row>
    <row r="203" spans="23:23" x14ac:dyDescent="0.35">
      <c r="W203" t="str">
        <f t="shared" si="3"/>
        <v/>
      </c>
    </row>
    <row r="204" spans="23:23" x14ac:dyDescent="0.35">
      <c r="W204" t="str">
        <f t="shared" si="3"/>
        <v/>
      </c>
    </row>
    <row r="205" spans="23:23" x14ac:dyDescent="0.35">
      <c r="W205" t="str">
        <f t="shared" si="3"/>
        <v/>
      </c>
    </row>
    <row r="206" spans="23:23" x14ac:dyDescent="0.35">
      <c r="W206" t="str">
        <f t="shared" si="3"/>
        <v/>
      </c>
    </row>
    <row r="207" spans="23:23" x14ac:dyDescent="0.35">
      <c r="W207" t="str">
        <f t="shared" si="3"/>
        <v/>
      </c>
    </row>
    <row r="208" spans="23:23" x14ac:dyDescent="0.35">
      <c r="W208" t="str">
        <f t="shared" si="3"/>
        <v/>
      </c>
    </row>
    <row r="209" spans="23:23" x14ac:dyDescent="0.35">
      <c r="W209" t="str">
        <f t="shared" si="3"/>
        <v/>
      </c>
    </row>
    <row r="210" spans="23:23" x14ac:dyDescent="0.35">
      <c r="W210" t="str">
        <f t="shared" si="3"/>
        <v/>
      </c>
    </row>
    <row r="211" spans="23:23" x14ac:dyDescent="0.35">
      <c r="W211" t="str">
        <f t="shared" si="3"/>
        <v/>
      </c>
    </row>
    <row r="212" spans="23:23" x14ac:dyDescent="0.35">
      <c r="W212" t="str">
        <f t="shared" si="3"/>
        <v/>
      </c>
    </row>
    <row r="213" spans="23:23" x14ac:dyDescent="0.35">
      <c r="W213" t="str">
        <f t="shared" si="3"/>
        <v/>
      </c>
    </row>
    <row r="214" spans="23:23" x14ac:dyDescent="0.35">
      <c r="W214" t="str">
        <f t="shared" si="3"/>
        <v/>
      </c>
    </row>
    <row r="215" spans="23:23" x14ac:dyDescent="0.35">
      <c r="W215" t="str">
        <f t="shared" si="3"/>
        <v/>
      </c>
    </row>
    <row r="216" spans="23:23" x14ac:dyDescent="0.35">
      <c r="W216" t="str">
        <f t="shared" si="3"/>
        <v/>
      </c>
    </row>
    <row r="217" spans="23:23" x14ac:dyDescent="0.35">
      <c r="W217" t="str">
        <f t="shared" si="3"/>
        <v/>
      </c>
    </row>
    <row r="218" spans="23:23" x14ac:dyDescent="0.35">
      <c r="W218" t="str">
        <f t="shared" si="3"/>
        <v/>
      </c>
    </row>
    <row r="219" spans="23:23" x14ac:dyDescent="0.35">
      <c r="W219" t="str">
        <f t="shared" si="3"/>
        <v/>
      </c>
    </row>
    <row r="220" spans="23:23" x14ac:dyDescent="0.35">
      <c r="W220" t="str">
        <f t="shared" si="3"/>
        <v/>
      </c>
    </row>
    <row r="221" spans="23:23" x14ac:dyDescent="0.35">
      <c r="W221" t="str">
        <f t="shared" si="3"/>
        <v/>
      </c>
    </row>
    <row r="222" spans="23:23" x14ac:dyDescent="0.35">
      <c r="W222" t="str">
        <f t="shared" si="3"/>
        <v/>
      </c>
    </row>
    <row r="223" spans="23:23" x14ac:dyDescent="0.35">
      <c r="W223" t="str">
        <f t="shared" si="3"/>
        <v/>
      </c>
    </row>
    <row r="224" spans="23:23" x14ac:dyDescent="0.35">
      <c r="W224" t="str">
        <f t="shared" si="3"/>
        <v/>
      </c>
    </row>
    <row r="225" spans="23:23" x14ac:dyDescent="0.35">
      <c r="W225" t="str">
        <f t="shared" si="3"/>
        <v/>
      </c>
    </row>
    <row r="226" spans="23:23" x14ac:dyDescent="0.35">
      <c r="W226" t="str">
        <f t="shared" si="3"/>
        <v/>
      </c>
    </row>
    <row r="227" spans="23:23" x14ac:dyDescent="0.35">
      <c r="W227" t="str">
        <f t="shared" si="3"/>
        <v/>
      </c>
    </row>
    <row r="228" spans="23:23" x14ac:dyDescent="0.35">
      <c r="W228" t="str">
        <f t="shared" si="3"/>
        <v/>
      </c>
    </row>
    <row r="229" spans="23:23" x14ac:dyDescent="0.35">
      <c r="W229" t="str">
        <f t="shared" si="3"/>
        <v/>
      </c>
    </row>
    <row r="230" spans="23:23" x14ac:dyDescent="0.35">
      <c r="W230" t="str">
        <f t="shared" si="3"/>
        <v/>
      </c>
    </row>
    <row r="231" spans="23:23" x14ac:dyDescent="0.35">
      <c r="W231" t="str">
        <f t="shared" si="3"/>
        <v/>
      </c>
    </row>
    <row r="232" spans="23:23" x14ac:dyDescent="0.35">
      <c r="W232" t="str">
        <f t="shared" si="3"/>
        <v/>
      </c>
    </row>
    <row r="233" spans="23:23" x14ac:dyDescent="0.35">
      <c r="W233" t="str">
        <f t="shared" si="3"/>
        <v/>
      </c>
    </row>
    <row r="234" spans="23:23" x14ac:dyDescent="0.35">
      <c r="W234" t="str">
        <f t="shared" si="3"/>
        <v/>
      </c>
    </row>
    <row r="235" spans="23:23" x14ac:dyDescent="0.35">
      <c r="W235" t="str">
        <f t="shared" si="3"/>
        <v/>
      </c>
    </row>
    <row r="236" spans="23:23" x14ac:dyDescent="0.35">
      <c r="W236" t="str">
        <f t="shared" si="3"/>
        <v/>
      </c>
    </row>
    <row r="237" spans="23:23" x14ac:dyDescent="0.35">
      <c r="W237" t="str">
        <f t="shared" si="3"/>
        <v/>
      </c>
    </row>
    <row r="238" spans="23:23" x14ac:dyDescent="0.35">
      <c r="W238" t="str">
        <f t="shared" si="3"/>
        <v/>
      </c>
    </row>
    <row r="239" spans="23:23" x14ac:dyDescent="0.35">
      <c r="W239" t="str">
        <f t="shared" si="3"/>
        <v/>
      </c>
    </row>
    <row r="240" spans="23:23" x14ac:dyDescent="0.35">
      <c r="W240" t="str">
        <f t="shared" si="3"/>
        <v/>
      </c>
    </row>
    <row r="241" spans="23:23" x14ac:dyDescent="0.35">
      <c r="W241" t="str">
        <f t="shared" si="3"/>
        <v/>
      </c>
    </row>
    <row r="242" spans="23:23" x14ac:dyDescent="0.35">
      <c r="W242" t="str">
        <f t="shared" si="3"/>
        <v/>
      </c>
    </row>
    <row r="243" spans="23:23" x14ac:dyDescent="0.35">
      <c r="W243" t="str">
        <f t="shared" si="3"/>
        <v/>
      </c>
    </row>
    <row r="244" spans="23:23" x14ac:dyDescent="0.35">
      <c r="W244" t="str">
        <f t="shared" si="3"/>
        <v/>
      </c>
    </row>
    <row r="245" spans="23:23" x14ac:dyDescent="0.35">
      <c r="W245" t="str">
        <f t="shared" si="3"/>
        <v/>
      </c>
    </row>
    <row r="246" spans="23:23" x14ac:dyDescent="0.35">
      <c r="W246" t="str">
        <f t="shared" si="3"/>
        <v/>
      </c>
    </row>
    <row r="247" spans="23:23" x14ac:dyDescent="0.35">
      <c r="W247" t="str">
        <f t="shared" si="3"/>
        <v/>
      </c>
    </row>
    <row r="248" spans="23:23" x14ac:dyDescent="0.35">
      <c r="W248" t="str">
        <f t="shared" si="3"/>
        <v/>
      </c>
    </row>
    <row r="249" spans="23:23" x14ac:dyDescent="0.35">
      <c r="W249" t="str">
        <f t="shared" si="3"/>
        <v/>
      </c>
    </row>
    <row r="250" spans="23:23" x14ac:dyDescent="0.35">
      <c r="W250" t="str">
        <f t="shared" si="3"/>
        <v/>
      </c>
    </row>
    <row r="251" spans="23:23" x14ac:dyDescent="0.35">
      <c r="W251" t="str">
        <f t="shared" si="3"/>
        <v/>
      </c>
    </row>
    <row r="252" spans="23:23" x14ac:dyDescent="0.35">
      <c r="W252" t="str">
        <f t="shared" si="3"/>
        <v/>
      </c>
    </row>
    <row r="253" spans="23:23" x14ac:dyDescent="0.35">
      <c r="W253" t="str">
        <f t="shared" si="3"/>
        <v/>
      </c>
    </row>
    <row r="254" spans="23:23" x14ac:dyDescent="0.35">
      <c r="W254" t="str">
        <f t="shared" si="3"/>
        <v/>
      </c>
    </row>
    <row r="255" spans="23:23" x14ac:dyDescent="0.35">
      <c r="W255" t="str">
        <f t="shared" si="3"/>
        <v/>
      </c>
    </row>
    <row r="256" spans="23:23" x14ac:dyDescent="0.35">
      <c r="W256" t="str">
        <f t="shared" si="3"/>
        <v/>
      </c>
    </row>
    <row r="257" spans="23:23" x14ac:dyDescent="0.35">
      <c r="W257" t="str">
        <f t="shared" si="3"/>
        <v/>
      </c>
    </row>
    <row r="258" spans="23:23" x14ac:dyDescent="0.35">
      <c r="W258" t="str">
        <f t="shared" ref="W258:W321" si="4">IF(P258="","",YEAR(P258))</f>
        <v/>
      </c>
    </row>
    <row r="259" spans="23:23" x14ac:dyDescent="0.35">
      <c r="W259" t="str">
        <f t="shared" si="4"/>
        <v/>
      </c>
    </row>
    <row r="260" spans="23:23" x14ac:dyDescent="0.35">
      <c r="W260" t="str">
        <f t="shared" si="4"/>
        <v/>
      </c>
    </row>
    <row r="261" spans="23:23" x14ac:dyDescent="0.35">
      <c r="W261" t="str">
        <f t="shared" si="4"/>
        <v/>
      </c>
    </row>
    <row r="262" spans="23:23" x14ac:dyDescent="0.35">
      <c r="W262" t="str">
        <f t="shared" si="4"/>
        <v/>
      </c>
    </row>
    <row r="263" spans="23:23" x14ac:dyDescent="0.35">
      <c r="W263" t="str">
        <f t="shared" si="4"/>
        <v/>
      </c>
    </row>
    <row r="264" spans="23:23" x14ac:dyDescent="0.35">
      <c r="W264" t="str">
        <f t="shared" si="4"/>
        <v/>
      </c>
    </row>
    <row r="265" spans="23:23" x14ac:dyDescent="0.35">
      <c r="W265" t="str">
        <f t="shared" si="4"/>
        <v/>
      </c>
    </row>
    <row r="266" spans="23:23" x14ac:dyDescent="0.35">
      <c r="W266" t="str">
        <f t="shared" si="4"/>
        <v/>
      </c>
    </row>
    <row r="267" spans="23:23" x14ac:dyDescent="0.35">
      <c r="W267" t="str">
        <f t="shared" si="4"/>
        <v/>
      </c>
    </row>
    <row r="268" spans="23:23" x14ac:dyDescent="0.35">
      <c r="W268" t="str">
        <f t="shared" si="4"/>
        <v/>
      </c>
    </row>
    <row r="269" spans="23:23" x14ac:dyDescent="0.35">
      <c r="W269" t="str">
        <f t="shared" si="4"/>
        <v/>
      </c>
    </row>
    <row r="270" spans="23:23" x14ac:dyDescent="0.35">
      <c r="W270" t="str">
        <f t="shared" si="4"/>
        <v/>
      </c>
    </row>
    <row r="271" spans="23:23" x14ac:dyDescent="0.35">
      <c r="W271" t="str">
        <f t="shared" si="4"/>
        <v/>
      </c>
    </row>
    <row r="272" spans="23:23" x14ac:dyDescent="0.35">
      <c r="W272" t="str">
        <f t="shared" si="4"/>
        <v/>
      </c>
    </row>
    <row r="273" spans="23:23" x14ac:dyDescent="0.35">
      <c r="W273" t="str">
        <f t="shared" si="4"/>
        <v/>
      </c>
    </row>
    <row r="274" spans="23:23" x14ac:dyDescent="0.35">
      <c r="W274" t="str">
        <f t="shared" si="4"/>
        <v/>
      </c>
    </row>
    <row r="275" spans="23:23" x14ac:dyDescent="0.35">
      <c r="W275" t="str">
        <f t="shared" si="4"/>
        <v/>
      </c>
    </row>
    <row r="276" spans="23:23" x14ac:dyDescent="0.35">
      <c r="W276" t="str">
        <f t="shared" si="4"/>
        <v/>
      </c>
    </row>
    <row r="277" spans="23:23" x14ac:dyDescent="0.35">
      <c r="W277" t="str">
        <f t="shared" si="4"/>
        <v/>
      </c>
    </row>
    <row r="278" spans="23:23" x14ac:dyDescent="0.35">
      <c r="W278" t="str">
        <f t="shared" si="4"/>
        <v/>
      </c>
    </row>
    <row r="279" spans="23:23" x14ac:dyDescent="0.35">
      <c r="W279" t="str">
        <f t="shared" si="4"/>
        <v/>
      </c>
    </row>
    <row r="280" spans="23:23" x14ac:dyDescent="0.35">
      <c r="W280" t="str">
        <f t="shared" si="4"/>
        <v/>
      </c>
    </row>
    <row r="281" spans="23:23" x14ac:dyDescent="0.35">
      <c r="W281" t="str">
        <f t="shared" si="4"/>
        <v/>
      </c>
    </row>
    <row r="282" spans="23:23" x14ac:dyDescent="0.35">
      <c r="W282" t="str">
        <f t="shared" si="4"/>
        <v/>
      </c>
    </row>
    <row r="283" spans="23:23" x14ac:dyDescent="0.35">
      <c r="W283" t="str">
        <f t="shared" si="4"/>
        <v/>
      </c>
    </row>
    <row r="284" spans="23:23" x14ac:dyDescent="0.35">
      <c r="W284" t="str">
        <f t="shared" si="4"/>
        <v/>
      </c>
    </row>
    <row r="285" spans="23:23" x14ac:dyDescent="0.35">
      <c r="W285" t="str">
        <f t="shared" si="4"/>
        <v/>
      </c>
    </row>
    <row r="286" spans="23:23" x14ac:dyDescent="0.35">
      <c r="W286" t="str">
        <f t="shared" si="4"/>
        <v/>
      </c>
    </row>
    <row r="287" spans="23:23" x14ac:dyDescent="0.35">
      <c r="W287" t="str">
        <f t="shared" si="4"/>
        <v/>
      </c>
    </row>
    <row r="288" spans="23:23" x14ac:dyDescent="0.35">
      <c r="W288" t="str">
        <f t="shared" si="4"/>
        <v/>
      </c>
    </row>
    <row r="289" spans="23:23" x14ac:dyDescent="0.35">
      <c r="W289" t="str">
        <f t="shared" si="4"/>
        <v/>
      </c>
    </row>
    <row r="290" spans="23:23" x14ac:dyDescent="0.35">
      <c r="W290" t="str">
        <f t="shared" si="4"/>
        <v/>
      </c>
    </row>
    <row r="291" spans="23:23" x14ac:dyDescent="0.35">
      <c r="W291" t="str">
        <f t="shared" si="4"/>
        <v/>
      </c>
    </row>
    <row r="292" spans="23:23" x14ac:dyDescent="0.35">
      <c r="W292" t="str">
        <f t="shared" si="4"/>
        <v/>
      </c>
    </row>
    <row r="293" spans="23:23" x14ac:dyDescent="0.35">
      <c r="W293" t="str">
        <f t="shared" si="4"/>
        <v/>
      </c>
    </row>
    <row r="294" spans="23:23" x14ac:dyDescent="0.35">
      <c r="W294" t="str">
        <f t="shared" si="4"/>
        <v/>
      </c>
    </row>
    <row r="295" spans="23:23" x14ac:dyDescent="0.35">
      <c r="W295" t="str">
        <f t="shared" si="4"/>
        <v/>
      </c>
    </row>
    <row r="296" spans="23:23" x14ac:dyDescent="0.35">
      <c r="W296" t="str">
        <f t="shared" si="4"/>
        <v/>
      </c>
    </row>
    <row r="297" spans="23:23" x14ac:dyDescent="0.35">
      <c r="W297" t="str">
        <f t="shared" si="4"/>
        <v/>
      </c>
    </row>
    <row r="298" spans="23:23" x14ac:dyDescent="0.35">
      <c r="W298" t="str">
        <f t="shared" si="4"/>
        <v/>
      </c>
    </row>
    <row r="299" spans="23:23" x14ac:dyDescent="0.35">
      <c r="W299" t="str">
        <f t="shared" si="4"/>
        <v/>
      </c>
    </row>
    <row r="300" spans="23:23" x14ac:dyDescent="0.35">
      <c r="W300" t="str">
        <f t="shared" si="4"/>
        <v/>
      </c>
    </row>
    <row r="301" spans="23:23" x14ac:dyDescent="0.35">
      <c r="W301" t="str">
        <f t="shared" si="4"/>
        <v/>
      </c>
    </row>
    <row r="302" spans="23:23" x14ac:dyDescent="0.35">
      <c r="W302" t="str">
        <f t="shared" si="4"/>
        <v/>
      </c>
    </row>
    <row r="303" spans="23:23" x14ac:dyDescent="0.35">
      <c r="W303" t="str">
        <f t="shared" si="4"/>
        <v/>
      </c>
    </row>
    <row r="304" spans="23:23" x14ac:dyDescent="0.35">
      <c r="W304" t="str">
        <f t="shared" si="4"/>
        <v/>
      </c>
    </row>
    <row r="305" spans="23:23" x14ac:dyDescent="0.35">
      <c r="W305" t="str">
        <f t="shared" si="4"/>
        <v/>
      </c>
    </row>
    <row r="306" spans="23:23" x14ac:dyDescent="0.35">
      <c r="W306" t="str">
        <f t="shared" si="4"/>
        <v/>
      </c>
    </row>
    <row r="307" spans="23:23" x14ac:dyDescent="0.35">
      <c r="W307" t="str">
        <f t="shared" si="4"/>
        <v/>
      </c>
    </row>
    <row r="308" spans="23:23" x14ac:dyDescent="0.35">
      <c r="W308" t="str">
        <f t="shared" si="4"/>
        <v/>
      </c>
    </row>
    <row r="309" spans="23:23" x14ac:dyDescent="0.35">
      <c r="W309" t="str">
        <f t="shared" si="4"/>
        <v/>
      </c>
    </row>
    <row r="310" spans="23:23" x14ac:dyDescent="0.35">
      <c r="W310" t="str">
        <f t="shared" si="4"/>
        <v/>
      </c>
    </row>
    <row r="311" spans="23:23" x14ac:dyDescent="0.35">
      <c r="W311" t="str">
        <f t="shared" si="4"/>
        <v/>
      </c>
    </row>
    <row r="312" spans="23:23" x14ac:dyDescent="0.35">
      <c r="W312" t="str">
        <f t="shared" si="4"/>
        <v/>
      </c>
    </row>
    <row r="313" spans="23:23" x14ac:dyDescent="0.35">
      <c r="W313" t="str">
        <f t="shared" si="4"/>
        <v/>
      </c>
    </row>
    <row r="314" spans="23:23" x14ac:dyDescent="0.35">
      <c r="W314" t="str">
        <f t="shared" si="4"/>
        <v/>
      </c>
    </row>
    <row r="315" spans="23:23" x14ac:dyDescent="0.35">
      <c r="W315" t="str">
        <f t="shared" si="4"/>
        <v/>
      </c>
    </row>
    <row r="316" spans="23:23" x14ac:dyDescent="0.35">
      <c r="W316" t="str">
        <f t="shared" si="4"/>
        <v/>
      </c>
    </row>
    <row r="317" spans="23:23" x14ac:dyDescent="0.35">
      <c r="W317" t="str">
        <f t="shared" si="4"/>
        <v/>
      </c>
    </row>
    <row r="318" spans="23:23" x14ac:dyDescent="0.35">
      <c r="W318" t="str">
        <f t="shared" si="4"/>
        <v/>
      </c>
    </row>
    <row r="319" spans="23:23" x14ac:dyDescent="0.35">
      <c r="W319" t="str">
        <f t="shared" si="4"/>
        <v/>
      </c>
    </row>
    <row r="320" spans="23:23" x14ac:dyDescent="0.35">
      <c r="W320" t="str">
        <f t="shared" si="4"/>
        <v/>
      </c>
    </row>
    <row r="321" spans="23:23" x14ac:dyDescent="0.35">
      <c r="W321" t="str">
        <f t="shared" si="4"/>
        <v/>
      </c>
    </row>
    <row r="322" spans="23:23" x14ac:dyDescent="0.35">
      <c r="W322" t="str">
        <f t="shared" ref="W322:W385" si="5">IF(P322="","",YEAR(P322))</f>
        <v/>
      </c>
    </row>
    <row r="323" spans="23:23" x14ac:dyDescent="0.35">
      <c r="W323" t="str">
        <f t="shared" si="5"/>
        <v/>
      </c>
    </row>
    <row r="324" spans="23:23" x14ac:dyDescent="0.35">
      <c r="W324" t="str">
        <f t="shared" si="5"/>
        <v/>
      </c>
    </row>
    <row r="325" spans="23:23" x14ac:dyDescent="0.35">
      <c r="W325" t="str">
        <f t="shared" si="5"/>
        <v/>
      </c>
    </row>
    <row r="326" spans="23:23" x14ac:dyDescent="0.35">
      <c r="W326" t="str">
        <f t="shared" si="5"/>
        <v/>
      </c>
    </row>
    <row r="327" spans="23:23" x14ac:dyDescent="0.35">
      <c r="W327" t="str">
        <f t="shared" si="5"/>
        <v/>
      </c>
    </row>
    <row r="328" spans="23:23" x14ac:dyDescent="0.35">
      <c r="W328" t="str">
        <f t="shared" si="5"/>
        <v/>
      </c>
    </row>
    <row r="329" spans="23:23" x14ac:dyDescent="0.35">
      <c r="W329" t="str">
        <f t="shared" si="5"/>
        <v/>
      </c>
    </row>
    <row r="330" spans="23:23" x14ac:dyDescent="0.35">
      <c r="W330" t="str">
        <f t="shared" si="5"/>
        <v/>
      </c>
    </row>
    <row r="331" spans="23:23" x14ac:dyDescent="0.35">
      <c r="W331" t="str">
        <f t="shared" si="5"/>
        <v/>
      </c>
    </row>
    <row r="332" spans="23:23" x14ac:dyDescent="0.35">
      <c r="W332" t="str">
        <f t="shared" si="5"/>
        <v/>
      </c>
    </row>
    <row r="333" spans="23:23" x14ac:dyDescent="0.35">
      <c r="W333" t="str">
        <f t="shared" si="5"/>
        <v/>
      </c>
    </row>
    <row r="334" spans="23:23" x14ac:dyDescent="0.35">
      <c r="W334" t="str">
        <f t="shared" si="5"/>
        <v/>
      </c>
    </row>
    <row r="335" spans="23:23" x14ac:dyDescent="0.35">
      <c r="W335" t="str">
        <f t="shared" si="5"/>
        <v/>
      </c>
    </row>
    <row r="336" spans="23:23" x14ac:dyDescent="0.35">
      <c r="W336" t="str">
        <f t="shared" si="5"/>
        <v/>
      </c>
    </row>
    <row r="337" spans="23:23" x14ac:dyDescent="0.35">
      <c r="W337" t="str">
        <f t="shared" si="5"/>
        <v/>
      </c>
    </row>
    <row r="338" spans="23:23" x14ac:dyDescent="0.35">
      <c r="W338" t="str">
        <f t="shared" si="5"/>
        <v/>
      </c>
    </row>
    <row r="339" spans="23:23" x14ac:dyDescent="0.35">
      <c r="W339" t="str">
        <f t="shared" si="5"/>
        <v/>
      </c>
    </row>
    <row r="340" spans="23:23" x14ac:dyDescent="0.35">
      <c r="W340" t="str">
        <f t="shared" si="5"/>
        <v/>
      </c>
    </row>
    <row r="341" spans="23:23" x14ac:dyDescent="0.35">
      <c r="W341" t="str">
        <f t="shared" si="5"/>
        <v/>
      </c>
    </row>
    <row r="342" spans="23:23" x14ac:dyDescent="0.35">
      <c r="W342" t="str">
        <f t="shared" si="5"/>
        <v/>
      </c>
    </row>
    <row r="343" spans="23:23" x14ac:dyDescent="0.35">
      <c r="W343" t="str">
        <f t="shared" si="5"/>
        <v/>
      </c>
    </row>
    <row r="344" spans="23:23" x14ac:dyDescent="0.35">
      <c r="W344" t="str">
        <f t="shared" si="5"/>
        <v/>
      </c>
    </row>
    <row r="345" spans="23:23" x14ac:dyDescent="0.35">
      <c r="W345" t="str">
        <f t="shared" si="5"/>
        <v/>
      </c>
    </row>
    <row r="346" spans="23:23" x14ac:dyDescent="0.35">
      <c r="W346" t="str">
        <f t="shared" si="5"/>
        <v/>
      </c>
    </row>
    <row r="347" spans="23:23" x14ac:dyDescent="0.35">
      <c r="W347" t="str">
        <f t="shared" si="5"/>
        <v/>
      </c>
    </row>
    <row r="348" spans="23:23" x14ac:dyDescent="0.35">
      <c r="W348" t="str">
        <f t="shared" si="5"/>
        <v/>
      </c>
    </row>
    <row r="349" spans="23:23" x14ac:dyDescent="0.35">
      <c r="W349" t="str">
        <f t="shared" si="5"/>
        <v/>
      </c>
    </row>
    <row r="350" spans="23:23" x14ac:dyDescent="0.35">
      <c r="W350" t="str">
        <f t="shared" si="5"/>
        <v/>
      </c>
    </row>
    <row r="351" spans="23:23" x14ac:dyDescent="0.35">
      <c r="W351" t="str">
        <f t="shared" si="5"/>
        <v/>
      </c>
    </row>
    <row r="352" spans="23:23" x14ac:dyDescent="0.35">
      <c r="W352" t="str">
        <f t="shared" si="5"/>
        <v/>
      </c>
    </row>
    <row r="353" spans="23:23" x14ac:dyDescent="0.35">
      <c r="W353" t="str">
        <f t="shared" si="5"/>
        <v/>
      </c>
    </row>
    <row r="354" spans="23:23" x14ac:dyDescent="0.35">
      <c r="W354" t="str">
        <f t="shared" si="5"/>
        <v/>
      </c>
    </row>
    <row r="355" spans="23:23" x14ac:dyDescent="0.35">
      <c r="W355" t="str">
        <f t="shared" si="5"/>
        <v/>
      </c>
    </row>
    <row r="356" spans="23:23" x14ac:dyDescent="0.35">
      <c r="W356" t="str">
        <f t="shared" si="5"/>
        <v/>
      </c>
    </row>
    <row r="357" spans="23:23" x14ac:dyDescent="0.35">
      <c r="W357" t="str">
        <f t="shared" si="5"/>
        <v/>
      </c>
    </row>
    <row r="358" spans="23:23" x14ac:dyDescent="0.35">
      <c r="W358" t="str">
        <f t="shared" si="5"/>
        <v/>
      </c>
    </row>
    <row r="359" spans="23:23" x14ac:dyDescent="0.35">
      <c r="W359" t="str">
        <f t="shared" si="5"/>
        <v/>
      </c>
    </row>
    <row r="360" spans="23:23" x14ac:dyDescent="0.35">
      <c r="W360" t="str">
        <f t="shared" si="5"/>
        <v/>
      </c>
    </row>
    <row r="361" spans="23:23" x14ac:dyDescent="0.35">
      <c r="W361" t="str">
        <f t="shared" si="5"/>
        <v/>
      </c>
    </row>
    <row r="362" spans="23:23" x14ac:dyDescent="0.35">
      <c r="W362" t="str">
        <f t="shared" si="5"/>
        <v/>
      </c>
    </row>
    <row r="363" spans="23:23" x14ac:dyDescent="0.35">
      <c r="W363" t="str">
        <f t="shared" si="5"/>
        <v/>
      </c>
    </row>
    <row r="364" spans="23:23" x14ac:dyDescent="0.35">
      <c r="W364" t="str">
        <f t="shared" si="5"/>
        <v/>
      </c>
    </row>
    <row r="365" spans="23:23" x14ac:dyDescent="0.35">
      <c r="W365" t="str">
        <f t="shared" si="5"/>
        <v/>
      </c>
    </row>
    <row r="366" spans="23:23" x14ac:dyDescent="0.35">
      <c r="W366" t="str">
        <f t="shared" si="5"/>
        <v/>
      </c>
    </row>
    <row r="367" spans="23:23" x14ac:dyDescent="0.35">
      <c r="W367" t="str">
        <f t="shared" si="5"/>
        <v/>
      </c>
    </row>
    <row r="368" spans="23:23" x14ac:dyDescent="0.35">
      <c r="W368" t="str">
        <f t="shared" si="5"/>
        <v/>
      </c>
    </row>
    <row r="369" spans="23:23" x14ac:dyDescent="0.35">
      <c r="W369" t="str">
        <f t="shared" si="5"/>
        <v/>
      </c>
    </row>
    <row r="370" spans="23:23" x14ac:dyDescent="0.35">
      <c r="W370" t="str">
        <f t="shared" si="5"/>
        <v/>
      </c>
    </row>
    <row r="371" spans="23:23" x14ac:dyDescent="0.35">
      <c r="W371" t="str">
        <f t="shared" si="5"/>
        <v/>
      </c>
    </row>
    <row r="372" spans="23:23" x14ac:dyDescent="0.35">
      <c r="W372" t="str">
        <f t="shared" si="5"/>
        <v/>
      </c>
    </row>
    <row r="373" spans="23:23" x14ac:dyDescent="0.35">
      <c r="W373" t="str">
        <f t="shared" si="5"/>
        <v/>
      </c>
    </row>
    <row r="374" spans="23:23" x14ac:dyDescent="0.35">
      <c r="W374" t="str">
        <f t="shared" si="5"/>
        <v/>
      </c>
    </row>
    <row r="375" spans="23:23" x14ac:dyDescent="0.35">
      <c r="W375" t="str">
        <f t="shared" si="5"/>
        <v/>
      </c>
    </row>
    <row r="376" spans="23:23" x14ac:dyDescent="0.35">
      <c r="W376" t="str">
        <f t="shared" si="5"/>
        <v/>
      </c>
    </row>
    <row r="377" spans="23:23" x14ac:dyDescent="0.35">
      <c r="W377" t="str">
        <f t="shared" si="5"/>
        <v/>
      </c>
    </row>
    <row r="378" spans="23:23" x14ac:dyDescent="0.35">
      <c r="W378" t="str">
        <f t="shared" si="5"/>
        <v/>
      </c>
    </row>
    <row r="379" spans="23:23" x14ac:dyDescent="0.35">
      <c r="W379" t="str">
        <f t="shared" si="5"/>
        <v/>
      </c>
    </row>
    <row r="380" spans="23:23" x14ac:dyDescent="0.35">
      <c r="W380" t="str">
        <f t="shared" si="5"/>
        <v/>
      </c>
    </row>
    <row r="381" spans="23:23" x14ac:dyDescent="0.35">
      <c r="W381" t="str">
        <f t="shared" si="5"/>
        <v/>
      </c>
    </row>
    <row r="382" spans="23:23" x14ac:dyDescent="0.35">
      <c r="W382" t="str">
        <f t="shared" si="5"/>
        <v/>
      </c>
    </row>
    <row r="383" spans="23:23" x14ac:dyDescent="0.35">
      <c r="W383" t="str">
        <f t="shared" si="5"/>
        <v/>
      </c>
    </row>
    <row r="384" spans="23:23" x14ac:dyDescent="0.35">
      <c r="W384" t="str">
        <f t="shared" si="5"/>
        <v/>
      </c>
    </row>
    <row r="385" spans="23:23" x14ac:dyDescent="0.35">
      <c r="W385" t="str">
        <f t="shared" si="5"/>
        <v/>
      </c>
    </row>
    <row r="386" spans="23:23" x14ac:dyDescent="0.35">
      <c r="W386" t="str">
        <f t="shared" ref="W386:W449" si="6">IF(P386="","",YEAR(P386))</f>
        <v/>
      </c>
    </row>
    <row r="387" spans="23:23" x14ac:dyDescent="0.35">
      <c r="W387" t="str">
        <f t="shared" si="6"/>
        <v/>
      </c>
    </row>
    <row r="388" spans="23:23" x14ac:dyDescent="0.35">
      <c r="W388" t="str">
        <f t="shared" si="6"/>
        <v/>
      </c>
    </row>
    <row r="389" spans="23:23" x14ac:dyDescent="0.35">
      <c r="W389" t="str">
        <f t="shared" si="6"/>
        <v/>
      </c>
    </row>
    <row r="390" spans="23:23" x14ac:dyDescent="0.35">
      <c r="W390" t="str">
        <f t="shared" si="6"/>
        <v/>
      </c>
    </row>
    <row r="391" spans="23:23" x14ac:dyDescent="0.35">
      <c r="W391" t="str">
        <f t="shared" si="6"/>
        <v/>
      </c>
    </row>
    <row r="392" spans="23:23" x14ac:dyDescent="0.35">
      <c r="W392" t="str">
        <f t="shared" si="6"/>
        <v/>
      </c>
    </row>
    <row r="393" spans="23:23" x14ac:dyDescent="0.35">
      <c r="W393" t="str">
        <f t="shared" si="6"/>
        <v/>
      </c>
    </row>
    <row r="394" spans="23:23" x14ac:dyDescent="0.35">
      <c r="W394" t="str">
        <f t="shared" si="6"/>
        <v/>
      </c>
    </row>
    <row r="395" spans="23:23" x14ac:dyDescent="0.35">
      <c r="W395" t="str">
        <f t="shared" si="6"/>
        <v/>
      </c>
    </row>
    <row r="396" spans="23:23" x14ac:dyDescent="0.35">
      <c r="W396" t="str">
        <f t="shared" si="6"/>
        <v/>
      </c>
    </row>
    <row r="397" spans="23:23" x14ac:dyDescent="0.35">
      <c r="W397" t="str">
        <f t="shared" si="6"/>
        <v/>
      </c>
    </row>
    <row r="398" spans="23:23" x14ac:dyDescent="0.35">
      <c r="W398" t="str">
        <f t="shared" si="6"/>
        <v/>
      </c>
    </row>
    <row r="399" spans="23:23" x14ac:dyDescent="0.35">
      <c r="W399" t="str">
        <f t="shared" si="6"/>
        <v/>
      </c>
    </row>
    <row r="400" spans="23:23" x14ac:dyDescent="0.35">
      <c r="W400" t="str">
        <f t="shared" si="6"/>
        <v/>
      </c>
    </row>
    <row r="401" spans="23:23" x14ac:dyDescent="0.35">
      <c r="W401" t="str">
        <f t="shared" si="6"/>
        <v/>
      </c>
    </row>
    <row r="402" spans="23:23" x14ac:dyDescent="0.35">
      <c r="W402" t="str">
        <f t="shared" si="6"/>
        <v/>
      </c>
    </row>
    <row r="403" spans="23:23" x14ac:dyDescent="0.35">
      <c r="W403" t="str">
        <f t="shared" si="6"/>
        <v/>
      </c>
    </row>
    <row r="404" spans="23:23" x14ac:dyDescent="0.35">
      <c r="W404" t="str">
        <f t="shared" si="6"/>
        <v/>
      </c>
    </row>
    <row r="405" spans="23:23" x14ac:dyDescent="0.35">
      <c r="W405" t="str">
        <f t="shared" si="6"/>
        <v/>
      </c>
    </row>
    <row r="406" spans="23:23" x14ac:dyDescent="0.35">
      <c r="W406" t="str">
        <f t="shared" si="6"/>
        <v/>
      </c>
    </row>
    <row r="407" spans="23:23" x14ac:dyDescent="0.35">
      <c r="W407" t="str">
        <f t="shared" si="6"/>
        <v/>
      </c>
    </row>
    <row r="408" spans="23:23" x14ac:dyDescent="0.35">
      <c r="W408" t="str">
        <f t="shared" si="6"/>
        <v/>
      </c>
    </row>
    <row r="409" spans="23:23" x14ac:dyDescent="0.35">
      <c r="W409" t="str">
        <f t="shared" si="6"/>
        <v/>
      </c>
    </row>
    <row r="410" spans="23:23" x14ac:dyDescent="0.35">
      <c r="W410" t="str">
        <f t="shared" si="6"/>
        <v/>
      </c>
    </row>
    <row r="411" spans="23:23" x14ac:dyDescent="0.35">
      <c r="W411" t="str">
        <f t="shared" si="6"/>
        <v/>
      </c>
    </row>
    <row r="412" spans="23:23" x14ac:dyDescent="0.35">
      <c r="W412" t="str">
        <f t="shared" si="6"/>
        <v/>
      </c>
    </row>
    <row r="413" spans="23:23" x14ac:dyDescent="0.35">
      <c r="W413" t="str">
        <f t="shared" si="6"/>
        <v/>
      </c>
    </row>
    <row r="414" spans="23:23" x14ac:dyDescent="0.35">
      <c r="W414" t="str">
        <f t="shared" si="6"/>
        <v/>
      </c>
    </row>
    <row r="415" spans="23:23" x14ac:dyDescent="0.35">
      <c r="W415" t="str">
        <f t="shared" si="6"/>
        <v/>
      </c>
    </row>
    <row r="416" spans="23:23" x14ac:dyDescent="0.35">
      <c r="W416" t="str">
        <f t="shared" si="6"/>
        <v/>
      </c>
    </row>
    <row r="417" spans="23:23" x14ac:dyDescent="0.35">
      <c r="W417" t="str">
        <f t="shared" si="6"/>
        <v/>
      </c>
    </row>
    <row r="418" spans="23:23" x14ac:dyDescent="0.35">
      <c r="W418" t="str">
        <f t="shared" si="6"/>
        <v/>
      </c>
    </row>
    <row r="419" spans="23:23" x14ac:dyDescent="0.35">
      <c r="W419" t="str">
        <f t="shared" si="6"/>
        <v/>
      </c>
    </row>
    <row r="420" spans="23:23" x14ac:dyDescent="0.35">
      <c r="W420" t="str">
        <f t="shared" si="6"/>
        <v/>
      </c>
    </row>
    <row r="421" spans="23:23" x14ac:dyDescent="0.35">
      <c r="W421" t="str">
        <f t="shared" si="6"/>
        <v/>
      </c>
    </row>
    <row r="422" spans="23:23" x14ac:dyDescent="0.35">
      <c r="W422" t="str">
        <f t="shared" si="6"/>
        <v/>
      </c>
    </row>
    <row r="423" spans="23:23" x14ac:dyDescent="0.35">
      <c r="W423" t="str">
        <f t="shared" si="6"/>
        <v/>
      </c>
    </row>
    <row r="424" spans="23:23" x14ac:dyDescent="0.35">
      <c r="W424" t="str">
        <f t="shared" si="6"/>
        <v/>
      </c>
    </row>
    <row r="425" spans="23:23" x14ac:dyDescent="0.35">
      <c r="W425" t="str">
        <f t="shared" si="6"/>
        <v/>
      </c>
    </row>
    <row r="426" spans="23:23" x14ac:dyDescent="0.35">
      <c r="W426" t="str">
        <f t="shared" si="6"/>
        <v/>
      </c>
    </row>
    <row r="427" spans="23:23" x14ac:dyDescent="0.35">
      <c r="W427" t="str">
        <f t="shared" si="6"/>
        <v/>
      </c>
    </row>
    <row r="428" spans="23:23" x14ac:dyDescent="0.35">
      <c r="W428" t="str">
        <f t="shared" si="6"/>
        <v/>
      </c>
    </row>
    <row r="429" spans="23:23" x14ac:dyDescent="0.35">
      <c r="W429" t="str">
        <f t="shared" si="6"/>
        <v/>
      </c>
    </row>
    <row r="430" spans="23:23" x14ac:dyDescent="0.35">
      <c r="W430" t="str">
        <f t="shared" si="6"/>
        <v/>
      </c>
    </row>
    <row r="431" spans="23:23" x14ac:dyDescent="0.35">
      <c r="W431" t="str">
        <f t="shared" si="6"/>
        <v/>
      </c>
    </row>
    <row r="432" spans="23:23" x14ac:dyDescent="0.35">
      <c r="W432" t="str">
        <f t="shared" si="6"/>
        <v/>
      </c>
    </row>
    <row r="433" spans="23:23" x14ac:dyDescent="0.35">
      <c r="W433" t="str">
        <f t="shared" si="6"/>
        <v/>
      </c>
    </row>
    <row r="434" spans="23:23" x14ac:dyDescent="0.35">
      <c r="W434" t="str">
        <f t="shared" si="6"/>
        <v/>
      </c>
    </row>
    <row r="435" spans="23:23" x14ac:dyDescent="0.35">
      <c r="W435" t="str">
        <f t="shared" si="6"/>
        <v/>
      </c>
    </row>
    <row r="436" spans="23:23" x14ac:dyDescent="0.35">
      <c r="W436" t="str">
        <f t="shared" si="6"/>
        <v/>
      </c>
    </row>
    <row r="437" spans="23:23" x14ac:dyDescent="0.35">
      <c r="W437" t="str">
        <f t="shared" si="6"/>
        <v/>
      </c>
    </row>
    <row r="438" spans="23:23" x14ac:dyDescent="0.35">
      <c r="W438" t="str">
        <f t="shared" si="6"/>
        <v/>
      </c>
    </row>
    <row r="439" spans="23:23" x14ac:dyDescent="0.35">
      <c r="W439" t="str">
        <f t="shared" si="6"/>
        <v/>
      </c>
    </row>
    <row r="440" spans="23:23" x14ac:dyDescent="0.35">
      <c r="W440" t="str">
        <f t="shared" si="6"/>
        <v/>
      </c>
    </row>
    <row r="441" spans="23:23" x14ac:dyDescent="0.35">
      <c r="W441" t="str">
        <f t="shared" si="6"/>
        <v/>
      </c>
    </row>
    <row r="442" spans="23:23" x14ac:dyDescent="0.35">
      <c r="W442" t="str">
        <f t="shared" si="6"/>
        <v/>
      </c>
    </row>
    <row r="443" spans="23:23" x14ac:dyDescent="0.35">
      <c r="W443" t="str">
        <f t="shared" si="6"/>
        <v/>
      </c>
    </row>
    <row r="444" spans="23:23" x14ac:dyDescent="0.35">
      <c r="W444" t="str">
        <f t="shared" si="6"/>
        <v/>
      </c>
    </row>
    <row r="445" spans="23:23" x14ac:dyDescent="0.35">
      <c r="W445" t="str">
        <f t="shared" si="6"/>
        <v/>
      </c>
    </row>
    <row r="446" spans="23:23" x14ac:dyDescent="0.35">
      <c r="W446" t="str">
        <f t="shared" si="6"/>
        <v/>
      </c>
    </row>
    <row r="447" spans="23:23" x14ac:dyDescent="0.35">
      <c r="W447" t="str">
        <f t="shared" si="6"/>
        <v/>
      </c>
    </row>
    <row r="448" spans="23:23" x14ac:dyDescent="0.35">
      <c r="W448" t="str">
        <f t="shared" si="6"/>
        <v/>
      </c>
    </row>
    <row r="449" spans="23:23" x14ac:dyDescent="0.35">
      <c r="W449" t="str">
        <f t="shared" si="6"/>
        <v/>
      </c>
    </row>
    <row r="450" spans="23:23" x14ac:dyDescent="0.35">
      <c r="W450" t="str">
        <f t="shared" ref="W450:W513" si="7">IF(P450="","",YEAR(P450))</f>
        <v/>
      </c>
    </row>
    <row r="451" spans="23:23" x14ac:dyDescent="0.35">
      <c r="W451" t="str">
        <f t="shared" si="7"/>
        <v/>
      </c>
    </row>
    <row r="452" spans="23:23" x14ac:dyDescent="0.35">
      <c r="W452" t="str">
        <f t="shared" si="7"/>
        <v/>
      </c>
    </row>
    <row r="453" spans="23:23" x14ac:dyDescent="0.35">
      <c r="W453" t="str">
        <f t="shared" si="7"/>
        <v/>
      </c>
    </row>
    <row r="454" spans="23:23" x14ac:dyDescent="0.35">
      <c r="W454" t="str">
        <f t="shared" si="7"/>
        <v/>
      </c>
    </row>
    <row r="455" spans="23:23" x14ac:dyDescent="0.35">
      <c r="W455" t="str">
        <f t="shared" si="7"/>
        <v/>
      </c>
    </row>
    <row r="456" spans="23:23" x14ac:dyDescent="0.35">
      <c r="W456" t="str">
        <f t="shared" si="7"/>
        <v/>
      </c>
    </row>
    <row r="457" spans="23:23" x14ac:dyDescent="0.35">
      <c r="W457" t="str">
        <f t="shared" si="7"/>
        <v/>
      </c>
    </row>
    <row r="458" spans="23:23" x14ac:dyDescent="0.35">
      <c r="W458" t="str">
        <f t="shared" si="7"/>
        <v/>
      </c>
    </row>
    <row r="459" spans="23:23" x14ac:dyDescent="0.35">
      <c r="W459" t="str">
        <f t="shared" si="7"/>
        <v/>
      </c>
    </row>
    <row r="460" spans="23:23" x14ac:dyDescent="0.35">
      <c r="W460" t="str">
        <f t="shared" si="7"/>
        <v/>
      </c>
    </row>
    <row r="461" spans="23:23" x14ac:dyDescent="0.35">
      <c r="W461" t="str">
        <f t="shared" si="7"/>
        <v/>
      </c>
    </row>
    <row r="462" spans="23:23" x14ac:dyDescent="0.35">
      <c r="W462" t="str">
        <f t="shared" si="7"/>
        <v/>
      </c>
    </row>
    <row r="463" spans="23:23" x14ac:dyDescent="0.35">
      <c r="W463" t="str">
        <f t="shared" si="7"/>
        <v/>
      </c>
    </row>
    <row r="464" spans="23:23" x14ac:dyDescent="0.35">
      <c r="W464" t="str">
        <f t="shared" si="7"/>
        <v/>
      </c>
    </row>
    <row r="465" spans="23:23" x14ac:dyDescent="0.35">
      <c r="W465" t="str">
        <f t="shared" si="7"/>
        <v/>
      </c>
    </row>
    <row r="466" spans="23:23" x14ac:dyDescent="0.35">
      <c r="W466" t="str">
        <f t="shared" si="7"/>
        <v/>
      </c>
    </row>
    <row r="467" spans="23:23" x14ac:dyDescent="0.35">
      <c r="W467" t="str">
        <f t="shared" si="7"/>
        <v/>
      </c>
    </row>
    <row r="468" spans="23:23" x14ac:dyDescent="0.35">
      <c r="W468" t="str">
        <f t="shared" si="7"/>
        <v/>
      </c>
    </row>
    <row r="469" spans="23:23" x14ac:dyDescent="0.35">
      <c r="W469" t="str">
        <f t="shared" si="7"/>
        <v/>
      </c>
    </row>
    <row r="470" spans="23:23" x14ac:dyDescent="0.35">
      <c r="W470" t="str">
        <f t="shared" si="7"/>
        <v/>
      </c>
    </row>
    <row r="471" spans="23:23" x14ac:dyDescent="0.35">
      <c r="W471" t="str">
        <f t="shared" si="7"/>
        <v/>
      </c>
    </row>
    <row r="472" spans="23:23" x14ac:dyDescent="0.35">
      <c r="W472" t="str">
        <f t="shared" si="7"/>
        <v/>
      </c>
    </row>
    <row r="473" spans="23:23" x14ac:dyDescent="0.35">
      <c r="W473" t="str">
        <f t="shared" si="7"/>
        <v/>
      </c>
    </row>
    <row r="474" spans="23:23" x14ac:dyDescent="0.35">
      <c r="W474" t="str">
        <f t="shared" si="7"/>
        <v/>
      </c>
    </row>
    <row r="475" spans="23:23" x14ac:dyDescent="0.35">
      <c r="W475" t="str">
        <f t="shared" si="7"/>
        <v/>
      </c>
    </row>
    <row r="476" spans="23:23" x14ac:dyDescent="0.35">
      <c r="W476" t="str">
        <f t="shared" si="7"/>
        <v/>
      </c>
    </row>
    <row r="477" spans="23:23" x14ac:dyDescent="0.35">
      <c r="W477" t="str">
        <f t="shared" si="7"/>
        <v/>
      </c>
    </row>
    <row r="478" spans="23:23" x14ac:dyDescent="0.35">
      <c r="W478" t="str">
        <f t="shared" si="7"/>
        <v/>
      </c>
    </row>
    <row r="479" spans="23:23" x14ac:dyDescent="0.35">
      <c r="W479" t="str">
        <f t="shared" si="7"/>
        <v/>
      </c>
    </row>
    <row r="480" spans="23:23" x14ac:dyDescent="0.35">
      <c r="W480" t="str">
        <f t="shared" si="7"/>
        <v/>
      </c>
    </row>
    <row r="481" spans="23:23" x14ac:dyDescent="0.35">
      <c r="W481" t="str">
        <f t="shared" si="7"/>
        <v/>
      </c>
    </row>
    <row r="482" spans="23:23" x14ac:dyDescent="0.35">
      <c r="W482" t="str">
        <f t="shared" si="7"/>
        <v/>
      </c>
    </row>
    <row r="483" spans="23:23" x14ac:dyDescent="0.35">
      <c r="W483" t="str">
        <f t="shared" si="7"/>
        <v/>
      </c>
    </row>
    <row r="484" spans="23:23" x14ac:dyDescent="0.35">
      <c r="W484" t="str">
        <f t="shared" si="7"/>
        <v/>
      </c>
    </row>
    <row r="485" spans="23:23" x14ac:dyDescent="0.35">
      <c r="W485" t="str">
        <f t="shared" si="7"/>
        <v/>
      </c>
    </row>
    <row r="486" spans="23:23" x14ac:dyDescent="0.35">
      <c r="W486" t="str">
        <f t="shared" si="7"/>
        <v/>
      </c>
    </row>
    <row r="487" spans="23:23" x14ac:dyDescent="0.35">
      <c r="W487" t="str">
        <f t="shared" si="7"/>
        <v/>
      </c>
    </row>
    <row r="488" spans="23:23" x14ac:dyDescent="0.35">
      <c r="W488" t="str">
        <f t="shared" si="7"/>
        <v/>
      </c>
    </row>
    <row r="489" spans="23:23" x14ac:dyDescent="0.35">
      <c r="W489" t="str">
        <f t="shared" si="7"/>
        <v/>
      </c>
    </row>
    <row r="490" spans="23:23" x14ac:dyDescent="0.35">
      <c r="W490" t="str">
        <f t="shared" si="7"/>
        <v/>
      </c>
    </row>
    <row r="491" spans="23:23" x14ac:dyDescent="0.35">
      <c r="W491" t="str">
        <f t="shared" si="7"/>
        <v/>
      </c>
    </row>
    <row r="492" spans="23:23" x14ac:dyDescent="0.35">
      <c r="W492" t="str">
        <f t="shared" si="7"/>
        <v/>
      </c>
    </row>
    <row r="493" spans="23:23" x14ac:dyDescent="0.35">
      <c r="W493" t="str">
        <f t="shared" si="7"/>
        <v/>
      </c>
    </row>
    <row r="494" spans="23:23" x14ac:dyDescent="0.35">
      <c r="W494" t="str">
        <f t="shared" si="7"/>
        <v/>
      </c>
    </row>
    <row r="495" spans="23:23" x14ac:dyDescent="0.35">
      <c r="W495" t="str">
        <f t="shared" si="7"/>
        <v/>
      </c>
    </row>
    <row r="496" spans="23:23" x14ac:dyDescent="0.35">
      <c r="W496" t="str">
        <f t="shared" si="7"/>
        <v/>
      </c>
    </row>
    <row r="497" spans="23:23" x14ac:dyDescent="0.35">
      <c r="W497" t="str">
        <f t="shared" si="7"/>
        <v/>
      </c>
    </row>
    <row r="498" spans="23:23" x14ac:dyDescent="0.35">
      <c r="W498" t="str">
        <f t="shared" si="7"/>
        <v/>
      </c>
    </row>
    <row r="499" spans="23:23" x14ac:dyDescent="0.35">
      <c r="W499" t="str">
        <f t="shared" si="7"/>
        <v/>
      </c>
    </row>
    <row r="500" spans="23:23" x14ac:dyDescent="0.35">
      <c r="W500" t="str">
        <f t="shared" si="7"/>
        <v/>
      </c>
    </row>
    <row r="501" spans="23:23" x14ac:dyDescent="0.35">
      <c r="W501" t="str">
        <f t="shared" si="7"/>
        <v/>
      </c>
    </row>
    <row r="502" spans="23:23" x14ac:dyDescent="0.35">
      <c r="W502" t="str">
        <f t="shared" si="7"/>
        <v/>
      </c>
    </row>
    <row r="503" spans="23:23" x14ac:dyDescent="0.35">
      <c r="W503" t="str">
        <f t="shared" si="7"/>
        <v/>
      </c>
    </row>
    <row r="504" spans="23:23" x14ac:dyDescent="0.35">
      <c r="W504" t="str">
        <f t="shared" si="7"/>
        <v/>
      </c>
    </row>
    <row r="505" spans="23:23" x14ac:dyDescent="0.35">
      <c r="W505" t="str">
        <f t="shared" si="7"/>
        <v/>
      </c>
    </row>
    <row r="506" spans="23:23" x14ac:dyDescent="0.35">
      <c r="W506" t="str">
        <f t="shared" si="7"/>
        <v/>
      </c>
    </row>
    <row r="507" spans="23:23" x14ac:dyDescent="0.35">
      <c r="W507" t="str">
        <f t="shared" si="7"/>
        <v/>
      </c>
    </row>
    <row r="508" spans="23:23" x14ac:dyDescent="0.35">
      <c r="W508" t="str">
        <f t="shared" si="7"/>
        <v/>
      </c>
    </row>
    <row r="509" spans="23:23" x14ac:dyDescent="0.35">
      <c r="W509" t="str">
        <f t="shared" si="7"/>
        <v/>
      </c>
    </row>
    <row r="510" spans="23:23" x14ac:dyDescent="0.35">
      <c r="W510" t="str">
        <f t="shared" si="7"/>
        <v/>
      </c>
    </row>
    <row r="511" spans="23:23" x14ac:dyDescent="0.35">
      <c r="W511" t="str">
        <f t="shared" si="7"/>
        <v/>
      </c>
    </row>
    <row r="512" spans="23:23" x14ac:dyDescent="0.35">
      <c r="W512" t="str">
        <f t="shared" si="7"/>
        <v/>
      </c>
    </row>
    <row r="513" spans="23:23" x14ac:dyDescent="0.35">
      <c r="W513" t="str">
        <f t="shared" si="7"/>
        <v/>
      </c>
    </row>
    <row r="514" spans="23:23" x14ac:dyDescent="0.35">
      <c r="W514" t="str">
        <f t="shared" ref="W514:W577" si="8">IF(P514="","",YEAR(P514))</f>
        <v/>
      </c>
    </row>
    <row r="515" spans="23:23" x14ac:dyDescent="0.35">
      <c r="W515" t="str">
        <f t="shared" si="8"/>
        <v/>
      </c>
    </row>
    <row r="516" spans="23:23" x14ac:dyDescent="0.35">
      <c r="W516" t="str">
        <f t="shared" si="8"/>
        <v/>
      </c>
    </row>
    <row r="517" spans="23:23" x14ac:dyDescent="0.35">
      <c r="W517" t="str">
        <f t="shared" si="8"/>
        <v/>
      </c>
    </row>
    <row r="518" spans="23:23" x14ac:dyDescent="0.35">
      <c r="W518" t="str">
        <f t="shared" si="8"/>
        <v/>
      </c>
    </row>
    <row r="519" spans="23:23" x14ac:dyDescent="0.35">
      <c r="W519" t="str">
        <f t="shared" si="8"/>
        <v/>
      </c>
    </row>
    <row r="520" spans="23:23" x14ac:dyDescent="0.35">
      <c r="W520" t="str">
        <f t="shared" si="8"/>
        <v/>
      </c>
    </row>
    <row r="521" spans="23:23" x14ac:dyDescent="0.35">
      <c r="W521" t="str">
        <f t="shared" si="8"/>
        <v/>
      </c>
    </row>
    <row r="522" spans="23:23" x14ac:dyDescent="0.35">
      <c r="W522" t="str">
        <f t="shared" si="8"/>
        <v/>
      </c>
    </row>
    <row r="523" spans="23:23" x14ac:dyDescent="0.35">
      <c r="W523" t="str">
        <f t="shared" si="8"/>
        <v/>
      </c>
    </row>
    <row r="524" spans="23:23" x14ac:dyDescent="0.35">
      <c r="W524" t="str">
        <f t="shared" si="8"/>
        <v/>
      </c>
    </row>
    <row r="525" spans="23:23" x14ac:dyDescent="0.35">
      <c r="W525" t="str">
        <f t="shared" si="8"/>
        <v/>
      </c>
    </row>
    <row r="526" spans="23:23" x14ac:dyDescent="0.35">
      <c r="W526" t="str">
        <f t="shared" si="8"/>
        <v/>
      </c>
    </row>
    <row r="527" spans="23:23" x14ac:dyDescent="0.35">
      <c r="W527" t="str">
        <f t="shared" si="8"/>
        <v/>
      </c>
    </row>
    <row r="528" spans="23:23" x14ac:dyDescent="0.35">
      <c r="W528" t="str">
        <f t="shared" si="8"/>
        <v/>
      </c>
    </row>
    <row r="529" spans="23:23" x14ac:dyDescent="0.35">
      <c r="W529" t="str">
        <f t="shared" si="8"/>
        <v/>
      </c>
    </row>
    <row r="530" spans="23:23" x14ac:dyDescent="0.35">
      <c r="W530" t="str">
        <f t="shared" si="8"/>
        <v/>
      </c>
    </row>
    <row r="531" spans="23:23" x14ac:dyDescent="0.35">
      <c r="W531" t="str">
        <f t="shared" si="8"/>
        <v/>
      </c>
    </row>
    <row r="532" spans="23:23" x14ac:dyDescent="0.35">
      <c r="W532" t="str">
        <f t="shared" si="8"/>
        <v/>
      </c>
    </row>
    <row r="533" spans="23:23" x14ac:dyDescent="0.35">
      <c r="W533" t="str">
        <f t="shared" si="8"/>
        <v/>
      </c>
    </row>
    <row r="534" spans="23:23" x14ac:dyDescent="0.35">
      <c r="W534" t="str">
        <f t="shared" si="8"/>
        <v/>
      </c>
    </row>
    <row r="535" spans="23:23" x14ac:dyDescent="0.35">
      <c r="W535" t="str">
        <f t="shared" si="8"/>
        <v/>
      </c>
    </row>
    <row r="536" spans="23:23" x14ac:dyDescent="0.35">
      <c r="W536" t="str">
        <f t="shared" si="8"/>
        <v/>
      </c>
    </row>
    <row r="537" spans="23:23" x14ac:dyDescent="0.35">
      <c r="W537" t="str">
        <f t="shared" si="8"/>
        <v/>
      </c>
    </row>
    <row r="538" spans="23:23" x14ac:dyDescent="0.35">
      <c r="W538" t="str">
        <f t="shared" si="8"/>
        <v/>
      </c>
    </row>
    <row r="539" spans="23:23" x14ac:dyDescent="0.35">
      <c r="W539" t="str">
        <f t="shared" si="8"/>
        <v/>
      </c>
    </row>
    <row r="540" spans="23:23" x14ac:dyDescent="0.35">
      <c r="W540" t="str">
        <f t="shared" si="8"/>
        <v/>
      </c>
    </row>
    <row r="541" spans="23:23" x14ac:dyDescent="0.35">
      <c r="W541" t="str">
        <f t="shared" si="8"/>
        <v/>
      </c>
    </row>
    <row r="542" spans="23:23" x14ac:dyDescent="0.35">
      <c r="W542" t="str">
        <f t="shared" si="8"/>
        <v/>
      </c>
    </row>
    <row r="543" spans="23:23" x14ac:dyDescent="0.35">
      <c r="W543" t="str">
        <f t="shared" si="8"/>
        <v/>
      </c>
    </row>
    <row r="544" spans="23:23" x14ac:dyDescent="0.35">
      <c r="W544" t="str">
        <f t="shared" si="8"/>
        <v/>
      </c>
    </row>
    <row r="545" spans="23:23" x14ac:dyDescent="0.35">
      <c r="W545" t="str">
        <f t="shared" si="8"/>
        <v/>
      </c>
    </row>
    <row r="546" spans="23:23" x14ac:dyDescent="0.35">
      <c r="W546" t="str">
        <f t="shared" si="8"/>
        <v/>
      </c>
    </row>
    <row r="547" spans="23:23" x14ac:dyDescent="0.35">
      <c r="W547" t="str">
        <f t="shared" si="8"/>
        <v/>
      </c>
    </row>
    <row r="548" spans="23:23" x14ac:dyDescent="0.35">
      <c r="W548" t="str">
        <f t="shared" si="8"/>
        <v/>
      </c>
    </row>
    <row r="549" spans="23:23" x14ac:dyDescent="0.35">
      <c r="W549" t="str">
        <f t="shared" si="8"/>
        <v/>
      </c>
    </row>
    <row r="550" spans="23:23" x14ac:dyDescent="0.35">
      <c r="W550" t="str">
        <f t="shared" si="8"/>
        <v/>
      </c>
    </row>
    <row r="551" spans="23:23" x14ac:dyDescent="0.35">
      <c r="W551" t="str">
        <f t="shared" si="8"/>
        <v/>
      </c>
    </row>
    <row r="552" spans="23:23" x14ac:dyDescent="0.35">
      <c r="W552" t="str">
        <f t="shared" si="8"/>
        <v/>
      </c>
    </row>
    <row r="553" spans="23:23" x14ac:dyDescent="0.35">
      <c r="W553" t="str">
        <f t="shared" si="8"/>
        <v/>
      </c>
    </row>
    <row r="554" spans="23:23" x14ac:dyDescent="0.35">
      <c r="W554" t="str">
        <f t="shared" si="8"/>
        <v/>
      </c>
    </row>
    <row r="555" spans="23:23" x14ac:dyDescent="0.35">
      <c r="W555" t="str">
        <f t="shared" si="8"/>
        <v/>
      </c>
    </row>
    <row r="556" spans="23:23" x14ac:dyDescent="0.35">
      <c r="W556" t="str">
        <f t="shared" si="8"/>
        <v/>
      </c>
    </row>
    <row r="557" spans="23:23" x14ac:dyDescent="0.35">
      <c r="W557" t="str">
        <f t="shared" si="8"/>
        <v/>
      </c>
    </row>
    <row r="558" spans="23:23" x14ac:dyDescent="0.35">
      <c r="W558" t="str">
        <f t="shared" si="8"/>
        <v/>
      </c>
    </row>
    <row r="559" spans="23:23" x14ac:dyDescent="0.35">
      <c r="W559" t="str">
        <f t="shared" si="8"/>
        <v/>
      </c>
    </row>
    <row r="560" spans="23:23" x14ac:dyDescent="0.35">
      <c r="W560" t="str">
        <f t="shared" si="8"/>
        <v/>
      </c>
    </row>
    <row r="561" spans="23:23" x14ac:dyDescent="0.35">
      <c r="W561" t="str">
        <f t="shared" si="8"/>
        <v/>
      </c>
    </row>
    <row r="562" spans="23:23" x14ac:dyDescent="0.35">
      <c r="W562" t="str">
        <f t="shared" si="8"/>
        <v/>
      </c>
    </row>
    <row r="563" spans="23:23" x14ac:dyDescent="0.35">
      <c r="W563" t="str">
        <f t="shared" si="8"/>
        <v/>
      </c>
    </row>
    <row r="564" spans="23:23" x14ac:dyDescent="0.35">
      <c r="W564" t="str">
        <f t="shared" si="8"/>
        <v/>
      </c>
    </row>
    <row r="565" spans="23:23" x14ac:dyDescent="0.35">
      <c r="W565" t="str">
        <f t="shared" si="8"/>
        <v/>
      </c>
    </row>
    <row r="566" spans="23:23" x14ac:dyDescent="0.35">
      <c r="W566" t="str">
        <f t="shared" si="8"/>
        <v/>
      </c>
    </row>
    <row r="567" spans="23:23" x14ac:dyDescent="0.35">
      <c r="W567" t="str">
        <f t="shared" si="8"/>
        <v/>
      </c>
    </row>
    <row r="568" spans="23:23" x14ac:dyDescent="0.35">
      <c r="W568" t="str">
        <f t="shared" si="8"/>
        <v/>
      </c>
    </row>
    <row r="569" spans="23:23" x14ac:dyDescent="0.35">
      <c r="W569" t="str">
        <f t="shared" si="8"/>
        <v/>
      </c>
    </row>
    <row r="570" spans="23:23" x14ac:dyDescent="0.35">
      <c r="W570" t="str">
        <f t="shared" si="8"/>
        <v/>
      </c>
    </row>
    <row r="571" spans="23:23" x14ac:dyDescent="0.35">
      <c r="W571" t="str">
        <f t="shared" si="8"/>
        <v/>
      </c>
    </row>
    <row r="572" spans="23:23" x14ac:dyDescent="0.35">
      <c r="W572" t="str">
        <f t="shared" si="8"/>
        <v/>
      </c>
    </row>
    <row r="573" spans="23:23" x14ac:dyDescent="0.35">
      <c r="W573" t="str">
        <f t="shared" si="8"/>
        <v/>
      </c>
    </row>
    <row r="574" spans="23:23" x14ac:dyDescent="0.35">
      <c r="W574" t="str">
        <f t="shared" si="8"/>
        <v/>
      </c>
    </row>
    <row r="575" spans="23:23" x14ac:dyDescent="0.35">
      <c r="W575" t="str">
        <f t="shared" si="8"/>
        <v/>
      </c>
    </row>
    <row r="576" spans="23:23" x14ac:dyDescent="0.35">
      <c r="W576" t="str">
        <f t="shared" si="8"/>
        <v/>
      </c>
    </row>
    <row r="577" spans="23:23" x14ac:dyDescent="0.35">
      <c r="W577" t="str">
        <f t="shared" si="8"/>
        <v/>
      </c>
    </row>
    <row r="578" spans="23:23" x14ac:dyDescent="0.35">
      <c r="W578" t="str">
        <f t="shared" ref="W578:W641" si="9">IF(P578="","",YEAR(P578))</f>
        <v/>
      </c>
    </row>
    <row r="579" spans="23:23" x14ac:dyDescent="0.35">
      <c r="W579" t="str">
        <f t="shared" si="9"/>
        <v/>
      </c>
    </row>
    <row r="580" spans="23:23" x14ac:dyDescent="0.35">
      <c r="W580" t="str">
        <f t="shared" si="9"/>
        <v/>
      </c>
    </row>
    <row r="581" spans="23:23" x14ac:dyDescent="0.35">
      <c r="W581" t="str">
        <f t="shared" si="9"/>
        <v/>
      </c>
    </row>
    <row r="582" spans="23:23" x14ac:dyDescent="0.35">
      <c r="W582" t="str">
        <f t="shared" si="9"/>
        <v/>
      </c>
    </row>
    <row r="583" spans="23:23" x14ac:dyDescent="0.35">
      <c r="W583" t="str">
        <f t="shared" si="9"/>
        <v/>
      </c>
    </row>
    <row r="584" spans="23:23" x14ac:dyDescent="0.35">
      <c r="W584" t="str">
        <f t="shared" si="9"/>
        <v/>
      </c>
    </row>
    <row r="585" spans="23:23" x14ac:dyDescent="0.35">
      <c r="W585" t="str">
        <f t="shared" si="9"/>
        <v/>
      </c>
    </row>
    <row r="586" spans="23:23" x14ac:dyDescent="0.35">
      <c r="W586" t="str">
        <f t="shared" si="9"/>
        <v/>
      </c>
    </row>
    <row r="587" spans="23:23" x14ac:dyDescent="0.35">
      <c r="W587" t="str">
        <f t="shared" si="9"/>
        <v/>
      </c>
    </row>
    <row r="588" spans="23:23" x14ac:dyDescent="0.35">
      <c r="W588" t="str">
        <f t="shared" si="9"/>
        <v/>
      </c>
    </row>
    <row r="589" spans="23:23" x14ac:dyDescent="0.35">
      <c r="W589" t="str">
        <f t="shared" si="9"/>
        <v/>
      </c>
    </row>
    <row r="590" spans="23:23" x14ac:dyDescent="0.35">
      <c r="W590" t="str">
        <f t="shared" si="9"/>
        <v/>
      </c>
    </row>
    <row r="591" spans="23:23" x14ac:dyDescent="0.35">
      <c r="W591" t="str">
        <f t="shared" si="9"/>
        <v/>
      </c>
    </row>
    <row r="592" spans="23:23" x14ac:dyDescent="0.35">
      <c r="W592" t="str">
        <f t="shared" si="9"/>
        <v/>
      </c>
    </row>
    <row r="593" spans="23:23" x14ac:dyDescent="0.35">
      <c r="W593" t="str">
        <f t="shared" si="9"/>
        <v/>
      </c>
    </row>
    <row r="594" spans="23:23" x14ac:dyDescent="0.35">
      <c r="W594" t="str">
        <f t="shared" si="9"/>
        <v/>
      </c>
    </row>
    <row r="595" spans="23:23" x14ac:dyDescent="0.35">
      <c r="W595" t="str">
        <f t="shared" si="9"/>
        <v/>
      </c>
    </row>
    <row r="596" spans="23:23" x14ac:dyDescent="0.35">
      <c r="W596" t="str">
        <f t="shared" si="9"/>
        <v/>
      </c>
    </row>
    <row r="597" spans="23:23" x14ac:dyDescent="0.35">
      <c r="W597" t="str">
        <f t="shared" si="9"/>
        <v/>
      </c>
    </row>
    <row r="598" spans="23:23" x14ac:dyDescent="0.35">
      <c r="W598" t="str">
        <f t="shared" si="9"/>
        <v/>
      </c>
    </row>
    <row r="599" spans="23:23" x14ac:dyDescent="0.35">
      <c r="W599" t="str">
        <f t="shared" si="9"/>
        <v/>
      </c>
    </row>
    <row r="600" spans="23:23" x14ac:dyDescent="0.35">
      <c r="W600" t="str">
        <f t="shared" si="9"/>
        <v/>
      </c>
    </row>
    <row r="601" spans="23:23" x14ac:dyDescent="0.35">
      <c r="W601" t="str">
        <f t="shared" si="9"/>
        <v/>
      </c>
    </row>
    <row r="602" spans="23:23" x14ac:dyDescent="0.35">
      <c r="W602" t="str">
        <f t="shared" si="9"/>
        <v/>
      </c>
    </row>
    <row r="603" spans="23:23" x14ac:dyDescent="0.35">
      <c r="W603" t="str">
        <f t="shared" si="9"/>
        <v/>
      </c>
    </row>
    <row r="604" spans="23:23" x14ac:dyDescent="0.35">
      <c r="W604" t="str">
        <f t="shared" si="9"/>
        <v/>
      </c>
    </row>
    <row r="605" spans="23:23" x14ac:dyDescent="0.35">
      <c r="W605" t="str">
        <f t="shared" si="9"/>
        <v/>
      </c>
    </row>
    <row r="606" spans="23:23" x14ac:dyDescent="0.35">
      <c r="W606" t="str">
        <f t="shared" si="9"/>
        <v/>
      </c>
    </row>
    <row r="607" spans="23:23" x14ac:dyDescent="0.35">
      <c r="W607" t="str">
        <f t="shared" si="9"/>
        <v/>
      </c>
    </row>
    <row r="608" spans="23:23" x14ac:dyDescent="0.35">
      <c r="W608" t="str">
        <f t="shared" si="9"/>
        <v/>
      </c>
    </row>
    <row r="609" spans="23:23" x14ac:dyDescent="0.35">
      <c r="W609" t="str">
        <f t="shared" si="9"/>
        <v/>
      </c>
    </row>
    <row r="610" spans="23:23" x14ac:dyDescent="0.35">
      <c r="W610" t="str">
        <f t="shared" si="9"/>
        <v/>
      </c>
    </row>
    <row r="611" spans="23:23" x14ac:dyDescent="0.35">
      <c r="W611" t="str">
        <f t="shared" si="9"/>
        <v/>
      </c>
    </row>
    <row r="612" spans="23:23" x14ac:dyDescent="0.35">
      <c r="W612" t="str">
        <f t="shared" si="9"/>
        <v/>
      </c>
    </row>
    <row r="613" spans="23:23" x14ac:dyDescent="0.35">
      <c r="W613" t="str">
        <f t="shared" si="9"/>
        <v/>
      </c>
    </row>
    <row r="614" spans="23:23" x14ac:dyDescent="0.35">
      <c r="W614" t="str">
        <f t="shared" si="9"/>
        <v/>
      </c>
    </row>
    <row r="615" spans="23:23" x14ac:dyDescent="0.35">
      <c r="W615" t="str">
        <f t="shared" si="9"/>
        <v/>
      </c>
    </row>
    <row r="616" spans="23:23" x14ac:dyDescent="0.35">
      <c r="W616" t="str">
        <f t="shared" si="9"/>
        <v/>
      </c>
    </row>
    <row r="617" spans="23:23" x14ac:dyDescent="0.35">
      <c r="W617" t="str">
        <f t="shared" si="9"/>
        <v/>
      </c>
    </row>
    <row r="618" spans="23:23" x14ac:dyDescent="0.35">
      <c r="W618" t="str">
        <f t="shared" si="9"/>
        <v/>
      </c>
    </row>
    <row r="619" spans="23:23" x14ac:dyDescent="0.35">
      <c r="W619" t="str">
        <f t="shared" si="9"/>
        <v/>
      </c>
    </row>
    <row r="620" spans="23:23" x14ac:dyDescent="0.35">
      <c r="W620" t="str">
        <f t="shared" si="9"/>
        <v/>
      </c>
    </row>
    <row r="621" spans="23:23" x14ac:dyDescent="0.35">
      <c r="W621" t="str">
        <f t="shared" si="9"/>
        <v/>
      </c>
    </row>
    <row r="622" spans="23:23" x14ac:dyDescent="0.35">
      <c r="W622" t="str">
        <f t="shared" si="9"/>
        <v/>
      </c>
    </row>
    <row r="623" spans="23:23" x14ac:dyDescent="0.35">
      <c r="W623" t="str">
        <f t="shared" si="9"/>
        <v/>
      </c>
    </row>
    <row r="624" spans="23:23" x14ac:dyDescent="0.35">
      <c r="W624" t="str">
        <f t="shared" si="9"/>
        <v/>
      </c>
    </row>
    <row r="625" spans="23:23" x14ac:dyDescent="0.35">
      <c r="W625" t="str">
        <f t="shared" si="9"/>
        <v/>
      </c>
    </row>
    <row r="626" spans="23:23" x14ac:dyDescent="0.35">
      <c r="W626" t="str">
        <f t="shared" si="9"/>
        <v/>
      </c>
    </row>
    <row r="627" spans="23:23" x14ac:dyDescent="0.35">
      <c r="W627" t="str">
        <f t="shared" si="9"/>
        <v/>
      </c>
    </row>
    <row r="628" spans="23:23" x14ac:dyDescent="0.35">
      <c r="W628" t="str">
        <f t="shared" si="9"/>
        <v/>
      </c>
    </row>
    <row r="629" spans="23:23" x14ac:dyDescent="0.35">
      <c r="W629" t="str">
        <f t="shared" si="9"/>
        <v/>
      </c>
    </row>
    <row r="630" spans="23:23" x14ac:dyDescent="0.35">
      <c r="W630" t="str">
        <f t="shared" si="9"/>
        <v/>
      </c>
    </row>
    <row r="631" spans="23:23" x14ac:dyDescent="0.35">
      <c r="W631" t="str">
        <f t="shared" si="9"/>
        <v/>
      </c>
    </row>
    <row r="632" spans="23:23" x14ac:dyDescent="0.35">
      <c r="W632" t="str">
        <f t="shared" si="9"/>
        <v/>
      </c>
    </row>
    <row r="633" spans="23:23" x14ac:dyDescent="0.35">
      <c r="W633" t="str">
        <f t="shared" si="9"/>
        <v/>
      </c>
    </row>
    <row r="634" spans="23:23" x14ac:dyDescent="0.35">
      <c r="W634" t="str">
        <f t="shared" si="9"/>
        <v/>
      </c>
    </row>
    <row r="635" spans="23:23" x14ac:dyDescent="0.35">
      <c r="W635" t="str">
        <f t="shared" si="9"/>
        <v/>
      </c>
    </row>
    <row r="636" spans="23:23" x14ac:dyDescent="0.35">
      <c r="W636" t="str">
        <f t="shared" si="9"/>
        <v/>
      </c>
    </row>
    <row r="637" spans="23:23" x14ac:dyDescent="0.35">
      <c r="W637" t="str">
        <f t="shared" si="9"/>
        <v/>
      </c>
    </row>
    <row r="638" spans="23:23" x14ac:dyDescent="0.35">
      <c r="W638" t="str">
        <f t="shared" si="9"/>
        <v/>
      </c>
    </row>
    <row r="639" spans="23:23" x14ac:dyDescent="0.35">
      <c r="W639" t="str">
        <f t="shared" si="9"/>
        <v/>
      </c>
    </row>
    <row r="640" spans="23:23" x14ac:dyDescent="0.35">
      <c r="W640" t="str">
        <f t="shared" si="9"/>
        <v/>
      </c>
    </row>
    <row r="641" spans="23:23" x14ac:dyDescent="0.35">
      <c r="W641" t="str">
        <f t="shared" si="9"/>
        <v/>
      </c>
    </row>
    <row r="642" spans="23:23" x14ac:dyDescent="0.35">
      <c r="W642" t="str">
        <f t="shared" ref="W642:W705" si="10">IF(P642="","",YEAR(P642))</f>
        <v/>
      </c>
    </row>
    <row r="643" spans="23:23" x14ac:dyDescent="0.35">
      <c r="W643" t="str">
        <f t="shared" si="10"/>
        <v/>
      </c>
    </row>
    <row r="644" spans="23:23" x14ac:dyDescent="0.35">
      <c r="W644" t="str">
        <f t="shared" si="10"/>
        <v/>
      </c>
    </row>
    <row r="645" spans="23:23" x14ac:dyDescent="0.35">
      <c r="W645" t="str">
        <f t="shared" si="10"/>
        <v/>
      </c>
    </row>
    <row r="646" spans="23:23" x14ac:dyDescent="0.35">
      <c r="W646" t="str">
        <f t="shared" si="10"/>
        <v/>
      </c>
    </row>
    <row r="647" spans="23:23" x14ac:dyDescent="0.35">
      <c r="W647" t="str">
        <f t="shared" si="10"/>
        <v/>
      </c>
    </row>
    <row r="648" spans="23:23" x14ac:dyDescent="0.35">
      <c r="W648" t="str">
        <f t="shared" si="10"/>
        <v/>
      </c>
    </row>
    <row r="649" spans="23:23" x14ac:dyDescent="0.35">
      <c r="W649" t="str">
        <f t="shared" si="10"/>
        <v/>
      </c>
    </row>
    <row r="650" spans="23:23" x14ac:dyDescent="0.35">
      <c r="W650" t="str">
        <f t="shared" si="10"/>
        <v/>
      </c>
    </row>
    <row r="651" spans="23:23" x14ac:dyDescent="0.35">
      <c r="W651" t="str">
        <f t="shared" si="10"/>
        <v/>
      </c>
    </row>
    <row r="652" spans="23:23" x14ac:dyDescent="0.35">
      <c r="W652" t="str">
        <f t="shared" si="10"/>
        <v/>
      </c>
    </row>
    <row r="653" spans="23:23" x14ac:dyDescent="0.35">
      <c r="W653" t="str">
        <f t="shared" si="10"/>
        <v/>
      </c>
    </row>
    <row r="654" spans="23:23" x14ac:dyDescent="0.35">
      <c r="W654" t="str">
        <f t="shared" si="10"/>
        <v/>
      </c>
    </row>
    <row r="655" spans="23:23" x14ac:dyDescent="0.35">
      <c r="W655" t="str">
        <f t="shared" si="10"/>
        <v/>
      </c>
    </row>
    <row r="656" spans="23:23" x14ac:dyDescent="0.35">
      <c r="W656" t="str">
        <f t="shared" si="10"/>
        <v/>
      </c>
    </row>
    <row r="657" spans="23:23" x14ac:dyDescent="0.35">
      <c r="W657" t="str">
        <f t="shared" si="10"/>
        <v/>
      </c>
    </row>
    <row r="658" spans="23:23" x14ac:dyDescent="0.35">
      <c r="W658" t="str">
        <f t="shared" si="10"/>
        <v/>
      </c>
    </row>
    <row r="659" spans="23:23" x14ac:dyDescent="0.35">
      <c r="W659" t="str">
        <f t="shared" si="10"/>
        <v/>
      </c>
    </row>
    <row r="660" spans="23:23" x14ac:dyDescent="0.35">
      <c r="W660" t="str">
        <f t="shared" si="10"/>
        <v/>
      </c>
    </row>
    <row r="661" spans="23:23" x14ac:dyDescent="0.35">
      <c r="W661" t="str">
        <f t="shared" si="10"/>
        <v/>
      </c>
    </row>
    <row r="662" spans="23:23" x14ac:dyDescent="0.35">
      <c r="W662" t="str">
        <f t="shared" si="10"/>
        <v/>
      </c>
    </row>
    <row r="663" spans="23:23" x14ac:dyDescent="0.35">
      <c r="W663" t="str">
        <f t="shared" si="10"/>
        <v/>
      </c>
    </row>
    <row r="664" spans="23:23" x14ac:dyDescent="0.35">
      <c r="W664" t="str">
        <f t="shared" si="10"/>
        <v/>
      </c>
    </row>
    <row r="665" spans="23:23" x14ac:dyDescent="0.35">
      <c r="W665" t="str">
        <f t="shared" si="10"/>
        <v/>
      </c>
    </row>
    <row r="666" spans="23:23" x14ac:dyDescent="0.35">
      <c r="W666" t="str">
        <f t="shared" si="10"/>
        <v/>
      </c>
    </row>
    <row r="667" spans="23:23" x14ac:dyDescent="0.35">
      <c r="W667" t="str">
        <f t="shared" si="10"/>
        <v/>
      </c>
    </row>
    <row r="668" spans="23:23" x14ac:dyDescent="0.35">
      <c r="W668" t="str">
        <f t="shared" si="10"/>
        <v/>
      </c>
    </row>
    <row r="669" spans="23:23" x14ac:dyDescent="0.35">
      <c r="W669" t="str">
        <f t="shared" si="10"/>
        <v/>
      </c>
    </row>
    <row r="670" spans="23:23" x14ac:dyDescent="0.35">
      <c r="W670" t="str">
        <f t="shared" si="10"/>
        <v/>
      </c>
    </row>
    <row r="671" spans="23:23" x14ac:dyDescent="0.35">
      <c r="W671" t="str">
        <f t="shared" si="10"/>
        <v/>
      </c>
    </row>
    <row r="672" spans="23:23" x14ac:dyDescent="0.35">
      <c r="W672" t="str">
        <f t="shared" si="10"/>
        <v/>
      </c>
    </row>
    <row r="673" spans="23:23" x14ac:dyDescent="0.35">
      <c r="W673" t="str">
        <f t="shared" si="10"/>
        <v/>
      </c>
    </row>
    <row r="674" spans="23:23" x14ac:dyDescent="0.35">
      <c r="W674" t="str">
        <f t="shared" si="10"/>
        <v/>
      </c>
    </row>
    <row r="675" spans="23:23" x14ac:dyDescent="0.35">
      <c r="W675" t="str">
        <f t="shared" si="10"/>
        <v/>
      </c>
    </row>
    <row r="676" spans="23:23" x14ac:dyDescent="0.35">
      <c r="W676" t="str">
        <f t="shared" si="10"/>
        <v/>
      </c>
    </row>
    <row r="677" spans="23:23" x14ac:dyDescent="0.35">
      <c r="W677" t="str">
        <f t="shared" si="10"/>
        <v/>
      </c>
    </row>
    <row r="678" spans="23:23" x14ac:dyDescent="0.35">
      <c r="W678" t="str">
        <f t="shared" si="10"/>
        <v/>
      </c>
    </row>
    <row r="679" spans="23:23" x14ac:dyDescent="0.35">
      <c r="W679" t="str">
        <f t="shared" si="10"/>
        <v/>
      </c>
    </row>
    <row r="680" spans="23:23" x14ac:dyDescent="0.35">
      <c r="W680" t="str">
        <f t="shared" si="10"/>
        <v/>
      </c>
    </row>
    <row r="681" spans="23:23" x14ac:dyDescent="0.35">
      <c r="W681" t="str">
        <f t="shared" si="10"/>
        <v/>
      </c>
    </row>
    <row r="682" spans="23:23" x14ac:dyDescent="0.35">
      <c r="W682" t="str">
        <f t="shared" si="10"/>
        <v/>
      </c>
    </row>
    <row r="683" spans="23:23" x14ac:dyDescent="0.35">
      <c r="W683" t="str">
        <f t="shared" si="10"/>
        <v/>
      </c>
    </row>
    <row r="684" spans="23:23" x14ac:dyDescent="0.35">
      <c r="W684" t="str">
        <f t="shared" si="10"/>
        <v/>
      </c>
    </row>
    <row r="685" spans="23:23" x14ac:dyDescent="0.35">
      <c r="W685" t="str">
        <f t="shared" si="10"/>
        <v/>
      </c>
    </row>
    <row r="686" spans="23:23" x14ac:dyDescent="0.35">
      <c r="W686" t="str">
        <f t="shared" si="10"/>
        <v/>
      </c>
    </row>
    <row r="687" spans="23:23" x14ac:dyDescent="0.35">
      <c r="W687" t="str">
        <f t="shared" si="10"/>
        <v/>
      </c>
    </row>
    <row r="688" spans="23:23" x14ac:dyDescent="0.35">
      <c r="W688" t="str">
        <f t="shared" si="10"/>
        <v/>
      </c>
    </row>
    <row r="689" spans="23:23" x14ac:dyDescent="0.35">
      <c r="W689" t="str">
        <f t="shared" si="10"/>
        <v/>
      </c>
    </row>
    <row r="690" spans="23:23" x14ac:dyDescent="0.35">
      <c r="W690" t="str">
        <f t="shared" si="10"/>
        <v/>
      </c>
    </row>
    <row r="691" spans="23:23" x14ac:dyDescent="0.35">
      <c r="W691" t="str">
        <f t="shared" si="10"/>
        <v/>
      </c>
    </row>
    <row r="692" spans="23:23" x14ac:dyDescent="0.35">
      <c r="W692" t="str">
        <f t="shared" si="10"/>
        <v/>
      </c>
    </row>
    <row r="693" spans="23:23" x14ac:dyDescent="0.35">
      <c r="W693" t="str">
        <f t="shared" si="10"/>
        <v/>
      </c>
    </row>
    <row r="694" spans="23:23" x14ac:dyDescent="0.35">
      <c r="W694" t="str">
        <f t="shared" si="10"/>
        <v/>
      </c>
    </row>
    <row r="695" spans="23:23" x14ac:dyDescent="0.35">
      <c r="W695" t="str">
        <f t="shared" si="10"/>
        <v/>
      </c>
    </row>
    <row r="696" spans="23:23" x14ac:dyDescent="0.35">
      <c r="W696" t="str">
        <f t="shared" si="10"/>
        <v/>
      </c>
    </row>
    <row r="697" spans="23:23" x14ac:dyDescent="0.35">
      <c r="W697" t="str">
        <f t="shared" si="10"/>
        <v/>
      </c>
    </row>
    <row r="698" spans="23:23" x14ac:dyDescent="0.35">
      <c r="W698" t="str">
        <f t="shared" si="10"/>
        <v/>
      </c>
    </row>
    <row r="699" spans="23:23" x14ac:dyDescent="0.35">
      <c r="W699" t="str">
        <f t="shared" si="10"/>
        <v/>
      </c>
    </row>
    <row r="700" spans="23:23" x14ac:dyDescent="0.35">
      <c r="W700" t="str">
        <f t="shared" si="10"/>
        <v/>
      </c>
    </row>
    <row r="701" spans="23:23" x14ac:dyDescent="0.35">
      <c r="W701" t="str">
        <f t="shared" si="10"/>
        <v/>
      </c>
    </row>
    <row r="702" spans="23:23" x14ac:dyDescent="0.35">
      <c r="W702" t="str">
        <f t="shared" si="10"/>
        <v/>
      </c>
    </row>
    <row r="703" spans="23:23" x14ac:dyDescent="0.35">
      <c r="W703" t="str">
        <f t="shared" si="10"/>
        <v/>
      </c>
    </row>
    <row r="704" spans="23:23" x14ac:dyDescent="0.35">
      <c r="W704" t="str">
        <f t="shared" si="10"/>
        <v/>
      </c>
    </row>
    <row r="705" spans="23:23" x14ac:dyDescent="0.35">
      <c r="W705" t="str">
        <f t="shared" si="10"/>
        <v/>
      </c>
    </row>
    <row r="706" spans="23:23" x14ac:dyDescent="0.35">
      <c r="W706" t="str">
        <f t="shared" ref="W706:W769" si="11">IF(P706="","",YEAR(P706))</f>
        <v/>
      </c>
    </row>
    <row r="707" spans="23:23" x14ac:dyDescent="0.35">
      <c r="W707" t="str">
        <f t="shared" si="11"/>
        <v/>
      </c>
    </row>
    <row r="708" spans="23:23" x14ac:dyDescent="0.35">
      <c r="W708" t="str">
        <f t="shared" si="11"/>
        <v/>
      </c>
    </row>
    <row r="709" spans="23:23" x14ac:dyDescent="0.35">
      <c r="W709" t="str">
        <f t="shared" si="11"/>
        <v/>
      </c>
    </row>
    <row r="710" spans="23:23" x14ac:dyDescent="0.35">
      <c r="W710" t="str">
        <f t="shared" si="11"/>
        <v/>
      </c>
    </row>
    <row r="711" spans="23:23" x14ac:dyDescent="0.35">
      <c r="W711" t="str">
        <f t="shared" si="11"/>
        <v/>
      </c>
    </row>
    <row r="712" spans="23:23" x14ac:dyDescent="0.35">
      <c r="W712" t="str">
        <f t="shared" si="11"/>
        <v/>
      </c>
    </row>
    <row r="713" spans="23:23" x14ac:dyDescent="0.35">
      <c r="W713" t="str">
        <f t="shared" si="11"/>
        <v/>
      </c>
    </row>
    <row r="714" spans="23:23" x14ac:dyDescent="0.35">
      <c r="W714" t="str">
        <f t="shared" si="11"/>
        <v/>
      </c>
    </row>
    <row r="715" spans="23:23" x14ac:dyDescent="0.35">
      <c r="W715" t="str">
        <f t="shared" si="11"/>
        <v/>
      </c>
    </row>
    <row r="716" spans="23:23" x14ac:dyDescent="0.35">
      <c r="W716" t="str">
        <f t="shared" si="11"/>
        <v/>
      </c>
    </row>
    <row r="717" spans="23:23" x14ac:dyDescent="0.35">
      <c r="W717" t="str">
        <f t="shared" si="11"/>
        <v/>
      </c>
    </row>
    <row r="718" spans="23:23" x14ac:dyDescent="0.35">
      <c r="W718" t="str">
        <f t="shared" si="11"/>
        <v/>
      </c>
    </row>
    <row r="719" spans="23:23" x14ac:dyDescent="0.35">
      <c r="W719" t="str">
        <f t="shared" si="11"/>
        <v/>
      </c>
    </row>
    <row r="720" spans="23:23" x14ac:dyDescent="0.35">
      <c r="W720" t="str">
        <f t="shared" si="11"/>
        <v/>
      </c>
    </row>
    <row r="721" spans="23:23" x14ac:dyDescent="0.35">
      <c r="W721" t="str">
        <f t="shared" si="11"/>
        <v/>
      </c>
    </row>
    <row r="722" spans="23:23" x14ac:dyDescent="0.35">
      <c r="W722" t="str">
        <f t="shared" si="11"/>
        <v/>
      </c>
    </row>
    <row r="723" spans="23:23" x14ac:dyDescent="0.35">
      <c r="W723" t="str">
        <f t="shared" si="11"/>
        <v/>
      </c>
    </row>
    <row r="724" spans="23:23" x14ac:dyDescent="0.35">
      <c r="W724" t="str">
        <f t="shared" si="11"/>
        <v/>
      </c>
    </row>
    <row r="725" spans="23:23" x14ac:dyDescent="0.35">
      <c r="W725" t="str">
        <f t="shared" si="11"/>
        <v/>
      </c>
    </row>
    <row r="726" spans="23:23" x14ac:dyDescent="0.35">
      <c r="W726" t="str">
        <f t="shared" si="11"/>
        <v/>
      </c>
    </row>
    <row r="727" spans="23:23" x14ac:dyDescent="0.35">
      <c r="W727" t="str">
        <f t="shared" si="11"/>
        <v/>
      </c>
    </row>
    <row r="728" spans="23:23" x14ac:dyDescent="0.35">
      <c r="W728" t="str">
        <f t="shared" si="11"/>
        <v/>
      </c>
    </row>
    <row r="729" spans="23:23" x14ac:dyDescent="0.35">
      <c r="W729" t="str">
        <f t="shared" si="11"/>
        <v/>
      </c>
    </row>
    <row r="730" spans="23:23" x14ac:dyDescent="0.35">
      <c r="W730" t="str">
        <f t="shared" si="11"/>
        <v/>
      </c>
    </row>
    <row r="731" spans="23:23" x14ac:dyDescent="0.35">
      <c r="W731" t="str">
        <f t="shared" si="11"/>
        <v/>
      </c>
    </row>
    <row r="732" spans="23:23" x14ac:dyDescent="0.35">
      <c r="W732" t="str">
        <f t="shared" si="11"/>
        <v/>
      </c>
    </row>
    <row r="733" spans="23:23" x14ac:dyDescent="0.35">
      <c r="W733" t="str">
        <f t="shared" si="11"/>
        <v/>
      </c>
    </row>
    <row r="734" spans="23:23" x14ac:dyDescent="0.35">
      <c r="W734" t="str">
        <f t="shared" si="11"/>
        <v/>
      </c>
    </row>
    <row r="735" spans="23:23" x14ac:dyDescent="0.35">
      <c r="W735" t="str">
        <f t="shared" si="11"/>
        <v/>
      </c>
    </row>
    <row r="736" spans="23:23" x14ac:dyDescent="0.35">
      <c r="W736" t="str">
        <f t="shared" si="11"/>
        <v/>
      </c>
    </row>
    <row r="737" spans="23:23" x14ac:dyDescent="0.35">
      <c r="W737" t="str">
        <f t="shared" si="11"/>
        <v/>
      </c>
    </row>
    <row r="738" spans="23:23" x14ac:dyDescent="0.35">
      <c r="W738" t="str">
        <f t="shared" si="11"/>
        <v/>
      </c>
    </row>
    <row r="739" spans="23:23" x14ac:dyDescent="0.35">
      <c r="W739" t="str">
        <f t="shared" si="11"/>
        <v/>
      </c>
    </row>
    <row r="740" spans="23:23" x14ac:dyDescent="0.35">
      <c r="W740" t="str">
        <f t="shared" si="11"/>
        <v/>
      </c>
    </row>
    <row r="741" spans="23:23" x14ac:dyDescent="0.35">
      <c r="W741" t="str">
        <f t="shared" si="11"/>
        <v/>
      </c>
    </row>
    <row r="742" spans="23:23" x14ac:dyDescent="0.35">
      <c r="W742" t="str">
        <f t="shared" si="11"/>
        <v/>
      </c>
    </row>
    <row r="743" spans="23:23" x14ac:dyDescent="0.35">
      <c r="W743" t="str">
        <f t="shared" si="11"/>
        <v/>
      </c>
    </row>
    <row r="744" spans="23:23" x14ac:dyDescent="0.35">
      <c r="W744" t="str">
        <f t="shared" si="11"/>
        <v/>
      </c>
    </row>
    <row r="745" spans="23:23" x14ac:dyDescent="0.35">
      <c r="W745" t="str">
        <f t="shared" si="11"/>
        <v/>
      </c>
    </row>
    <row r="746" spans="23:23" x14ac:dyDescent="0.35">
      <c r="W746" t="str">
        <f t="shared" si="11"/>
        <v/>
      </c>
    </row>
    <row r="747" spans="23:23" x14ac:dyDescent="0.35">
      <c r="W747" t="str">
        <f t="shared" si="11"/>
        <v/>
      </c>
    </row>
    <row r="748" spans="23:23" x14ac:dyDescent="0.35">
      <c r="W748" t="str">
        <f t="shared" si="11"/>
        <v/>
      </c>
    </row>
    <row r="749" spans="23:23" x14ac:dyDescent="0.35">
      <c r="W749" t="str">
        <f t="shared" si="11"/>
        <v/>
      </c>
    </row>
    <row r="750" spans="23:23" x14ac:dyDescent="0.35">
      <c r="W750" t="str">
        <f t="shared" si="11"/>
        <v/>
      </c>
    </row>
    <row r="751" spans="23:23" x14ac:dyDescent="0.35">
      <c r="W751" t="str">
        <f t="shared" si="11"/>
        <v/>
      </c>
    </row>
    <row r="752" spans="23:23" x14ac:dyDescent="0.35">
      <c r="W752" t="str">
        <f t="shared" si="11"/>
        <v/>
      </c>
    </row>
    <row r="753" spans="23:23" x14ac:dyDescent="0.35">
      <c r="W753" t="str">
        <f t="shared" si="11"/>
        <v/>
      </c>
    </row>
    <row r="754" spans="23:23" x14ac:dyDescent="0.35">
      <c r="W754" t="str">
        <f t="shared" si="11"/>
        <v/>
      </c>
    </row>
    <row r="755" spans="23:23" x14ac:dyDescent="0.35">
      <c r="W755" t="str">
        <f t="shared" si="11"/>
        <v/>
      </c>
    </row>
    <row r="756" spans="23:23" x14ac:dyDescent="0.35">
      <c r="W756" t="str">
        <f t="shared" si="11"/>
        <v/>
      </c>
    </row>
    <row r="757" spans="23:23" x14ac:dyDescent="0.35">
      <c r="W757" t="str">
        <f t="shared" si="11"/>
        <v/>
      </c>
    </row>
    <row r="758" spans="23:23" x14ac:dyDescent="0.35">
      <c r="W758" t="str">
        <f t="shared" si="11"/>
        <v/>
      </c>
    </row>
    <row r="759" spans="23:23" x14ac:dyDescent="0.35">
      <c r="W759" t="str">
        <f t="shared" si="11"/>
        <v/>
      </c>
    </row>
    <row r="760" spans="23:23" x14ac:dyDescent="0.35">
      <c r="W760" t="str">
        <f t="shared" si="11"/>
        <v/>
      </c>
    </row>
    <row r="761" spans="23:23" x14ac:dyDescent="0.35">
      <c r="W761" t="str">
        <f t="shared" si="11"/>
        <v/>
      </c>
    </row>
    <row r="762" spans="23:23" x14ac:dyDescent="0.35">
      <c r="W762" t="str">
        <f t="shared" si="11"/>
        <v/>
      </c>
    </row>
    <row r="763" spans="23:23" x14ac:dyDescent="0.35">
      <c r="W763" t="str">
        <f t="shared" si="11"/>
        <v/>
      </c>
    </row>
    <row r="764" spans="23:23" x14ac:dyDescent="0.35">
      <c r="W764" t="str">
        <f t="shared" si="11"/>
        <v/>
      </c>
    </row>
    <row r="765" spans="23:23" x14ac:dyDescent="0.35">
      <c r="W765" t="str">
        <f t="shared" si="11"/>
        <v/>
      </c>
    </row>
    <row r="766" spans="23:23" x14ac:dyDescent="0.35">
      <c r="W766" t="str">
        <f t="shared" si="11"/>
        <v/>
      </c>
    </row>
    <row r="767" spans="23:23" x14ac:dyDescent="0.35">
      <c r="W767" t="str">
        <f t="shared" si="11"/>
        <v/>
      </c>
    </row>
    <row r="768" spans="23:23" x14ac:dyDescent="0.35">
      <c r="W768" t="str">
        <f t="shared" si="11"/>
        <v/>
      </c>
    </row>
    <row r="769" spans="23:23" x14ac:dyDescent="0.35">
      <c r="W769" t="str">
        <f t="shared" si="11"/>
        <v/>
      </c>
    </row>
    <row r="770" spans="23:23" x14ac:dyDescent="0.35">
      <c r="W770" t="str">
        <f t="shared" ref="W770:W833" si="12">IF(P770="","",YEAR(P770))</f>
        <v/>
      </c>
    </row>
    <row r="771" spans="23:23" x14ac:dyDescent="0.35">
      <c r="W771" t="str">
        <f t="shared" si="12"/>
        <v/>
      </c>
    </row>
    <row r="772" spans="23:23" x14ac:dyDescent="0.35">
      <c r="W772" t="str">
        <f t="shared" si="12"/>
        <v/>
      </c>
    </row>
    <row r="773" spans="23:23" x14ac:dyDescent="0.35">
      <c r="W773" t="str">
        <f t="shared" si="12"/>
        <v/>
      </c>
    </row>
    <row r="774" spans="23:23" x14ac:dyDescent="0.35">
      <c r="W774" t="str">
        <f t="shared" si="12"/>
        <v/>
      </c>
    </row>
    <row r="775" spans="23:23" x14ac:dyDescent="0.35">
      <c r="W775" t="str">
        <f t="shared" si="12"/>
        <v/>
      </c>
    </row>
    <row r="776" spans="23:23" x14ac:dyDescent="0.35">
      <c r="W776" t="str">
        <f t="shared" si="12"/>
        <v/>
      </c>
    </row>
    <row r="777" spans="23:23" x14ac:dyDescent="0.35">
      <c r="W777" t="str">
        <f t="shared" si="12"/>
        <v/>
      </c>
    </row>
    <row r="778" spans="23:23" x14ac:dyDescent="0.35">
      <c r="W778" t="str">
        <f t="shared" si="12"/>
        <v/>
      </c>
    </row>
    <row r="779" spans="23:23" x14ac:dyDescent="0.35">
      <c r="W779" t="str">
        <f t="shared" si="12"/>
        <v/>
      </c>
    </row>
    <row r="780" spans="23:23" x14ac:dyDescent="0.35">
      <c r="W780" t="str">
        <f t="shared" si="12"/>
        <v/>
      </c>
    </row>
    <row r="781" spans="23:23" x14ac:dyDescent="0.35">
      <c r="W781" t="str">
        <f t="shared" si="12"/>
        <v/>
      </c>
    </row>
    <row r="782" spans="23:23" x14ac:dyDescent="0.35">
      <c r="W782" t="str">
        <f t="shared" si="12"/>
        <v/>
      </c>
    </row>
    <row r="783" spans="23:23" x14ac:dyDescent="0.35">
      <c r="W783" t="str">
        <f t="shared" si="12"/>
        <v/>
      </c>
    </row>
    <row r="784" spans="23:23" x14ac:dyDescent="0.35">
      <c r="W784" t="str">
        <f t="shared" si="12"/>
        <v/>
      </c>
    </row>
    <row r="785" spans="23:23" x14ac:dyDescent="0.35">
      <c r="W785" t="str">
        <f t="shared" si="12"/>
        <v/>
      </c>
    </row>
    <row r="786" spans="23:23" x14ac:dyDescent="0.35">
      <c r="W786" t="str">
        <f t="shared" si="12"/>
        <v/>
      </c>
    </row>
    <row r="787" spans="23:23" x14ac:dyDescent="0.35">
      <c r="W787" t="str">
        <f t="shared" si="12"/>
        <v/>
      </c>
    </row>
    <row r="788" spans="23:23" x14ac:dyDescent="0.35">
      <c r="W788" t="str">
        <f t="shared" si="12"/>
        <v/>
      </c>
    </row>
    <row r="789" spans="23:23" x14ac:dyDescent="0.35">
      <c r="W789" t="str">
        <f t="shared" si="12"/>
        <v/>
      </c>
    </row>
    <row r="790" spans="23:23" x14ac:dyDescent="0.35">
      <c r="W790" t="str">
        <f t="shared" si="12"/>
        <v/>
      </c>
    </row>
    <row r="791" spans="23:23" x14ac:dyDescent="0.35">
      <c r="W791" t="str">
        <f t="shared" si="12"/>
        <v/>
      </c>
    </row>
    <row r="792" spans="23:23" x14ac:dyDescent="0.35">
      <c r="W792" t="str">
        <f t="shared" si="12"/>
        <v/>
      </c>
    </row>
    <row r="793" spans="23:23" x14ac:dyDescent="0.35">
      <c r="W793" t="str">
        <f t="shared" si="12"/>
        <v/>
      </c>
    </row>
    <row r="794" spans="23:23" x14ac:dyDescent="0.35">
      <c r="W794" t="str">
        <f t="shared" si="12"/>
        <v/>
      </c>
    </row>
    <row r="795" spans="23:23" x14ac:dyDescent="0.35">
      <c r="W795" t="str">
        <f t="shared" si="12"/>
        <v/>
      </c>
    </row>
    <row r="796" spans="23:23" x14ac:dyDescent="0.35">
      <c r="W796" t="str">
        <f t="shared" si="12"/>
        <v/>
      </c>
    </row>
    <row r="797" spans="23:23" x14ac:dyDescent="0.35">
      <c r="W797" t="str">
        <f t="shared" si="12"/>
        <v/>
      </c>
    </row>
    <row r="798" spans="23:23" x14ac:dyDescent="0.35">
      <c r="W798" t="str">
        <f t="shared" si="12"/>
        <v/>
      </c>
    </row>
    <row r="799" spans="23:23" x14ac:dyDescent="0.35">
      <c r="W799" t="str">
        <f t="shared" si="12"/>
        <v/>
      </c>
    </row>
    <row r="800" spans="23:23" x14ac:dyDescent="0.35">
      <c r="W800" t="str">
        <f t="shared" si="12"/>
        <v/>
      </c>
    </row>
    <row r="801" spans="23:23" x14ac:dyDescent="0.35">
      <c r="W801" t="str">
        <f t="shared" si="12"/>
        <v/>
      </c>
    </row>
    <row r="802" spans="23:23" x14ac:dyDescent="0.35">
      <c r="W802" t="str">
        <f t="shared" si="12"/>
        <v/>
      </c>
    </row>
    <row r="803" spans="23:23" x14ac:dyDescent="0.35">
      <c r="W803" t="str">
        <f t="shared" si="12"/>
        <v/>
      </c>
    </row>
    <row r="804" spans="23:23" x14ac:dyDescent="0.35">
      <c r="W804" t="str">
        <f t="shared" si="12"/>
        <v/>
      </c>
    </row>
    <row r="805" spans="23:23" x14ac:dyDescent="0.35">
      <c r="W805" t="str">
        <f t="shared" si="12"/>
        <v/>
      </c>
    </row>
    <row r="806" spans="23:23" x14ac:dyDescent="0.35">
      <c r="W806" t="str">
        <f t="shared" si="12"/>
        <v/>
      </c>
    </row>
    <row r="807" spans="23:23" x14ac:dyDescent="0.35">
      <c r="W807" t="str">
        <f t="shared" si="12"/>
        <v/>
      </c>
    </row>
    <row r="808" spans="23:23" x14ac:dyDescent="0.35">
      <c r="W808" t="str">
        <f t="shared" si="12"/>
        <v/>
      </c>
    </row>
    <row r="809" spans="23:23" x14ac:dyDescent="0.35">
      <c r="W809" t="str">
        <f t="shared" si="12"/>
        <v/>
      </c>
    </row>
    <row r="810" spans="23:23" x14ac:dyDescent="0.35">
      <c r="W810" t="str">
        <f t="shared" si="12"/>
        <v/>
      </c>
    </row>
    <row r="811" spans="23:23" x14ac:dyDescent="0.35">
      <c r="W811" t="str">
        <f t="shared" si="12"/>
        <v/>
      </c>
    </row>
    <row r="812" spans="23:23" x14ac:dyDescent="0.35">
      <c r="W812" t="str">
        <f t="shared" si="12"/>
        <v/>
      </c>
    </row>
    <row r="813" spans="23:23" x14ac:dyDescent="0.35">
      <c r="W813" t="str">
        <f t="shared" si="12"/>
        <v/>
      </c>
    </row>
    <row r="814" spans="23:23" x14ac:dyDescent="0.35">
      <c r="W814" t="str">
        <f t="shared" si="12"/>
        <v/>
      </c>
    </row>
    <row r="815" spans="23:23" x14ac:dyDescent="0.35">
      <c r="W815" t="str">
        <f t="shared" si="12"/>
        <v/>
      </c>
    </row>
    <row r="816" spans="23:23" x14ac:dyDescent="0.35">
      <c r="W816" t="str">
        <f t="shared" si="12"/>
        <v/>
      </c>
    </row>
    <row r="817" spans="23:23" x14ac:dyDescent="0.35">
      <c r="W817" t="str">
        <f t="shared" si="12"/>
        <v/>
      </c>
    </row>
    <row r="818" spans="23:23" x14ac:dyDescent="0.35">
      <c r="W818" t="str">
        <f t="shared" si="12"/>
        <v/>
      </c>
    </row>
    <row r="819" spans="23:23" x14ac:dyDescent="0.35">
      <c r="W819" t="str">
        <f t="shared" si="12"/>
        <v/>
      </c>
    </row>
    <row r="820" spans="23:23" x14ac:dyDescent="0.35">
      <c r="W820" t="str">
        <f t="shared" si="12"/>
        <v/>
      </c>
    </row>
    <row r="821" spans="23:23" x14ac:dyDescent="0.35">
      <c r="W821" t="str">
        <f t="shared" si="12"/>
        <v/>
      </c>
    </row>
    <row r="822" spans="23:23" x14ac:dyDescent="0.35">
      <c r="W822" t="str">
        <f t="shared" si="12"/>
        <v/>
      </c>
    </row>
    <row r="823" spans="23:23" x14ac:dyDescent="0.35">
      <c r="W823" t="str">
        <f t="shared" si="12"/>
        <v/>
      </c>
    </row>
    <row r="824" spans="23:23" x14ac:dyDescent="0.35">
      <c r="W824" t="str">
        <f t="shared" si="12"/>
        <v/>
      </c>
    </row>
    <row r="825" spans="23:23" x14ac:dyDescent="0.35">
      <c r="W825" t="str">
        <f t="shared" si="12"/>
        <v/>
      </c>
    </row>
    <row r="826" spans="23:23" x14ac:dyDescent="0.35">
      <c r="W826" t="str">
        <f t="shared" si="12"/>
        <v/>
      </c>
    </row>
    <row r="827" spans="23:23" x14ac:dyDescent="0.35">
      <c r="W827" t="str">
        <f t="shared" si="12"/>
        <v/>
      </c>
    </row>
    <row r="828" spans="23:23" x14ac:dyDescent="0.35">
      <c r="W828" t="str">
        <f t="shared" si="12"/>
        <v/>
      </c>
    </row>
    <row r="829" spans="23:23" x14ac:dyDescent="0.35">
      <c r="W829" t="str">
        <f t="shared" si="12"/>
        <v/>
      </c>
    </row>
    <row r="830" spans="23:23" x14ac:dyDescent="0.35">
      <c r="W830" t="str">
        <f t="shared" si="12"/>
        <v/>
      </c>
    </row>
    <row r="831" spans="23:23" x14ac:dyDescent="0.35">
      <c r="W831" t="str">
        <f t="shared" si="12"/>
        <v/>
      </c>
    </row>
    <row r="832" spans="23:23" x14ac:dyDescent="0.35">
      <c r="W832" t="str">
        <f t="shared" si="12"/>
        <v/>
      </c>
    </row>
    <row r="833" spans="23:23" x14ac:dyDescent="0.35">
      <c r="W833" t="str">
        <f t="shared" si="12"/>
        <v/>
      </c>
    </row>
    <row r="834" spans="23:23" x14ac:dyDescent="0.35">
      <c r="W834" t="str">
        <f t="shared" ref="W834:W897" si="13">IF(P834="","",YEAR(P834))</f>
        <v/>
      </c>
    </row>
    <row r="835" spans="23:23" x14ac:dyDescent="0.35">
      <c r="W835" t="str">
        <f t="shared" si="13"/>
        <v/>
      </c>
    </row>
    <row r="836" spans="23:23" x14ac:dyDescent="0.35">
      <c r="W836" t="str">
        <f t="shared" si="13"/>
        <v/>
      </c>
    </row>
    <row r="837" spans="23:23" x14ac:dyDescent="0.35">
      <c r="W837" t="str">
        <f t="shared" si="13"/>
        <v/>
      </c>
    </row>
    <row r="838" spans="23:23" x14ac:dyDescent="0.35">
      <c r="W838" t="str">
        <f t="shared" si="13"/>
        <v/>
      </c>
    </row>
    <row r="839" spans="23:23" x14ac:dyDescent="0.35">
      <c r="W839" t="str">
        <f t="shared" si="13"/>
        <v/>
      </c>
    </row>
    <row r="840" spans="23:23" x14ac:dyDescent="0.35">
      <c r="W840" t="str">
        <f t="shared" si="13"/>
        <v/>
      </c>
    </row>
    <row r="841" spans="23:23" x14ac:dyDescent="0.35">
      <c r="W841" t="str">
        <f t="shared" si="13"/>
        <v/>
      </c>
    </row>
    <row r="842" spans="23:23" x14ac:dyDescent="0.35">
      <c r="W842" t="str">
        <f t="shared" si="13"/>
        <v/>
      </c>
    </row>
    <row r="843" spans="23:23" x14ac:dyDescent="0.35">
      <c r="W843" t="str">
        <f t="shared" si="13"/>
        <v/>
      </c>
    </row>
    <row r="844" spans="23:23" x14ac:dyDescent="0.35">
      <c r="W844" t="str">
        <f t="shared" si="13"/>
        <v/>
      </c>
    </row>
    <row r="845" spans="23:23" x14ac:dyDescent="0.35">
      <c r="W845" t="str">
        <f t="shared" si="13"/>
        <v/>
      </c>
    </row>
    <row r="846" spans="23:23" x14ac:dyDescent="0.35">
      <c r="W846" t="str">
        <f t="shared" si="13"/>
        <v/>
      </c>
    </row>
    <row r="847" spans="23:23" x14ac:dyDescent="0.35">
      <c r="W847" t="str">
        <f t="shared" si="13"/>
        <v/>
      </c>
    </row>
    <row r="848" spans="23:23" x14ac:dyDescent="0.35">
      <c r="W848" t="str">
        <f t="shared" si="13"/>
        <v/>
      </c>
    </row>
    <row r="849" spans="23:23" x14ac:dyDescent="0.35">
      <c r="W849" t="str">
        <f t="shared" si="13"/>
        <v/>
      </c>
    </row>
    <row r="850" spans="23:23" x14ac:dyDescent="0.35">
      <c r="W850" t="str">
        <f t="shared" si="13"/>
        <v/>
      </c>
    </row>
    <row r="851" spans="23:23" x14ac:dyDescent="0.35">
      <c r="W851" t="str">
        <f t="shared" si="13"/>
        <v/>
      </c>
    </row>
    <row r="852" spans="23:23" x14ac:dyDescent="0.35">
      <c r="W852" t="str">
        <f t="shared" si="13"/>
        <v/>
      </c>
    </row>
    <row r="853" spans="23:23" x14ac:dyDescent="0.35">
      <c r="W853" t="str">
        <f t="shared" si="13"/>
        <v/>
      </c>
    </row>
    <row r="854" spans="23:23" x14ac:dyDescent="0.35">
      <c r="W854" t="str">
        <f t="shared" si="13"/>
        <v/>
      </c>
    </row>
    <row r="855" spans="23:23" x14ac:dyDescent="0.35">
      <c r="W855" t="str">
        <f t="shared" si="13"/>
        <v/>
      </c>
    </row>
    <row r="856" spans="23:23" x14ac:dyDescent="0.35">
      <c r="W856" t="str">
        <f t="shared" si="13"/>
        <v/>
      </c>
    </row>
    <row r="857" spans="23:23" x14ac:dyDescent="0.35">
      <c r="W857" t="str">
        <f t="shared" si="13"/>
        <v/>
      </c>
    </row>
    <row r="858" spans="23:23" x14ac:dyDescent="0.35">
      <c r="W858" t="str">
        <f t="shared" si="13"/>
        <v/>
      </c>
    </row>
    <row r="859" spans="23:23" x14ac:dyDescent="0.35">
      <c r="W859" t="str">
        <f t="shared" si="13"/>
        <v/>
      </c>
    </row>
    <row r="860" spans="23:23" x14ac:dyDescent="0.35">
      <c r="W860" t="str">
        <f t="shared" si="13"/>
        <v/>
      </c>
    </row>
    <row r="861" spans="23:23" x14ac:dyDescent="0.35">
      <c r="W861" t="str">
        <f t="shared" si="13"/>
        <v/>
      </c>
    </row>
    <row r="862" spans="23:23" x14ac:dyDescent="0.35">
      <c r="W862" t="str">
        <f t="shared" si="13"/>
        <v/>
      </c>
    </row>
    <row r="863" spans="23:23" x14ac:dyDescent="0.35">
      <c r="W863" t="str">
        <f t="shared" si="13"/>
        <v/>
      </c>
    </row>
    <row r="864" spans="23:23" x14ac:dyDescent="0.35">
      <c r="W864" t="str">
        <f t="shared" si="13"/>
        <v/>
      </c>
    </row>
    <row r="865" spans="23:23" x14ac:dyDescent="0.35">
      <c r="W865" t="str">
        <f t="shared" si="13"/>
        <v/>
      </c>
    </row>
    <row r="866" spans="23:23" x14ac:dyDescent="0.35">
      <c r="W866" t="str">
        <f t="shared" si="13"/>
        <v/>
      </c>
    </row>
    <row r="867" spans="23:23" x14ac:dyDescent="0.35">
      <c r="W867" t="str">
        <f t="shared" si="13"/>
        <v/>
      </c>
    </row>
    <row r="868" spans="23:23" x14ac:dyDescent="0.35">
      <c r="W868" t="str">
        <f t="shared" si="13"/>
        <v/>
      </c>
    </row>
    <row r="869" spans="23:23" x14ac:dyDescent="0.35">
      <c r="W869" t="str">
        <f t="shared" si="13"/>
        <v/>
      </c>
    </row>
    <row r="870" spans="23:23" x14ac:dyDescent="0.35">
      <c r="W870" t="str">
        <f t="shared" si="13"/>
        <v/>
      </c>
    </row>
    <row r="871" spans="23:23" x14ac:dyDescent="0.35">
      <c r="W871" t="str">
        <f t="shared" si="13"/>
        <v/>
      </c>
    </row>
    <row r="872" spans="23:23" x14ac:dyDescent="0.35">
      <c r="W872" t="str">
        <f t="shared" si="13"/>
        <v/>
      </c>
    </row>
    <row r="873" spans="23:23" x14ac:dyDescent="0.35">
      <c r="W873" t="str">
        <f t="shared" si="13"/>
        <v/>
      </c>
    </row>
    <row r="874" spans="23:23" x14ac:dyDescent="0.35">
      <c r="W874" t="str">
        <f t="shared" si="13"/>
        <v/>
      </c>
    </row>
    <row r="875" spans="23:23" x14ac:dyDescent="0.35">
      <c r="W875" t="str">
        <f t="shared" si="13"/>
        <v/>
      </c>
    </row>
    <row r="876" spans="23:23" x14ac:dyDescent="0.35">
      <c r="W876" t="str">
        <f t="shared" si="13"/>
        <v/>
      </c>
    </row>
    <row r="877" spans="23:23" x14ac:dyDescent="0.35">
      <c r="W877" t="str">
        <f t="shared" si="13"/>
        <v/>
      </c>
    </row>
    <row r="878" spans="23:23" x14ac:dyDescent="0.35">
      <c r="W878" t="str">
        <f t="shared" si="13"/>
        <v/>
      </c>
    </row>
    <row r="879" spans="23:23" x14ac:dyDescent="0.35">
      <c r="W879" t="str">
        <f t="shared" si="13"/>
        <v/>
      </c>
    </row>
    <row r="880" spans="23:23" x14ac:dyDescent="0.35">
      <c r="W880" t="str">
        <f t="shared" si="13"/>
        <v/>
      </c>
    </row>
    <row r="881" spans="23:23" x14ac:dyDescent="0.35">
      <c r="W881" t="str">
        <f t="shared" si="13"/>
        <v/>
      </c>
    </row>
    <row r="882" spans="23:23" x14ac:dyDescent="0.35">
      <c r="W882" t="str">
        <f t="shared" si="13"/>
        <v/>
      </c>
    </row>
    <row r="883" spans="23:23" x14ac:dyDescent="0.35">
      <c r="W883" t="str">
        <f t="shared" si="13"/>
        <v/>
      </c>
    </row>
    <row r="884" spans="23:23" x14ac:dyDescent="0.35">
      <c r="W884" t="str">
        <f t="shared" si="13"/>
        <v/>
      </c>
    </row>
    <row r="885" spans="23:23" x14ac:dyDescent="0.35">
      <c r="W885" t="str">
        <f t="shared" si="13"/>
        <v/>
      </c>
    </row>
    <row r="886" spans="23:23" x14ac:dyDescent="0.35">
      <c r="W886" t="str">
        <f t="shared" si="13"/>
        <v/>
      </c>
    </row>
    <row r="887" spans="23:23" x14ac:dyDescent="0.35">
      <c r="W887" t="str">
        <f t="shared" si="13"/>
        <v/>
      </c>
    </row>
    <row r="888" spans="23:23" x14ac:dyDescent="0.35">
      <c r="W888" t="str">
        <f t="shared" si="13"/>
        <v/>
      </c>
    </row>
    <row r="889" spans="23:23" x14ac:dyDescent="0.35">
      <c r="W889" t="str">
        <f t="shared" si="13"/>
        <v/>
      </c>
    </row>
    <row r="890" spans="23:23" x14ac:dyDescent="0.35">
      <c r="W890" t="str">
        <f t="shared" si="13"/>
        <v/>
      </c>
    </row>
    <row r="891" spans="23:23" x14ac:dyDescent="0.35">
      <c r="W891" t="str">
        <f t="shared" si="13"/>
        <v/>
      </c>
    </row>
    <row r="892" spans="23:23" x14ac:dyDescent="0.35">
      <c r="W892" t="str">
        <f t="shared" si="13"/>
        <v/>
      </c>
    </row>
    <row r="893" spans="23:23" x14ac:dyDescent="0.35">
      <c r="W893" t="str">
        <f t="shared" si="13"/>
        <v/>
      </c>
    </row>
    <row r="894" spans="23:23" x14ac:dyDescent="0.35">
      <c r="W894" t="str">
        <f t="shared" si="13"/>
        <v/>
      </c>
    </row>
    <row r="895" spans="23:23" x14ac:dyDescent="0.35">
      <c r="W895" t="str">
        <f t="shared" si="13"/>
        <v/>
      </c>
    </row>
    <row r="896" spans="23:23" x14ac:dyDescent="0.35">
      <c r="W896" t="str">
        <f t="shared" si="13"/>
        <v/>
      </c>
    </row>
    <row r="897" spans="23:23" x14ac:dyDescent="0.35">
      <c r="W897" t="str">
        <f t="shared" si="13"/>
        <v/>
      </c>
    </row>
    <row r="898" spans="23:23" x14ac:dyDescent="0.35">
      <c r="W898" t="str">
        <f t="shared" ref="W898:W961" si="14">IF(P898="","",YEAR(P898))</f>
        <v/>
      </c>
    </row>
    <row r="899" spans="23:23" x14ac:dyDescent="0.35">
      <c r="W899" t="str">
        <f t="shared" si="14"/>
        <v/>
      </c>
    </row>
    <row r="900" spans="23:23" x14ac:dyDescent="0.35">
      <c r="W900" t="str">
        <f t="shared" si="14"/>
        <v/>
      </c>
    </row>
    <row r="901" spans="23:23" x14ac:dyDescent="0.35">
      <c r="W901" t="str">
        <f t="shared" si="14"/>
        <v/>
      </c>
    </row>
    <row r="902" spans="23:23" x14ac:dyDescent="0.35">
      <c r="W902" t="str">
        <f t="shared" si="14"/>
        <v/>
      </c>
    </row>
    <row r="903" spans="23:23" x14ac:dyDescent="0.35">
      <c r="W903" t="str">
        <f t="shared" si="14"/>
        <v/>
      </c>
    </row>
    <row r="904" spans="23:23" x14ac:dyDescent="0.35">
      <c r="W904" t="str">
        <f t="shared" si="14"/>
        <v/>
      </c>
    </row>
    <row r="905" spans="23:23" x14ac:dyDescent="0.35">
      <c r="W905" t="str">
        <f t="shared" si="14"/>
        <v/>
      </c>
    </row>
    <row r="906" spans="23:23" x14ac:dyDescent="0.35">
      <c r="W906" t="str">
        <f t="shared" si="14"/>
        <v/>
      </c>
    </row>
    <row r="907" spans="23:23" x14ac:dyDescent="0.35">
      <c r="W907" t="str">
        <f t="shared" si="14"/>
        <v/>
      </c>
    </row>
    <row r="908" spans="23:23" x14ac:dyDescent="0.35">
      <c r="W908" t="str">
        <f t="shared" si="14"/>
        <v/>
      </c>
    </row>
    <row r="909" spans="23:23" x14ac:dyDescent="0.35">
      <c r="W909" t="str">
        <f t="shared" si="14"/>
        <v/>
      </c>
    </row>
    <row r="910" spans="23:23" x14ac:dyDescent="0.35">
      <c r="W910" t="str">
        <f t="shared" si="14"/>
        <v/>
      </c>
    </row>
    <row r="911" spans="23:23" x14ac:dyDescent="0.35">
      <c r="W911" t="str">
        <f t="shared" si="14"/>
        <v/>
      </c>
    </row>
    <row r="912" spans="23:23" x14ac:dyDescent="0.35">
      <c r="W912" t="str">
        <f t="shared" si="14"/>
        <v/>
      </c>
    </row>
    <row r="913" spans="23:23" x14ac:dyDescent="0.35">
      <c r="W913" t="str">
        <f t="shared" si="14"/>
        <v/>
      </c>
    </row>
    <row r="914" spans="23:23" x14ac:dyDescent="0.35">
      <c r="W914" t="str">
        <f t="shared" si="14"/>
        <v/>
      </c>
    </row>
    <row r="915" spans="23:23" x14ac:dyDescent="0.35">
      <c r="W915" t="str">
        <f t="shared" si="14"/>
        <v/>
      </c>
    </row>
    <row r="916" spans="23:23" x14ac:dyDescent="0.35">
      <c r="W916" t="str">
        <f t="shared" si="14"/>
        <v/>
      </c>
    </row>
    <row r="917" spans="23:23" x14ac:dyDescent="0.35">
      <c r="W917" t="str">
        <f t="shared" si="14"/>
        <v/>
      </c>
    </row>
    <row r="918" spans="23:23" x14ac:dyDescent="0.35">
      <c r="W918" t="str">
        <f t="shared" si="14"/>
        <v/>
      </c>
    </row>
    <row r="919" spans="23:23" x14ac:dyDescent="0.35">
      <c r="W919" t="str">
        <f t="shared" si="14"/>
        <v/>
      </c>
    </row>
    <row r="920" spans="23:23" x14ac:dyDescent="0.35">
      <c r="W920" t="str">
        <f t="shared" si="14"/>
        <v/>
      </c>
    </row>
    <row r="921" spans="23:23" x14ac:dyDescent="0.35">
      <c r="W921" t="str">
        <f t="shared" si="14"/>
        <v/>
      </c>
    </row>
    <row r="922" spans="23:23" x14ac:dyDescent="0.35">
      <c r="W922" t="str">
        <f t="shared" si="14"/>
        <v/>
      </c>
    </row>
    <row r="923" spans="23:23" x14ac:dyDescent="0.35">
      <c r="W923" t="str">
        <f t="shared" si="14"/>
        <v/>
      </c>
    </row>
    <row r="924" spans="23:23" x14ac:dyDescent="0.35">
      <c r="W924" t="str">
        <f t="shared" si="14"/>
        <v/>
      </c>
    </row>
    <row r="925" spans="23:23" x14ac:dyDescent="0.35">
      <c r="W925" t="str">
        <f t="shared" si="14"/>
        <v/>
      </c>
    </row>
    <row r="926" spans="23:23" x14ac:dyDescent="0.35">
      <c r="W926" t="str">
        <f t="shared" si="14"/>
        <v/>
      </c>
    </row>
    <row r="927" spans="23:23" x14ac:dyDescent="0.35">
      <c r="W927" t="str">
        <f t="shared" si="14"/>
        <v/>
      </c>
    </row>
    <row r="928" spans="23:23" x14ac:dyDescent="0.35">
      <c r="W928" t="str">
        <f t="shared" si="14"/>
        <v/>
      </c>
    </row>
    <row r="929" spans="23:23" x14ac:dyDescent="0.35">
      <c r="W929" t="str">
        <f t="shared" si="14"/>
        <v/>
      </c>
    </row>
    <row r="930" spans="23:23" x14ac:dyDescent="0.35">
      <c r="W930" t="str">
        <f t="shared" si="14"/>
        <v/>
      </c>
    </row>
    <row r="931" spans="23:23" x14ac:dyDescent="0.35">
      <c r="W931" t="str">
        <f t="shared" si="14"/>
        <v/>
      </c>
    </row>
    <row r="932" spans="23:23" x14ac:dyDescent="0.35">
      <c r="W932" t="str">
        <f t="shared" si="14"/>
        <v/>
      </c>
    </row>
    <row r="933" spans="23:23" x14ac:dyDescent="0.35">
      <c r="W933" t="str">
        <f t="shared" si="14"/>
        <v/>
      </c>
    </row>
    <row r="934" spans="23:23" x14ac:dyDescent="0.35">
      <c r="W934" t="str">
        <f t="shared" si="14"/>
        <v/>
      </c>
    </row>
    <row r="935" spans="23:23" x14ac:dyDescent="0.35">
      <c r="W935" t="str">
        <f t="shared" si="14"/>
        <v/>
      </c>
    </row>
    <row r="936" spans="23:23" x14ac:dyDescent="0.35">
      <c r="W936" t="str">
        <f t="shared" si="14"/>
        <v/>
      </c>
    </row>
    <row r="937" spans="23:23" x14ac:dyDescent="0.35">
      <c r="W937" t="str">
        <f t="shared" si="14"/>
        <v/>
      </c>
    </row>
    <row r="938" spans="23:23" x14ac:dyDescent="0.35">
      <c r="W938" t="str">
        <f t="shared" si="14"/>
        <v/>
      </c>
    </row>
    <row r="939" spans="23:23" x14ac:dyDescent="0.35">
      <c r="W939" t="str">
        <f t="shared" si="14"/>
        <v/>
      </c>
    </row>
    <row r="940" spans="23:23" x14ac:dyDescent="0.35">
      <c r="W940" t="str">
        <f t="shared" si="14"/>
        <v/>
      </c>
    </row>
    <row r="941" spans="23:23" x14ac:dyDescent="0.35">
      <c r="W941" t="str">
        <f t="shared" si="14"/>
        <v/>
      </c>
    </row>
    <row r="942" spans="23:23" x14ac:dyDescent="0.35">
      <c r="W942" t="str">
        <f t="shared" si="14"/>
        <v/>
      </c>
    </row>
    <row r="943" spans="23:23" x14ac:dyDescent="0.35">
      <c r="W943" t="str">
        <f t="shared" si="14"/>
        <v/>
      </c>
    </row>
    <row r="944" spans="23:23" x14ac:dyDescent="0.35">
      <c r="W944" t="str">
        <f t="shared" si="14"/>
        <v/>
      </c>
    </row>
    <row r="945" spans="23:23" x14ac:dyDescent="0.35">
      <c r="W945" t="str">
        <f t="shared" si="14"/>
        <v/>
      </c>
    </row>
    <row r="946" spans="23:23" x14ac:dyDescent="0.35">
      <c r="W946" t="str">
        <f t="shared" si="14"/>
        <v/>
      </c>
    </row>
    <row r="947" spans="23:23" x14ac:dyDescent="0.35">
      <c r="W947" t="str">
        <f t="shared" si="14"/>
        <v/>
      </c>
    </row>
    <row r="948" spans="23:23" x14ac:dyDescent="0.35">
      <c r="W948" t="str">
        <f t="shared" si="14"/>
        <v/>
      </c>
    </row>
    <row r="949" spans="23:23" x14ac:dyDescent="0.35">
      <c r="W949" t="str">
        <f t="shared" si="14"/>
        <v/>
      </c>
    </row>
    <row r="950" spans="23:23" x14ac:dyDescent="0.35">
      <c r="W950" t="str">
        <f t="shared" si="14"/>
        <v/>
      </c>
    </row>
    <row r="951" spans="23:23" x14ac:dyDescent="0.35">
      <c r="W951" t="str">
        <f t="shared" si="14"/>
        <v/>
      </c>
    </row>
    <row r="952" spans="23:23" x14ac:dyDescent="0.35">
      <c r="W952" t="str">
        <f t="shared" si="14"/>
        <v/>
      </c>
    </row>
    <row r="953" spans="23:23" x14ac:dyDescent="0.35">
      <c r="W953" t="str">
        <f t="shared" si="14"/>
        <v/>
      </c>
    </row>
    <row r="954" spans="23:23" x14ac:dyDescent="0.35">
      <c r="W954" t="str">
        <f t="shared" si="14"/>
        <v/>
      </c>
    </row>
    <row r="955" spans="23:23" x14ac:dyDescent="0.35">
      <c r="W955" t="str">
        <f t="shared" si="14"/>
        <v/>
      </c>
    </row>
    <row r="956" spans="23:23" x14ac:dyDescent="0.35">
      <c r="W956" t="str">
        <f t="shared" si="14"/>
        <v/>
      </c>
    </row>
    <row r="957" spans="23:23" x14ac:dyDescent="0.35">
      <c r="W957" t="str">
        <f t="shared" si="14"/>
        <v/>
      </c>
    </row>
    <row r="958" spans="23:23" x14ac:dyDescent="0.35">
      <c r="W958" t="str">
        <f t="shared" si="14"/>
        <v/>
      </c>
    </row>
    <row r="959" spans="23:23" x14ac:dyDescent="0.35">
      <c r="W959" t="str">
        <f t="shared" si="14"/>
        <v/>
      </c>
    </row>
    <row r="960" spans="23:23" x14ac:dyDescent="0.35">
      <c r="W960" t="str">
        <f t="shared" si="14"/>
        <v/>
      </c>
    </row>
    <row r="961" spans="23:23" x14ac:dyDescent="0.35">
      <c r="W961" t="str">
        <f t="shared" si="14"/>
        <v/>
      </c>
    </row>
    <row r="962" spans="23:23" x14ac:dyDescent="0.35">
      <c r="W962" t="str">
        <f t="shared" ref="W962:W1000" si="15">IF(P962="","",YEAR(P962))</f>
        <v/>
      </c>
    </row>
    <row r="963" spans="23:23" x14ac:dyDescent="0.35">
      <c r="W963" t="str">
        <f t="shared" si="15"/>
        <v/>
      </c>
    </row>
    <row r="964" spans="23:23" x14ac:dyDescent="0.35">
      <c r="W964" t="str">
        <f t="shared" si="15"/>
        <v/>
      </c>
    </row>
    <row r="965" spans="23:23" x14ac:dyDescent="0.35">
      <c r="W965" t="str">
        <f t="shared" si="15"/>
        <v/>
      </c>
    </row>
    <row r="966" spans="23:23" x14ac:dyDescent="0.35">
      <c r="W966" t="str">
        <f t="shared" si="15"/>
        <v/>
      </c>
    </row>
    <row r="967" spans="23:23" x14ac:dyDescent="0.35">
      <c r="W967" t="str">
        <f t="shared" si="15"/>
        <v/>
      </c>
    </row>
    <row r="968" spans="23:23" x14ac:dyDescent="0.35">
      <c r="W968" t="str">
        <f t="shared" si="15"/>
        <v/>
      </c>
    </row>
    <row r="969" spans="23:23" x14ac:dyDescent="0.35">
      <c r="W969" t="str">
        <f t="shared" si="15"/>
        <v/>
      </c>
    </row>
    <row r="970" spans="23:23" x14ac:dyDescent="0.35">
      <c r="W970" t="str">
        <f t="shared" si="15"/>
        <v/>
      </c>
    </row>
    <row r="971" spans="23:23" x14ac:dyDescent="0.35">
      <c r="W971" t="str">
        <f t="shared" si="15"/>
        <v/>
      </c>
    </row>
    <row r="972" spans="23:23" x14ac:dyDescent="0.35">
      <c r="W972" t="str">
        <f t="shared" si="15"/>
        <v/>
      </c>
    </row>
    <row r="973" spans="23:23" x14ac:dyDescent="0.35">
      <c r="W973" t="str">
        <f t="shared" si="15"/>
        <v/>
      </c>
    </row>
    <row r="974" spans="23:23" x14ac:dyDescent="0.35">
      <c r="W974" t="str">
        <f t="shared" si="15"/>
        <v/>
      </c>
    </row>
    <row r="975" spans="23:23" x14ac:dyDescent="0.35">
      <c r="W975" t="str">
        <f t="shared" si="15"/>
        <v/>
      </c>
    </row>
    <row r="976" spans="23:23" x14ac:dyDescent="0.35">
      <c r="W976" t="str">
        <f t="shared" si="15"/>
        <v/>
      </c>
    </row>
    <row r="977" spans="23:23" x14ac:dyDescent="0.35">
      <c r="W977" t="str">
        <f t="shared" si="15"/>
        <v/>
      </c>
    </row>
    <row r="978" spans="23:23" x14ac:dyDescent="0.35">
      <c r="W978" t="str">
        <f t="shared" si="15"/>
        <v/>
      </c>
    </row>
    <row r="979" spans="23:23" x14ac:dyDescent="0.35">
      <c r="W979" t="str">
        <f t="shared" si="15"/>
        <v/>
      </c>
    </row>
    <row r="980" spans="23:23" x14ac:dyDescent="0.35">
      <c r="W980" t="str">
        <f t="shared" si="15"/>
        <v/>
      </c>
    </row>
    <row r="981" spans="23:23" x14ac:dyDescent="0.35">
      <c r="W981" t="str">
        <f t="shared" si="15"/>
        <v/>
      </c>
    </row>
    <row r="982" spans="23:23" x14ac:dyDescent="0.35">
      <c r="W982" t="str">
        <f t="shared" si="15"/>
        <v/>
      </c>
    </row>
    <row r="983" spans="23:23" x14ac:dyDescent="0.35">
      <c r="W983" t="str">
        <f t="shared" si="15"/>
        <v/>
      </c>
    </row>
    <row r="984" spans="23:23" x14ac:dyDescent="0.35">
      <c r="W984" t="str">
        <f t="shared" si="15"/>
        <v/>
      </c>
    </row>
    <row r="985" spans="23:23" x14ac:dyDescent="0.35">
      <c r="W985" t="str">
        <f t="shared" si="15"/>
        <v/>
      </c>
    </row>
    <row r="986" spans="23:23" x14ac:dyDescent="0.35">
      <c r="W986" t="str">
        <f t="shared" si="15"/>
        <v/>
      </c>
    </row>
    <row r="987" spans="23:23" x14ac:dyDescent="0.35">
      <c r="W987" t="str">
        <f t="shared" si="15"/>
        <v/>
      </c>
    </row>
    <row r="988" spans="23:23" x14ac:dyDescent="0.35">
      <c r="W988" t="str">
        <f t="shared" si="15"/>
        <v/>
      </c>
    </row>
    <row r="989" spans="23:23" x14ac:dyDescent="0.35">
      <c r="W989" t="str">
        <f t="shared" si="15"/>
        <v/>
      </c>
    </row>
    <row r="990" spans="23:23" x14ac:dyDescent="0.35">
      <c r="W990" t="str">
        <f t="shared" si="15"/>
        <v/>
      </c>
    </row>
    <row r="991" spans="23:23" x14ac:dyDescent="0.35">
      <c r="W991" t="str">
        <f t="shared" si="15"/>
        <v/>
      </c>
    </row>
    <row r="992" spans="23:23" x14ac:dyDescent="0.35">
      <c r="W992" t="str">
        <f t="shared" si="15"/>
        <v/>
      </c>
    </row>
    <row r="993" spans="23:23" x14ac:dyDescent="0.35">
      <c r="W993" t="str">
        <f t="shared" si="15"/>
        <v/>
      </c>
    </row>
    <row r="994" spans="23:23" x14ac:dyDescent="0.35">
      <c r="W994" t="str">
        <f t="shared" si="15"/>
        <v/>
      </c>
    </row>
    <row r="995" spans="23:23" x14ac:dyDescent="0.35">
      <c r="W995" t="str">
        <f t="shared" si="15"/>
        <v/>
      </c>
    </row>
    <row r="996" spans="23:23" x14ac:dyDescent="0.35">
      <c r="W996" t="str">
        <f t="shared" si="15"/>
        <v/>
      </c>
    </row>
    <row r="997" spans="23:23" x14ac:dyDescent="0.35">
      <c r="W997" t="str">
        <f t="shared" si="15"/>
        <v/>
      </c>
    </row>
    <row r="998" spans="23:23" x14ac:dyDescent="0.35">
      <c r="W998" t="str">
        <f t="shared" si="15"/>
        <v/>
      </c>
    </row>
    <row r="999" spans="23:23" x14ac:dyDescent="0.35">
      <c r="W999" t="str">
        <f t="shared" si="15"/>
        <v/>
      </c>
    </row>
    <row r="1000" spans="23:23" x14ac:dyDescent="0.35">
      <c r="W1000" t="str">
        <f t="shared" si="15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800-000000000000}">
          <x14:formula1>
            <xm:f>DB_Lookups!$A$2:$A$20</xm:f>
          </x14:formula1>
          <xm:sqref>M2:M1000</xm:sqref>
        </x14:dataValidation>
        <x14:dataValidation type="list" allowBlank="1" xr:uid="{00000000-0002-0000-0800-000001000000}">
          <x14:formula1>
            <xm:f>DB_Lookups!$D$2:$D$10</xm:f>
          </x14:formula1>
          <xm:sqref>W2:W1000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P23"/>
  <sheetViews>
    <sheetView rightToLeft="1" topLeftCell="D1" workbookViewId="0">
      <selection activeCell="O1" sqref="O1:P1"/>
    </sheetView>
  </sheetViews>
  <sheetFormatPr defaultRowHeight="14.4" x14ac:dyDescent="0.3"/>
  <cols>
    <col min="1" max="1" width="7.5546875" bestFit="1" customWidth="1"/>
    <col min="2" max="2" width="14.44140625" bestFit="1" customWidth="1"/>
    <col min="3" max="3" width="13.44140625" bestFit="1" customWidth="1"/>
    <col min="4" max="4" width="22.109375" bestFit="1" customWidth="1"/>
    <col min="5" max="6" width="16" bestFit="1" customWidth="1"/>
    <col min="7" max="7" width="12.44140625" bestFit="1" customWidth="1"/>
    <col min="8" max="8" width="24.6640625" bestFit="1" customWidth="1"/>
    <col min="9" max="9" width="26.109375" bestFit="1" customWidth="1"/>
    <col min="10" max="10" width="26" bestFit="1" customWidth="1"/>
    <col min="11" max="11" width="32.33203125" bestFit="1" customWidth="1"/>
    <col min="12" max="12" width="28.77734375" bestFit="1" customWidth="1"/>
    <col min="13" max="13" width="14.6640625" bestFit="1" customWidth="1"/>
    <col min="14" max="14" width="8.88671875" bestFit="1" customWidth="1"/>
    <col min="15" max="15" width="18" customWidth="1"/>
    <col min="16" max="16" width="22" customWidth="1"/>
  </cols>
  <sheetData>
    <row r="1" spans="1:16" ht="17.399999999999999" customHeight="1" x14ac:dyDescent="0.3">
      <c r="A1" s="2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4" t="s">
        <v>38</v>
      </c>
      <c r="H1" s="2" t="s">
        <v>75</v>
      </c>
      <c r="I1" s="2" t="s">
        <v>76</v>
      </c>
      <c r="J1" s="2" t="s">
        <v>77</v>
      </c>
      <c r="K1" s="2" t="s">
        <v>78</v>
      </c>
      <c r="L1" s="2" t="s">
        <v>79</v>
      </c>
      <c r="M1" s="2" t="s">
        <v>16</v>
      </c>
      <c r="N1" s="2" t="s">
        <v>17</v>
      </c>
      <c r="O1" t="s">
        <v>19</v>
      </c>
      <c r="P1" t="s">
        <v>20</v>
      </c>
    </row>
    <row r="2" spans="1:16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6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6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6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6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6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6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6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6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6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6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6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6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DB_Lookups!$A$2:$A$20</xm:f>
          </x14:formula1>
          <xm:sqref>I2:I1000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23"/>
  <sheetViews>
    <sheetView rightToLeft="1" workbookViewId="0">
      <selection activeCell="A3" sqref="A3:XFD3"/>
    </sheetView>
  </sheetViews>
  <sheetFormatPr defaultRowHeight="14.4" x14ac:dyDescent="0.3"/>
  <cols>
    <col min="1" max="1" width="7.5546875" bestFit="1" customWidth="1"/>
    <col min="2" max="2" width="14.44140625" bestFit="1" customWidth="1"/>
    <col min="3" max="3" width="13.44140625" bestFit="1" customWidth="1"/>
    <col min="4" max="4" width="22.109375" bestFit="1" customWidth="1"/>
    <col min="5" max="6" width="16" bestFit="1" customWidth="1"/>
    <col min="7" max="7" width="12.44140625" bestFit="1" customWidth="1"/>
    <col min="8" max="8" width="24.6640625" bestFit="1" customWidth="1"/>
    <col min="9" max="9" width="26.109375" bestFit="1" customWidth="1"/>
    <col min="10" max="10" width="26" bestFit="1" customWidth="1"/>
    <col min="11" max="11" width="32.33203125" bestFit="1" customWidth="1"/>
    <col min="12" max="12" width="28.77734375" bestFit="1" customWidth="1"/>
    <col min="13" max="13" width="14.6640625" bestFit="1" customWidth="1"/>
    <col min="15" max="15" width="18" customWidth="1"/>
    <col min="16" max="16" width="22" customWidth="1"/>
  </cols>
  <sheetData>
    <row r="1" spans="1:16" ht="17.399999999999999" customHeight="1" x14ac:dyDescent="0.3">
      <c r="A1" s="2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4" t="s">
        <v>38</v>
      </c>
      <c r="H1" s="2" t="s">
        <v>75</v>
      </c>
      <c r="I1" s="2" t="s">
        <v>76</v>
      </c>
      <c r="J1" s="2" t="s">
        <v>77</v>
      </c>
      <c r="K1" s="2" t="s">
        <v>78</v>
      </c>
      <c r="L1" s="2" t="s">
        <v>79</v>
      </c>
      <c r="M1" s="2" t="s">
        <v>16</v>
      </c>
      <c r="N1" s="2" t="s">
        <v>17</v>
      </c>
      <c r="O1" t="s">
        <v>19</v>
      </c>
      <c r="P1" t="s">
        <v>20</v>
      </c>
    </row>
    <row r="2" spans="1:16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22"/>
    </row>
    <row r="4" spans="1:16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6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6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6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6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6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6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6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6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6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6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6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6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A00-000000000000}">
          <x14:formula1>
            <xm:f>DB_Lookups!$A$2:$A$20</xm:f>
          </x14:formula1>
          <xm:sqref>I2:I1000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500"/>
  <sheetViews>
    <sheetView rightToLeft="1" workbookViewId="0">
      <selection activeCell="C2" sqref="C2"/>
    </sheetView>
  </sheetViews>
  <sheetFormatPr defaultRowHeight="14.4" x14ac:dyDescent="0.3"/>
  <cols>
    <col min="2" max="2" width="12.44140625" bestFit="1" customWidth="1"/>
    <col min="3" max="3" width="13" bestFit="1" customWidth="1"/>
    <col min="4" max="4" width="17.88671875" bestFit="1" customWidth="1"/>
    <col min="5" max="5" width="26.6640625" bestFit="1" customWidth="1"/>
    <col min="6" max="9" width="26.6640625" customWidth="1"/>
    <col min="10" max="10" width="13" bestFit="1" customWidth="1"/>
    <col min="11" max="11" width="26.33203125" bestFit="1" customWidth="1"/>
    <col min="12" max="16" width="26.33203125" customWidth="1"/>
    <col min="17" max="17" width="34" bestFit="1" customWidth="1"/>
    <col min="18" max="18" width="27" bestFit="1" customWidth="1"/>
  </cols>
  <sheetData>
    <row r="1" spans="1:18" x14ac:dyDescent="0.3">
      <c r="A1" t="s">
        <v>0</v>
      </c>
      <c r="B1" t="s">
        <v>6</v>
      </c>
      <c r="C1" t="s">
        <v>80</v>
      </c>
      <c r="D1" t="s">
        <v>81</v>
      </c>
      <c r="E1" t="s">
        <v>8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57</v>
      </c>
      <c r="Q1" t="s">
        <v>92</v>
      </c>
      <c r="R1" t="s">
        <v>93</v>
      </c>
    </row>
    <row r="2" spans="1:18" x14ac:dyDescent="0.3">
      <c r="F2" t="str">
        <f>IF(B2="","",SUMIFS(DB_All!$M$2:$M$1000,DB_All!$G$2:$G$1000,B2,DB_All!$L$2:$L$1000,"تحت إجراءات التعاقد"))</f>
        <v/>
      </c>
      <c r="G2" t="str">
        <f>IF(B2="","",COUNTIFS(DB_All!$G$2:$G$1000,B2,DB_All!$L$2:$L$1000,"تحت إجراءات التعاقد"))</f>
        <v/>
      </c>
      <c r="H2" t="str">
        <f>IF(B2="","",SUMIFS(DB_All!$N$2:$N$1000,DB_All!$G$2:$G$1000,B2,DB_All!$L$2:$L$1000,"تم التوقيع"))</f>
        <v/>
      </c>
      <c r="I2" t="str">
        <f>IF(B2="","",COUNTIFS(DB_All!$G$2:$G$1000,B2,DB_All!$L$2:$L$1000,"تم التوقيع"))</f>
        <v/>
      </c>
      <c r="J2">
        <f t="shared" ref="J2:J65" si="0">IFERROR(H2/D2,0)</f>
        <v>0</v>
      </c>
      <c r="K2" t="str">
        <f>IF(B2="","",SUMIFS('المطالبات 2026'!$J:$J,'المطالبات 2026'!$E:$E,B2,'المطالبات 2026'!$I:$I,"مطالبة مرفوعة للمالية") + SUMIFS('المطالبات 2025'!$J:$J,'المطالبات 2025'!$E:$E,B2,'المطالبات 2025'!$I:$I,"مطالبة مرفوعة للمالية"))</f>
        <v/>
      </c>
      <c r="L2" t="str">
        <f>IF(B2="","",COUNTIFS('المطالبات 2026'!$E:$E,B2,'المطالبات 2026'!$I:$I,"مطالبة مرفوعة للمالية") + COUNTIFS('المطالبات 2025'!$E:$E,B2,'المطالبات 2025'!$I:$I,"مطالبة مرفوعة للمالية"))</f>
        <v/>
      </c>
      <c r="M2">
        <f t="shared" ref="M2:M65" si="1">IFERROR(K2/D2,0)</f>
        <v>0</v>
      </c>
      <c r="N2" t="str">
        <f>IF(B2="","",SUMIFS(DB_All!$N$2:$N$1000,DB_All!$G$2:$G$1000,B2,DB_All!$L$2:$L$1000,"تحت إجراءات التوريد"))</f>
        <v/>
      </c>
      <c r="O2" t="str">
        <f>IF(B2="","",COUNTIFS(DB_All!$G$2:$G$1000,B2,DB_All!$L$2:$L$1000,"تحت إجراءات التوريد"))</f>
        <v/>
      </c>
      <c r="P2" t="str">
        <f>IF(B2="","",SUMIFS(DB_All!$N$2:$N$1000,DB_All!$G$2:$G$1000,B2,DB_All!$L$2:$L$1000,"بانتظار سندات الاستلام \ شهادة الإنجاز"))</f>
        <v/>
      </c>
      <c r="Q2" t="str">
        <f>IF(B2="","",COUNTIFS(DB_All!$G$2:$G$1000,B2,DB_All!$L$2:$L$1000,"بانتظار سندات الاستلام \ شهادة الإنجاز"))</f>
        <v/>
      </c>
      <c r="R2" t="str">
        <f t="shared" ref="R2:R65" si="2">IF(B2="","",F2+H2)</f>
        <v/>
      </c>
    </row>
    <row r="3" spans="1:18" x14ac:dyDescent="0.3">
      <c r="F3" t="str">
        <f>IF(B3="","",SUMIFS(DB_All!$M$2:$M$1000,DB_All!$G$2:$G$1000,B3,DB_All!$L$2:$L$1000,"تحت إجراءات التعاقد"))</f>
        <v/>
      </c>
      <c r="G3" t="str">
        <f>IF(B3="","",COUNTIFS(DB_All!$G$2:$G$1000,B3,DB_All!$L$2:$L$1000,"تحت إجراءات التعاقد"))</f>
        <v/>
      </c>
      <c r="H3" t="str">
        <f>IF(B3="","",SUMIFS(DB_All!$N$2:$N$1000,DB_All!$G$2:$G$1000,B3,DB_All!$L$2:$L$1000,"تم التوقيع"))</f>
        <v/>
      </c>
      <c r="I3" t="str">
        <f>IF(B3="","",COUNTIFS(DB_All!$G$2:$G$1000,B3,DB_All!$L$2:$L$1000,"تم التوقيع"))</f>
        <v/>
      </c>
      <c r="J3">
        <f t="shared" si="0"/>
        <v>0</v>
      </c>
      <c r="K3" t="str">
        <f>IF(B3="","",SUMIFS('المطالبات 2026'!$J:$J,'المطالبات 2026'!$E:$E,B3,'المطالبات 2026'!$I:$I,"مطالبة مرفوعة للمالية") + SUMIFS('المطالبات 2025'!$J:$J,'المطالبات 2025'!$E:$E,B3,'المطالبات 2025'!$I:$I,"مطالبة مرفوعة للمالية"))</f>
        <v/>
      </c>
      <c r="L3" t="str">
        <f>IF(B3="","",COUNTIFS('المطالبات 2026'!$E:$E,B3,'المطالبات 2026'!$I:$I,"مطالبة مرفوعة للمالية") + COUNTIFS('المطالبات 2025'!$E:$E,B3,'المطالبات 2025'!$I:$I,"مطالبة مرفوعة للمالية"))</f>
        <v/>
      </c>
      <c r="M3">
        <f t="shared" si="1"/>
        <v>0</v>
      </c>
      <c r="N3" t="str">
        <f>IF(B3="","",SUMIFS(DB_All!$N$2:$N$1000,DB_All!$G$2:$G$1000,B3,DB_All!$L$2:$L$1000,"تحت إجراءات التوريد"))</f>
        <v/>
      </c>
      <c r="O3" t="str">
        <f>IF(B3="","",COUNTIFS(DB_All!$G$2:$G$1000,B3,DB_All!$L$2:$L$1000,"تحت إجراءات التوريد"))</f>
        <v/>
      </c>
      <c r="P3" t="str">
        <f>IF(B3="","",SUMIFS(DB_All!$N$2:$N$1000,DB_All!$G$2:$G$1000,B3,DB_All!$L$2:$L$1000,"بانتظار سندات الاستلام \ شهادة الإنجاز"))</f>
        <v/>
      </c>
      <c r="Q3" t="str">
        <f>IF(B3="","",COUNTIFS(DB_All!$G$2:$G$1000,B3,DB_All!$L$2:$L$1000,"بانتظار سندات الاستلام \ شهادة الإنجاز"))</f>
        <v/>
      </c>
      <c r="R3" t="str">
        <f t="shared" si="2"/>
        <v/>
      </c>
    </row>
    <row r="4" spans="1:18" x14ac:dyDescent="0.3">
      <c r="F4" t="str">
        <f>IF(B4="","",SUMIFS(DB_All!$M$2:$M$1000,DB_All!$G$2:$G$1000,B4,DB_All!$L$2:$L$1000,"تحت إجراءات التعاقد"))</f>
        <v/>
      </c>
      <c r="G4" t="str">
        <f>IF(B4="","",COUNTIFS(DB_All!$G$2:$G$1000,B4,DB_All!$L$2:$L$1000,"تحت إجراءات التعاقد"))</f>
        <v/>
      </c>
      <c r="H4" t="str">
        <f>IF(B4="","",SUMIFS(DB_All!$N$2:$N$1000,DB_All!$G$2:$G$1000,B4,DB_All!$L$2:$L$1000,"تم التوقيع"))</f>
        <v/>
      </c>
      <c r="I4" t="str">
        <f>IF(B4="","",COUNTIFS(DB_All!$G$2:$G$1000,B4,DB_All!$L$2:$L$1000,"تم التوقيع"))</f>
        <v/>
      </c>
      <c r="J4">
        <f t="shared" si="0"/>
        <v>0</v>
      </c>
      <c r="K4" t="str">
        <f>IF(B4="","",SUMIFS('المطالبات 2026'!$J:$J,'المطالبات 2026'!$E:$E,B4,'المطالبات 2026'!$I:$I,"مطالبة مرفوعة للمالية") + SUMIFS('المطالبات 2025'!$J:$J,'المطالبات 2025'!$E:$E,B4,'المطالبات 2025'!$I:$I,"مطالبة مرفوعة للمالية"))</f>
        <v/>
      </c>
      <c r="L4" t="str">
        <f>IF(B4="","",COUNTIFS('المطالبات 2026'!$E:$E,B4,'المطالبات 2026'!$I:$I,"مطالبة مرفوعة للمالية") + COUNTIFS('المطالبات 2025'!$E:$E,B4,'المطالبات 2025'!$I:$I,"مطالبة مرفوعة للمالية"))</f>
        <v/>
      </c>
      <c r="M4">
        <f t="shared" si="1"/>
        <v>0</v>
      </c>
      <c r="N4" t="str">
        <f>IF(B4="","",SUMIFS(DB_All!$N$2:$N$1000,DB_All!$G$2:$G$1000,B4,DB_All!$L$2:$L$1000,"تحت إجراءات التوريد"))</f>
        <v/>
      </c>
      <c r="O4" t="str">
        <f>IF(B4="","",COUNTIFS(DB_All!$G$2:$G$1000,B4,DB_All!$L$2:$L$1000,"تحت إجراءات التوريد"))</f>
        <v/>
      </c>
      <c r="P4" t="str">
        <f>IF(B4="","",SUMIFS(DB_All!$N$2:$N$1000,DB_All!$G$2:$G$1000,B4,DB_All!$L$2:$L$1000,"بانتظار سندات الاستلام \ شهادة الإنجاز"))</f>
        <v/>
      </c>
      <c r="Q4" t="str">
        <f>IF(B4="","",COUNTIFS(DB_All!$G$2:$G$1000,B4,DB_All!$L$2:$L$1000,"بانتظار سندات الاستلام \ شهادة الإنجاز"))</f>
        <v/>
      </c>
      <c r="R4" t="str">
        <f t="shared" si="2"/>
        <v/>
      </c>
    </row>
    <row r="5" spans="1:18" x14ac:dyDescent="0.3">
      <c r="F5" t="str">
        <f>IF(B5="","",SUMIFS(DB_All!$M$2:$M$1000,DB_All!$G$2:$G$1000,B5,DB_All!$L$2:$L$1000,"تحت إجراءات التعاقد"))</f>
        <v/>
      </c>
      <c r="G5" t="str">
        <f>IF(B5="","",COUNTIFS(DB_All!$G$2:$G$1000,B5,DB_All!$L$2:$L$1000,"تحت إجراءات التعاقد"))</f>
        <v/>
      </c>
      <c r="H5" t="str">
        <f>IF(B5="","",SUMIFS(DB_All!$N$2:$N$1000,DB_All!$G$2:$G$1000,B5,DB_All!$L$2:$L$1000,"تم التوقيع"))</f>
        <v/>
      </c>
      <c r="I5" t="str">
        <f>IF(B5="","",COUNTIFS(DB_All!$G$2:$G$1000,B5,DB_All!$L$2:$L$1000,"تم التوقيع"))</f>
        <v/>
      </c>
      <c r="J5">
        <f t="shared" si="0"/>
        <v>0</v>
      </c>
      <c r="K5" t="str">
        <f>IF(B5="","",SUMIFS('المطالبات 2026'!$J:$J,'المطالبات 2026'!$E:$E,B5,'المطالبات 2026'!$I:$I,"مطالبة مرفوعة للمالية") + SUMIFS('المطالبات 2025'!$J:$J,'المطالبات 2025'!$E:$E,B5,'المطالبات 2025'!$I:$I,"مطالبة مرفوعة للمالية"))</f>
        <v/>
      </c>
      <c r="L5" t="str">
        <f>IF(B5="","",COUNTIFS('المطالبات 2026'!$E:$E,B5,'المطالبات 2026'!$I:$I,"مطالبة مرفوعة للمالية") + COUNTIFS('المطالبات 2025'!$E:$E,B5,'المطالبات 2025'!$I:$I,"مطالبة مرفوعة للمالية"))</f>
        <v/>
      </c>
      <c r="M5">
        <f t="shared" si="1"/>
        <v>0</v>
      </c>
      <c r="N5" t="str">
        <f>IF(B5="","",SUMIFS(DB_All!$N$2:$N$1000,DB_All!$G$2:$G$1000,B5,DB_All!$L$2:$L$1000,"تحت إجراءات التوريد"))</f>
        <v/>
      </c>
      <c r="O5" t="str">
        <f>IF(B5="","",COUNTIFS(DB_All!$G$2:$G$1000,B5,DB_All!$L$2:$L$1000,"تحت إجراءات التوريد"))</f>
        <v/>
      </c>
      <c r="P5" t="str">
        <f>IF(B5="","",SUMIFS(DB_All!$N$2:$N$1000,DB_All!$G$2:$G$1000,B5,DB_All!$L$2:$L$1000,"بانتظار سندات الاستلام \ شهادة الإنجاز"))</f>
        <v/>
      </c>
      <c r="Q5" t="str">
        <f>IF(B5="","",COUNTIFS(DB_All!$G$2:$G$1000,B5,DB_All!$L$2:$L$1000,"بانتظار سندات الاستلام \ شهادة الإنجاز"))</f>
        <v/>
      </c>
      <c r="R5" t="str">
        <f t="shared" si="2"/>
        <v/>
      </c>
    </row>
    <row r="6" spans="1:18" x14ac:dyDescent="0.3">
      <c r="F6" t="str">
        <f>IF(B6="","",SUMIFS(DB_All!$M$2:$M$1000,DB_All!$G$2:$G$1000,B6,DB_All!$L$2:$L$1000,"تحت إجراءات التعاقد"))</f>
        <v/>
      </c>
      <c r="G6" t="str">
        <f>IF(B6="","",COUNTIFS(DB_All!$G$2:$G$1000,B6,DB_All!$L$2:$L$1000,"تحت إجراءات التعاقد"))</f>
        <v/>
      </c>
      <c r="H6" t="str">
        <f>IF(B6="","",SUMIFS(DB_All!$N$2:$N$1000,DB_All!$G$2:$G$1000,B6,DB_All!$L$2:$L$1000,"تم التوقيع"))</f>
        <v/>
      </c>
      <c r="I6" t="str">
        <f>IF(B6="","",COUNTIFS(DB_All!$G$2:$G$1000,B6,DB_All!$L$2:$L$1000,"تم التوقيع"))</f>
        <v/>
      </c>
      <c r="J6">
        <f t="shared" si="0"/>
        <v>0</v>
      </c>
      <c r="K6" t="str">
        <f>IF(B6="","",SUMIFS('المطالبات 2026'!$J:$J,'المطالبات 2026'!$E:$E,B6,'المطالبات 2026'!$I:$I,"مطالبة مرفوعة للمالية") + SUMIFS('المطالبات 2025'!$J:$J,'المطالبات 2025'!$E:$E,B6,'المطالبات 2025'!$I:$I,"مطالبة مرفوعة للمالية"))</f>
        <v/>
      </c>
      <c r="L6" t="str">
        <f>IF(B6="","",COUNTIFS('المطالبات 2026'!$E:$E,B6,'المطالبات 2026'!$I:$I,"مطالبة مرفوعة للمالية") + COUNTIFS('المطالبات 2025'!$E:$E,B6,'المطالبات 2025'!$I:$I,"مطالبة مرفوعة للمالية"))</f>
        <v/>
      </c>
      <c r="M6">
        <f t="shared" si="1"/>
        <v>0</v>
      </c>
      <c r="N6" t="str">
        <f>IF(B6="","",SUMIFS(DB_All!$N$2:$N$1000,DB_All!$G$2:$G$1000,B6,DB_All!$L$2:$L$1000,"تحت إجراءات التوريد"))</f>
        <v/>
      </c>
      <c r="O6" t="str">
        <f>IF(B6="","",COUNTIFS(DB_All!$G$2:$G$1000,B6,DB_All!$L$2:$L$1000,"تحت إجراءات التوريد"))</f>
        <v/>
      </c>
      <c r="P6" t="str">
        <f>IF(B6="","",SUMIFS(DB_All!$N$2:$N$1000,DB_All!$G$2:$G$1000,B6,DB_All!$L$2:$L$1000,"بانتظار سندات الاستلام \ شهادة الإنجاز"))</f>
        <v/>
      </c>
      <c r="Q6" t="str">
        <f>IF(B6="","",COUNTIFS(DB_All!$G$2:$G$1000,B6,DB_All!$L$2:$L$1000,"بانتظار سندات الاستلام \ شهادة الإنجاز"))</f>
        <v/>
      </c>
      <c r="R6" t="str">
        <f t="shared" si="2"/>
        <v/>
      </c>
    </row>
    <row r="7" spans="1:18" x14ac:dyDescent="0.3">
      <c r="F7" t="str">
        <f>IF(B7="","",SUMIFS(DB_All!$M$2:$M$1000,DB_All!$G$2:$G$1000,B7,DB_All!$L$2:$L$1000,"تحت إجراءات التعاقد"))</f>
        <v/>
      </c>
      <c r="G7" t="str">
        <f>IF(B7="","",COUNTIFS(DB_All!$G$2:$G$1000,B7,DB_All!$L$2:$L$1000,"تحت إجراءات التعاقد"))</f>
        <v/>
      </c>
      <c r="H7" t="str">
        <f>IF(B7="","",SUMIFS(DB_All!$N$2:$N$1000,DB_All!$G$2:$G$1000,B7,DB_All!$L$2:$L$1000,"تم التوقيع"))</f>
        <v/>
      </c>
      <c r="I7" t="str">
        <f>IF(B7="","",COUNTIFS(DB_All!$G$2:$G$1000,B7,DB_All!$L$2:$L$1000,"تم التوقيع"))</f>
        <v/>
      </c>
      <c r="J7">
        <f t="shared" si="0"/>
        <v>0</v>
      </c>
      <c r="K7" t="str">
        <f>IF(B7="","",SUMIFS('المطالبات 2026'!$J:$J,'المطالبات 2026'!$E:$E,B7,'المطالبات 2026'!$I:$I,"مطالبة مرفوعة للمالية") + SUMIFS('المطالبات 2025'!$J:$J,'المطالبات 2025'!$E:$E,B7,'المطالبات 2025'!$I:$I,"مطالبة مرفوعة للمالية"))</f>
        <v/>
      </c>
      <c r="L7" t="str">
        <f>IF(B7="","",COUNTIFS('المطالبات 2026'!$E:$E,B7,'المطالبات 2026'!$I:$I,"مطالبة مرفوعة للمالية") + COUNTIFS('المطالبات 2025'!$E:$E,B7,'المطالبات 2025'!$I:$I,"مطالبة مرفوعة للمالية"))</f>
        <v/>
      </c>
      <c r="M7">
        <f t="shared" si="1"/>
        <v>0</v>
      </c>
      <c r="N7" t="str">
        <f>IF(B7="","",SUMIFS(DB_All!$N$2:$N$1000,DB_All!$G$2:$G$1000,B7,DB_All!$L$2:$L$1000,"تحت إجراءات التوريد"))</f>
        <v/>
      </c>
      <c r="O7" t="str">
        <f>IF(B7="","",COUNTIFS(DB_All!$G$2:$G$1000,B7,DB_All!$L$2:$L$1000,"تحت إجراءات التوريد"))</f>
        <v/>
      </c>
      <c r="P7" t="str">
        <f>IF(B7="","",SUMIFS(DB_All!$N$2:$N$1000,DB_All!$G$2:$G$1000,B7,DB_All!$L$2:$L$1000,"بانتظار سندات الاستلام \ شهادة الإنجاز"))</f>
        <v/>
      </c>
      <c r="Q7" t="str">
        <f>IF(B7="","",COUNTIFS(DB_All!$G$2:$G$1000,B7,DB_All!$L$2:$L$1000,"بانتظار سندات الاستلام \ شهادة الإنجاز"))</f>
        <v/>
      </c>
      <c r="R7" t="str">
        <f t="shared" si="2"/>
        <v/>
      </c>
    </row>
    <row r="8" spans="1:18" x14ac:dyDescent="0.3">
      <c r="F8" t="str">
        <f>IF(B8="","",SUMIFS(DB_All!$M$2:$M$1000,DB_All!$G$2:$G$1000,B8,DB_All!$L$2:$L$1000,"تحت إجراءات التعاقد"))</f>
        <v/>
      </c>
      <c r="G8" t="str">
        <f>IF(B8="","",COUNTIFS(DB_All!$G$2:$G$1000,B8,DB_All!$L$2:$L$1000,"تحت إجراءات التعاقد"))</f>
        <v/>
      </c>
      <c r="H8" t="str">
        <f>IF(B8="","",SUMIFS(DB_All!$N$2:$N$1000,DB_All!$G$2:$G$1000,B8,DB_All!$L$2:$L$1000,"تم التوقيع"))</f>
        <v/>
      </c>
      <c r="I8" t="str">
        <f>IF(B8="","",COUNTIFS(DB_All!$G$2:$G$1000,B8,DB_All!$L$2:$L$1000,"تم التوقيع"))</f>
        <v/>
      </c>
      <c r="J8">
        <f t="shared" si="0"/>
        <v>0</v>
      </c>
      <c r="K8" t="str">
        <f>IF(B8="","",SUMIFS('المطالبات 2026'!$J:$J,'المطالبات 2026'!$E:$E,B8,'المطالبات 2026'!$I:$I,"مطالبة مرفوعة للمالية") + SUMIFS('المطالبات 2025'!$J:$J,'المطالبات 2025'!$E:$E,B8,'المطالبات 2025'!$I:$I,"مطالبة مرفوعة للمالية"))</f>
        <v/>
      </c>
      <c r="L8" t="str">
        <f>IF(B8="","",COUNTIFS('المطالبات 2026'!$E:$E,B8,'المطالبات 2026'!$I:$I,"مطالبة مرفوعة للمالية") + COUNTIFS('المطالبات 2025'!$E:$E,B8,'المطالبات 2025'!$I:$I,"مطالبة مرفوعة للمالية"))</f>
        <v/>
      </c>
      <c r="M8">
        <f t="shared" si="1"/>
        <v>0</v>
      </c>
      <c r="N8" t="str">
        <f>IF(B8="","",SUMIFS(DB_All!$N$2:$N$1000,DB_All!$G$2:$G$1000,B8,DB_All!$L$2:$L$1000,"تحت إجراءات التوريد"))</f>
        <v/>
      </c>
      <c r="O8" t="str">
        <f>IF(B8="","",COUNTIFS(DB_All!$G$2:$G$1000,B8,DB_All!$L$2:$L$1000,"تحت إجراءات التوريد"))</f>
        <v/>
      </c>
      <c r="P8" t="str">
        <f>IF(B8="","",SUMIFS(DB_All!$N$2:$N$1000,DB_All!$G$2:$G$1000,B8,DB_All!$L$2:$L$1000,"بانتظار سندات الاستلام \ شهادة الإنجاز"))</f>
        <v/>
      </c>
      <c r="Q8" t="str">
        <f>IF(B8="","",COUNTIFS(DB_All!$G$2:$G$1000,B8,DB_All!$L$2:$L$1000,"بانتظار سندات الاستلام \ شهادة الإنجاز"))</f>
        <v/>
      </c>
      <c r="R8" t="str">
        <f t="shared" si="2"/>
        <v/>
      </c>
    </row>
    <row r="9" spans="1:18" x14ac:dyDescent="0.3">
      <c r="F9" t="str">
        <f>IF(B9="","",SUMIFS(DB_All!$M$2:$M$1000,DB_All!$G$2:$G$1000,B9,DB_All!$L$2:$L$1000,"تحت إجراءات التعاقد"))</f>
        <v/>
      </c>
      <c r="G9" t="str">
        <f>IF(B9="","",COUNTIFS(DB_All!$G$2:$G$1000,B9,DB_All!$L$2:$L$1000,"تحت إجراءات التعاقد"))</f>
        <v/>
      </c>
      <c r="H9" t="str">
        <f>IF(B9="","",SUMIFS(DB_All!$N$2:$N$1000,DB_All!$G$2:$G$1000,B9,DB_All!$L$2:$L$1000,"تم التوقيع"))</f>
        <v/>
      </c>
      <c r="I9" t="str">
        <f>IF(B9="","",COUNTIFS(DB_All!$G$2:$G$1000,B9,DB_All!$L$2:$L$1000,"تم التوقيع"))</f>
        <v/>
      </c>
      <c r="J9">
        <f t="shared" si="0"/>
        <v>0</v>
      </c>
      <c r="K9" t="str">
        <f>IF(B9="","",SUMIFS('المطالبات 2026'!$J:$J,'المطالبات 2026'!$E:$E,B9,'المطالبات 2026'!$I:$I,"مطالبة مرفوعة للمالية") + SUMIFS('المطالبات 2025'!$J:$J,'المطالبات 2025'!$E:$E,B9,'المطالبات 2025'!$I:$I,"مطالبة مرفوعة للمالية"))</f>
        <v/>
      </c>
      <c r="L9" t="str">
        <f>IF(B9="","",COUNTIFS('المطالبات 2026'!$E:$E,B9,'المطالبات 2026'!$I:$I,"مطالبة مرفوعة للمالية") + COUNTIFS('المطالبات 2025'!$E:$E,B9,'المطالبات 2025'!$I:$I,"مطالبة مرفوعة للمالية"))</f>
        <v/>
      </c>
      <c r="M9">
        <f t="shared" si="1"/>
        <v>0</v>
      </c>
      <c r="N9" t="str">
        <f>IF(B9="","",SUMIFS(DB_All!$N$2:$N$1000,DB_All!$G$2:$G$1000,B9,DB_All!$L$2:$L$1000,"تحت إجراءات التوريد"))</f>
        <v/>
      </c>
      <c r="O9" t="str">
        <f>IF(B9="","",COUNTIFS(DB_All!$G$2:$G$1000,B9,DB_All!$L$2:$L$1000,"تحت إجراءات التوريد"))</f>
        <v/>
      </c>
      <c r="P9" t="str">
        <f>IF(B9="","",SUMIFS(DB_All!$N$2:$N$1000,DB_All!$G$2:$G$1000,B9,DB_All!$L$2:$L$1000,"بانتظار سندات الاستلام \ شهادة الإنجاز"))</f>
        <v/>
      </c>
      <c r="Q9" t="str">
        <f>IF(B9="","",COUNTIFS(DB_All!$G$2:$G$1000,B9,DB_All!$L$2:$L$1000,"بانتظار سندات الاستلام \ شهادة الإنجاز"))</f>
        <v/>
      </c>
      <c r="R9" t="str">
        <f t="shared" si="2"/>
        <v/>
      </c>
    </row>
    <row r="10" spans="1:18" x14ac:dyDescent="0.3">
      <c r="F10" t="str">
        <f>IF(B10="","",SUMIFS(DB_All!$M$2:$M$1000,DB_All!$G$2:$G$1000,B10,DB_All!$L$2:$L$1000,"تحت إجراءات التعاقد"))</f>
        <v/>
      </c>
      <c r="G10" t="str">
        <f>IF(B10="","",COUNTIFS(DB_All!$G$2:$G$1000,B10,DB_All!$L$2:$L$1000,"تحت إجراءات التعاقد"))</f>
        <v/>
      </c>
      <c r="H10" t="str">
        <f>IF(B10="","",SUMIFS(DB_All!$N$2:$N$1000,DB_All!$G$2:$G$1000,B10,DB_All!$L$2:$L$1000,"تم التوقيع"))</f>
        <v/>
      </c>
      <c r="I10" t="str">
        <f>IF(B10="","",COUNTIFS(DB_All!$G$2:$G$1000,B10,DB_All!$L$2:$L$1000,"تم التوقيع"))</f>
        <v/>
      </c>
      <c r="J10">
        <f t="shared" si="0"/>
        <v>0</v>
      </c>
      <c r="K10" t="str">
        <f>IF(B10="","",SUMIFS('المطالبات 2026'!$J:$J,'المطالبات 2026'!$E:$E,B10,'المطالبات 2026'!$I:$I,"مطالبة مرفوعة للمالية") + SUMIFS('المطالبات 2025'!$J:$J,'المطالبات 2025'!$E:$E,B10,'المطالبات 2025'!$I:$I,"مطالبة مرفوعة للمالية"))</f>
        <v/>
      </c>
      <c r="L10" t="str">
        <f>IF(B10="","",COUNTIFS('المطالبات 2026'!$E:$E,B10,'المطالبات 2026'!$I:$I,"مطالبة مرفوعة للمالية") + COUNTIFS('المطالبات 2025'!$E:$E,B10,'المطالبات 2025'!$I:$I,"مطالبة مرفوعة للمالية"))</f>
        <v/>
      </c>
      <c r="M10">
        <f t="shared" si="1"/>
        <v>0</v>
      </c>
      <c r="N10" t="str">
        <f>IF(B10="","",SUMIFS(DB_All!$N$2:$N$1000,DB_All!$G$2:$G$1000,B10,DB_All!$L$2:$L$1000,"تحت إجراءات التوريد"))</f>
        <v/>
      </c>
      <c r="O10" t="str">
        <f>IF(B10="","",COUNTIFS(DB_All!$G$2:$G$1000,B10,DB_All!$L$2:$L$1000,"تحت إجراءات التوريد"))</f>
        <v/>
      </c>
      <c r="P10" t="str">
        <f>IF(B10="","",SUMIFS(DB_All!$N$2:$N$1000,DB_All!$G$2:$G$1000,B10,DB_All!$L$2:$L$1000,"بانتظار سندات الاستلام \ شهادة الإنجاز"))</f>
        <v/>
      </c>
      <c r="Q10" t="str">
        <f>IF(B10="","",COUNTIFS(DB_All!$G$2:$G$1000,B10,DB_All!$L$2:$L$1000,"بانتظار سندات الاستلام \ شهادة الإنجاز"))</f>
        <v/>
      </c>
      <c r="R10" t="str">
        <f t="shared" si="2"/>
        <v/>
      </c>
    </row>
    <row r="11" spans="1:18" x14ac:dyDescent="0.3">
      <c r="F11" t="str">
        <f>IF(B11="","",SUMIFS(DB_All!$M$2:$M$1000,DB_All!$G$2:$G$1000,B11,DB_All!$L$2:$L$1000,"تحت إجراءات التعاقد"))</f>
        <v/>
      </c>
      <c r="G11" t="str">
        <f>IF(B11="","",COUNTIFS(DB_All!$G$2:$G$1000,B11,DB_All!$L$2:$L$1000,"تحت إجراءات التعاقد"))</f>
        <v/>
      </c>
      <c r="H11" t="str">
        <f>IF(B11="","",SUMIFS(DB_All!$N$2:$N$1000,DB_All!$G$2:$G$1000,B11,DB_All!$L$2:$L$1000,"تم التوقيع"))</f>
        <v/>
      </c>
      <c r="I11" t="str">
        <f>IF(B11="","",COUNTIFS(DB_All!$G$2:$G$1000,B11,DB_All!$L$2:$L$1000,"تم التوقيع"))</f>
        <v/>
      </c>
      <c r="J11">
        <f t="shared" si="0"/>
        <v>0</v>
      </c>
      <c r="K11" t="str">
        <f>IF(B11="","",SUMIFS('المطالبات 2026'!$J:$J,'المطالبات 2026'!$E:$E,B11,'المطالبات 2026'!$I:$I,"مطالبة مرفوعة للمالية") + SUMIFS('المطالبات 2025'!$J:$J,'المطالبات 2025'!$E:$E,B11,'المطالبات 2025'!$I:$I,"مطالبة مرفوعة للمالية"))</f>
        <v/>
      </c>
      <c r="L11" t="str">
        <f>IF(B11="","",COUNTIFS('المطالبات 2026'!$E:$E,B11,'المطالبات 2026'!$I:$I,"مطالبة مرفوعة للمالية") + COUNTIFS('المطالبات 2025'!$E:$E,B11,'المطالبات 2025'!$I:$I,"مطالبة مرفوعة للمالية"))</f>
        <v/>
      </c>
      <c r="M11">
        <f t="shared" si="1"/>
        <v>0</v>
      </c>
      <c r="N11" t="str">
        <f>IF(B11="","",SUMIFS(DB_All!$N$2:$N$1000,DB_All!$G$2:$G$1000,B11,DB_All!$L$2:$L$1000,"تحت إجراءات التوريد"))</f>
        <v/>
      </c>
      <c r="O11" t="str">
        <f>IF(B11="","",COUNTIFS(DB_All!$G$2:$G$1000,B11,DB_All!$L$2:$L$1000,"تحت إجراءات التوريد"))</f>
        <v/>
      </c>
      <c r="P11" t="str">
        <f>IF(B11="","",SUMIFS(DB_All!$N$2:$N$1000,DB_All!$G$2:$G$1000,B11,DB_All!$L$2:$L$1000,"بانتظار سندات الاستلام \ شهادة الإنجاز"))</f>
        <v/>
      </c>
      <c r="Q11" t="str">
        <f>IF(B11="","",COUNTIFS(DB_All!$G$2:$G$1000,B11,DB_All!$L$2:$L$1000,"بانتظار سندات الاستلام \ شهادة الإنجاز"))</f>
        <v/>
      </c>
      <c r="R11" t="str">
        <f t="shared" si="2"/>
        <v/>
      </c>
    </row>
    <row r="12" spans="1:18" x14ac:dyDescent="0.3">
      <c r="F12" t="str">
        <f>IF(B12="","",SUMIFS(DB_All!$M$2:$M$1000,DB_All!$G$2:$G$1000,B12,DB_All!$L$2:$L$1000,"تحت إجراءات التعاقد"))</f>
        <v/>
      </c>
      <c r="G12" t="str">
        <f>IF(B12="","",COUNTIFS(DB_All!$G$2:$G$1000,B12,DB_All!$L$2:$L$1000,"تحت إجراءات التعاقد"))</f>
        <v/>
      </c>
      <c r="H12" t="str">
        <f>IF(B12="","",SUMIFS(DB_All!$N$2:$N$1000,DB_All!$G$2:$G$1000,B12,DB_All!$L$2:$L$1000,"تم التوقيع"))</f>
        <v/>
      </c>
      <c r="I12" t="str">
        <f>IF(B12="","",COUNTIFS(DB_All!$G$2:$G$1000,B12,DB_All!$L$2:$L$1000,"تم التوقيع"))</f>
        <v/>
      </c>
      <c r="J12">
        <f t="shared" si="0"/>
        <v>0</v>
      </c>
      <c r="K12" t="str">
        <f>IF(B12="","",SUMIFS('المطالبات 2026'!$J:$J,'المطالبات 2026'!$E:$E,B12,'المطالبات 2026'!$I:$I,"مطالبة مرفوعة للمالية") + SUMIFS('المطالبات 2025'!$J:$J,'المطالبات 2025'!$E:$E,B12,'المطالبات 2025'!$I:$I,"مطالبة مرفوعة للمالية"))</f>
        <v/>
      </c>
      <c r="L12" t="str">
        <f>IF(B12="","",COUNTIFS('المطالبات 2026'!$E:$E,B12,'المطالبات 2026'!$I:$I,"مطالبة مرفوعة للمالية") + COUNTIFS('المطالبات 2025'!$E:$E,B12,'المطالبات 2025'!$I:$I,"مطالبة مرفوعة للمالية"))</f>
        <v/>
      </c>
      <c r="M12">
        <f t="shared" si="1"/>
        <v>0</v>
      </c>
      <c r="N12" t="str">
        <f>IF(B12="","",SUMIFS(DB_All!$N$2:$N$1000,DB_All!$G$2:$G$1000,B12,DB_All!$L$2:$L$1000,"تحت إجراءات التوريد"))</f>
        <v/>
      </c>
      <c r="O12" t="str">
        <f>IF(B12="","",COUNTIFS(DB_All!$G$2:$G$1000,B12,DB_All!$L$2:$L$1000,"تحت إجراءات التوريد"))</f>
        <v/>
      </c>
      <c r="P12" t="str">
        <f>IF(B12="","",SUMIFS(DB_All!$N$2:$N$1000,DB_All!$G$2:$G$1000,B12,DB_All!$L$2:$L$1000,"بانتظار سندات الاستلام \ شهادة الإنجاز"))</f>
        <v/>
      </c>
      <c r="Q12" t="str">
        <f>IF(B12="","",COUNTIFS(DB_All!$G$2:$G$1000,B12,DB_All!$L$2:$L$1000,"بانتظار سندات الاستلام \ شهادة الإنجاز"))</f>
        <v/>
      </c>
      <c r="R12" t="str">
        <f t="shared" si="2"/>
        <v/>
      </c>
    </row>
    <row r="13" spans="1:18" x14ac:dyDescent="0.3">
      <c r="F13" t="str">
        <f>IF(B13="","",SUMIFS(DB_All!$M$2:$M$1000,DB_All!$G$2:$G$1000,B13,DB_All!$L$2:$L$1000,"تحت إجراءات التعاقد"))</f>
        <v/>
      </c>
      <c r="G13" t="str">
        <f>IF(B13="","",COUNTIFS(DB_All!$G$2:$G$1000,B13,DB_All!$L$2:$L$1000,"تحت إجراءات التعاقد"))</f>
        <v/>
      </c>
      <c r="H13" t="str">
        <f>IF(B13="","",SUMIFS(DB_All!$N$2:$N$1000,DB_All!$G$2:$G$1000,B13,DB_All!$L$2:$L$1000,"تم التوقيع"))</f>
        <v/>
      </c>
      <c r="I13" t="str">
        <f>IF(B13="","",COUNTIFS(DB_All!$G$2:$G$1000,B13,DB_All!$L$2:$L$1000,"تم التوقيع"))</f>
        <v/>
      </c>
      <c r="J13">
        <f t="shared" si="0"/>
        <v>0</v>
      </c>
      <c r="K13" t="str">
        <f>IF(B13="","",SUMIFS('المطالبات 2026'!$J:$J,'المطالبات 2026'!$E:$E,B13,'المطالبات 2026'!$I:$I,"مطالبة مرفوعة للمالية") + SUMIFS('المطالبات 2025'!$J:$J,'المطالبات 2025'!$E:$E,B13,'المطالبات 2025'!$I:$I,"مطالبة مرفوعة للمالية"))</f>
        <v/>
      </c>
      <c r="L13" t="str">
        <f>IF(B13="","",COUNTIFS('المطالبات 2026'!$E:$E,B13,'المطالبات 2026'!$I:$I,"مطالبة مرفوعة للمالية") + COUNTIFS('المطالبات 2025'!$E:$E,B13,'المطالبات 2025'!$I:$I,"مطالبة مرفوعة للمالية"))</f>
        <v/>
      </c>
      <c r="M13">
        <f t="shared" si="1"/>
        <v>0</v>
      </c>
      <c r="N13" t="str">
        <f>IF(B13="","",SUMIFS(DB_All!$N$2:$N$1000,DB_All!$G$2:$G$1000,B13,DB_All!$L$2:$L$1000,"تحت إجراءات التوريد"))</f>
        <v/>
      </c>
      <c r="O13" t="str">
        <f>IF(B13="","",COUNTIFS(DB_All!$G$2:$G$1000,B13,DB_All!$L$2:$L$1000,"تحت إجراءات التوريد"))</f>
        <v/>
      </c>
      <c r="P13" t="str">
        <f>IF(B13="","",SUMIFS(DB_All!$N$2:$N$1000,DB_All!$G$2:$G$1000,B13,DB_All!$L$2:$L$1000,"بانتظار سندات الاستلام \ شهادة الإنجاز"))</f>
        <v/>
      </c>
      <c r="Q13" t="str">
        <f>IF(B13="","",COUNTIFS(DB_All!$G$2:$G$1000,B13,DB_All!$L$2:$L$1000,"بانتظار سندات الاستلام \ شهادة الإنجاز"))</f>
        <v/>
      </c>
      <c r="R13" t="str">
        <f t="shared" si="2"/>
        <v/>
      </c>
    </row>
    <row r="14" spans="1:18" x14ac:dyDescent="0.3">
      <c r="F14" t="str">
        <f>IF(B14="","",SUMIFS(DB_All!$M$2:$M$1000,DB_All!$G$2:$G$1000,B14,DB_All!$L$2:$L$1000,"تحت إجراءات التعاقد"))</f>
        <v/>
      </c>
      <c r="G14" t="str">
        <f>IF(B14="","",COUNTIFS(DB_All!$G$2:$G$1000,B14,DB_All!$L$2:$L$1000,"تحت إجراءات التعاقد"))</f>
        <v/>
      </c>
      <c r="H14" t="str">
        <f>IF(B14="","",SUMIFS(DB_All!$N$2:$N$1000,DB_All!$G$2:$G$1000,B14,DB_All!$L$2:$L$1000,"تم التوقيع"))</f>
        <v/>
      </c>
      <c r="I14" t="str">
        <f>IF(B14="","",COUNTIFS(DB_All!$G$2:$G$1000,B14,DB_All!$L$2:$L$1000,"تم التوقيع"))</f>
        <v/>
      </c>
      <c r="J14">
        <f t="shared" si="0"/>
        <v>0</v>
      </c>
      <c r="K14" t="str">
        <f>IF(B14="","",SUMIFS('المطالبات 2026'!$J:$J,'المطالبات 2026'!$E:$E,B14,'المطالبات 2026'!$I:$I,"مطالبة مرفوعة للمالية") + SUMIFS('المطالبات 2025'!$J:$J,'المطالبات 2025'!$E:$E,B14,'المطالبات 2025'!$I:$I,"مطالبة مرفوعة للمالية"))</f>
        <v/>
      </c>
      <c r="L14" t="str">
        <f>IF(B14="","",COUNTIFS('المطالبات 2026'!$E:$E,B14,'المطالبات 2026'!$I:$I,"مطالبة مرفوعة للمالية") + COUNTIFS('المطالبات 2025'!$E:$E,B14,'المطالبات 2025'!$I:$I,"مطالبة مرفوعة للمالية"))</f>
        <v/>
      </c>
      <c r="M14">
        <f t="shared" si="1"/>
        <v>0</v>
      </c>
      <c r="N14" t="str">
        <f>IF(B14="","",SUMIFS(DB_All!$N$2:$N$1000,DB_All!$G$2:$G$1000,B14,DB_All!$L$2:$L$1000,"تحت إجراءات التوريد"))</f>
        <v/>
      </c>
      <c r="O14" t="str">
        <f>IF(B14="","",COUNTIFS(DB_All!$G$2:$G$1000,B14,DB_All!$L$2:$L$1000,"تحت إجراءات التوريد"))</f>
        <v/>
      </c>
      <c r="P14" t="str">
        <f>IF(B14="","",SUMIFS(DB_All!$N$2:$N$1000,DB_All!$G$2:$G$1000,B14,DB_All!$L$2:$L$1000,"بانتظار سندات الاستلام \ شهادة الإنجاز"))</f>
        <v/>
      </c>
      <c r="Q14" t="str">
        <f>IF(B14="","",COUNTIFS(DB_All!$G$2:$G$1000,B14,DB_All!$L$2:$L$1000,"بانتظار سندات الاستلام \ شهادة الإنجاز"))</f>
        <v/>
      </c>
      <c r="R14" t="str">
        <f t="shared" si="2"/>
        <v/>
      </c>
    </row>
    <row r="15" spans="1:18" x14ac:dyDescent="0.3">
      <c r="F15" t="str">
        <f>IF(B15="","",SUMIFS(DB_All!$M$2:$M$1000,DB_All!$G$2:$G$1000,B15,DB_All!$L$2:$L$1000,"تحت إجراءات التعاقد"))</f>
        <v/>
      </c>
      <c r="G15" t="str">
        <f>IF(B15="","",COUNTIFS(DB_All!$G$2:$G$1000,B15,DB_All!$L$2:$L$1000,"تحت إجراءات التعاقد"))</f>
        <v/>
      </c>
      <c r="H15" t="str">
        <f>IF(B15="","",SUMIFS(DB_All!$N$2:$N$1000,DB_All!$G$2:$G$1000,B15,DB_All!$L$2:$L$1000,"تم التوقيع"))</f>
        <v/>
      </c>
      <c r="I15" t="str">
        <f>IF(B15="","",COUNTIFS(DB_All!$G$2:$G$1000,B15,DB_All!$L$2:$L$1000,"تم التوقيع"))</f>
        <v/>
      </c>
      <c r="J15">
        <f t="shared" si="0"/>
        <v>0</v>
      </c>
      <c r="K15" t="str">
        <f>IF(B15="","",SUMIFS('المطالبات 2026'!$J:$J,'المطالبات 2026'!$E:$E,B15,'المطالبات 2026'!$I:$I,"مطالبة مرفوعة للمالية") + SUMIFS('المطالبات 2025'!$J:$J,'المطالبات 2025'!$E:$E,B15,'المطالبات 2025'!$I:$I,"مطالبة مرفوعة للمالية"))</f>
        <v/>
      </c>
      <c r="L15" t="str">
        <f>IF(B15="","",COUNTIFS('المطالبات 2026'!$E:$E,B15,'المطالبات 2026'!$I:$I,"مطالبة مرفوعة للمالية") + COUNTIFS('المطالبات 2025'!$E:$E,B15,'المطالبات 2025'!$I:$I,"مطالبة مرفوعة للمالية"))</f>
        <v/>
      </c>
      <c r="M15">
        <f t="shared" si="1"/>
        <v>0</v>
      </c>
      <c r="N15" t="str">
        <f>IF(B15="","",SUMIFS(DB_All!$N$2:$N$1000,DB_All!$G$2:$G$1000,B15,DB_All!$L$2:$L$1000,"تحت إجراءات التوريد"))</f>
        <v/>
      </c>
      <c r="O15" t="str">
        <f>IF(B15="","",COUNTIFS(DB_All!$G$2:$G$1000,B15,DB_All!$L$2:$L$1000,"تحت إجراءات التوريد"))</f>
        <v/>
      </c>
      <c r="P15" t="str">
        <f>IF(B15="","",SUMIFS(DB_All!$N$2:$N$1000,DB_All!$G$2:$G$1000,B15,DB_All!$L$2:$L$1000,"بانتظار سندات الاستلام \ شهادة الإنجاز"))</f>
        <v/>
      </c>
      <c r="Q15" t="str">
        <f>IF(B15="","",COUNTIFS(DB_All!$G$2:$G$1000,B15,DB_All!$L$2:$L$1000,"بانتظار سندات الاستلام \ شهادة الإنجاز"))</f>
        <v/>
      </c>
      <c r="R15" t="str">
        <f t="shared" si="2"/>
        <v/>
      </c>
    </row>
    <row r="16" spans="1:18" x14ac:dyDescent="0.3">
      <c r="F16" t="str">
        <f>IF(B16="","",SUMIFS(DB_All!$M$2:$M$1000,DB_All!$G$2:$G$1000,B16,DB_All!$L$2:$L$1000,"تحت إجراءات التعاقد"))</f>
        <v/>
      </c>
      <c r="G16" t="str">
        <f>IF(B16="","",COUNTIFS(DB_All!$G$2:$G$1000,B16,DB_All!$L$2:$L$1000,"تحت إجراءات التعاقد"))</f>
        <v/>
      </c>
      <c r="H16" t="str">
        <f>IF(B16="","",SUMIFS(DB_All!$N$2:$N$1000,DB_All!$G$2:$G$1000,B16,DB_All!$L$2:$L$1000,"تم التوقيع"))</f>
        <v/>
      </c>
      <c r="I16" t="str">
        <f>IF(B16="","",COUNTIFS(DB_All!$G$2:$G$1000,B16,DB_All!$L$2:$L$1000,"تم التوقيع"))</f>
        <v/>
      </c>
      <c r="J16">
        <f t="shared" si="0"/>
        <v>0</v>
      </c>
      <c r="K16" t="str">
        <f>IF(B16="","",SUMIFS('المطالبات 2026'!$J:$J,'المطالبات 2026'!$E:$E,B16,'المطالبات 2026'!$I:$I,"مطالبة مرفوعة للمالية") + SUMIFS('المطالبات 2025'!$J:$J,'المطالبات 2025'!$E:$E,B16,'المطالبات 2025'!$I:$I,"مطالبة مرفوعة للمالية"))</f>
        <v/>
      </c>
      <c r="L16" t="str">
        <f>IF(B16="","",COUNTIFS('المطالبات 2026'!$E:$E,B16,'المطالبات 2026'!$I:$I,"مطالبة مرفوعة للمالية") + COUNTIFS('المطالبات 2025'!$E:$E,B16,'المطالبات 2025'!$I:$I,"مطالبة مرفوعة للمالية"))</f>
        <v/>
      </c>
      <c r="M16">
        <f t="shared" si="1"/>
        <v>0</v>
      </c>
      <c r="N16" t="str">
        <f>IF(B16="","",SUMIFS(DB_All!$N$2:$N$1000,DB_All!$G$2:$G$1000,B16,DB_All!$L$2:$L$1000,"تحت إجراءات التوريد"))</f>
        <v/>
      </c>
      <c r="O16" t="str">
        <f>IF(B16="","",COUNTIFS(DB_All!$G$2:$G$1000,B16,DB_All!$L$2:$L$1000,"تحت إجراءات التوريد"))</f>
        <v/>
      </c>
      <c r="P16" t="str">
        <f>IF(B16="","",SUMIFS(DB_All!$N$2:$N$1000,DB_All!$G$2:$G$1000,B16,DB_All!$L$2:$L$1000,"بانتظار سندات الاستلام \ شهادة الإنجاز"))</f>
        <v/>
      </c>
      <c r="Q16" t="str">
        <f>IF(B16="","",COUNTIFS(DB_All!$G$2:$G$1000,B16,DB_All!$L$2:$L$1000,"بانتظار سندات الاستلام \ شهادة الإنجاز"))</f>
        <v/>
      </c>
      <c r="R16" t="str">
        <f t="shared" si="2"/>
        <v/>
      </c>
    </row>
    <row r="17" spans="6:18" x14ac:dyDescent="0.3">
      <c r="F17" t="str">
        <f>IF(B17="","",SUMIFS(DB_All!$M$2:$M$1000,DB_All!$G$2:$G$1000,B17,DB_All!$L$2:$L$1000,"تحت إجراءات التعاقد"))</f>
        <v/>
      </c>
      <c r="G17" t="str">
        <f>IF(B17="","",COUNTIFS(DB_All!$G$2:$G$1000,B17,DB_All!$L$2:$L$1000,"تحت إجراءات التعاقد"))</f>
        <v/>
      </c>
      <c r="H17" t="str">
        <f>IF(B17="","",SUMIFS(DB_All!$N$2:$N$1000,DB_All!$G$2:$G$1000,B17,DB_All!$L$2:$L$1000,"تم التوقيع"))</f>
        <v/>
      </c>
      <c r="I17" t="str">
        <f>IF(B17="","",COUNTIFS(DB_All!$G$2:$G$1000,B17,DB_All!$L$2:$L$1000,"تم التوقيع"))</f>
        <v/>
      </c>
      <c r="J17">
        <f t="shared" si="0"/>
        <v>0</v>
      </c>
      <c r="K17" t="str">
        <f>IF(B17="","",SUMIFS('المطالبات 2026'!$J:$J,'المطالبات 2026'!$E:$E,B17,'المطالبات 2026'!$I:$I,"مطالبة مرفوعة للمالية") + SUMIFS('المطالبات 2025'!$J:$J,'المطالبات 2025'!$E:$E,B17,'المطالبات 2025'!$I:$I,"مطالبة مرفوعة للمالية"))</f>
        <v/>
      </c>
      <c r="L17" t="str">
        <f>IF(B17="","",COUNTIFS('المطالبات 2026'!$E:$E,B17,'المطالبات 2026'!$I:$I,"مطالبة مرفوعة للمالية") + COUNTIFS('المطالبات 2025'!$E:$E,B17,'المطالبات 2025'!$I:$I,"مطالبة مرفوعة للمالية"))</f>
        <v/>
      </c>
      <c r="M17">
        <f t="shared" si="1"/>
        <v>0</v>
      </c>
      <c r="N17" t="str">
        <f>IF(B17="","",SUMIFS(DB_All!$N$2:$N$1000,DB_All!$G$2:$G$1000,B17,DB_All!$L$2:$L$1000,"تحت إجراءات التوريد"))</f>
        <v/>
      </c>
      <c r="O17" t="str">
        <f>IF(B17="","",COUNTIFS(DB_All!$G$2:$G$1000,B17,DB_All!$L$2:$L$1000,"تحت إجراءات التوريد"))</f>
        <v/>
      </c>
      <c r="P17" t="str">
        <f>IF(B17="","",SUMIFS(DB_All!$N$2:$N$1000,DB_All!$G$2:$G$1000,B17,DB_All!$L$2:$L$1000,"بانتظار سندات الاستلام \ شهادة الإنجاز"))</f>
        <v/>
      </c>
      <c r="Q17" t="str">
        <f>IF(B17="","",COUNTIFS(DB_All!$G$2:$G$1000,B17,DB_All!$L$2:$L$1000,"بانتظار سندات الاستلام \ شهادة الإنجاز"))</f>
        <v/>
      </c>
      <c r="R17" t="str">
        <f t="shared" si="2"/>
        <v/>
      </c>
    </row>
    <row r="18" spans="6:18" x14ac:dyDescent="0.3">
      <c r="F18" t="str">
        <f>IF(B18="","",SUMIFS(DB_All!$M$2:$M$1000,DB_All!$G$2:$G$1000,B18,DB_All!$L$2:$L$1000,"تحت إجراءات التعاقد"))</f>
        <v/>
      </c>
      <c r="G18" t="str">
        <f>IF(B18="","",COUNTIFS(DB_All!$G$2:$G$1000,B18,DB_All!$L$2:$L$1000,"تحت إجراءات التعاقد"))</f>
        <v/>
      </c>
      <c r="H18" t="str">
        <f>IF(B18="","",SUMIFS(DB_All!$N$2:$N$1000,DB_All!$G$2:$G$1000,B18,DB_All!$L$2:$L$1000,"تم التوقيع"))</f>
        <v/>
      </c>
      <c r="I18" t="str">
        <f>IF(B18="","",COUNTIFS(DB_All!$G$2:$G$1000,B18,DB_All!$L$2:$L$1000,"تم التوقيع"))</f>
        <v/>
      </c>
      <c r="J18">
        <f t="shared" si="0"/>
        <v>0</v>
      </c>
      <c r="K18" t="str">
        <f>IF(B18="","",SUMIFS('المطالبات 2026'!$J:$J,'المطالبات 2026'!$E:$E,B18,'المطالبات 2026'!$I:$I,"مطالبة مرفوعة للمالية") + SUMIFS('المطالبات 2025'!$J:$J,'المطالبات 2025'!$E:$E,B18,'المطالبات 2025'!$I:$I,"مطالبة مرفوعة للمالية"))</f>
        <v/>
      </c>
      <c r="L18" t="str">
        <f>IF(B18="","",COUNTIFS('المطالبات 2026'!$E:$E,B18,'المطالبات 2026'!$I:$I,"مطالبة مرفوعة للمالية") + COUNTIFS('المطالبات 2025'!$E:$E,B18,'المطالبات 2025'!$I:$I,"مطالبة مرفوعة للمالية"))</f>
        <v/>
      </c>
      <c r="M18">
        <f t="shared" si="1"/>
        <v>0</v>
      </c>
      <c r="N18" t="str">
        <f>IF(B18="","",SUMIFS(DB_All!$N$2:$N$1000,DB_All!$G$2:$G$1000,B18,DB_All!$L$2:$L$1000,"تحت إجراءات التوريد"))</f>
        <v/>
      </c>
      <c r="O18" t="str">
        <f>IF(B18="","",COUNTIFS(DB_All!$G$2:$G$1000,B18,DB_All!$L$2:$L$1000,"تحت إجراءات التوريد"))</f>
        <v/>
      </c>
      <c r="P18" t="str">
        <f>IF(B18="","",SUMIFS(DB_All!$N$2:$N$1000,DB_All!$G$2:$G$1000,B18,DB_All!$L$2:$L$1000,"بانتظار سندات الاستلام \ شهادة الإنجاز"))</f>
        <v/>
      </c>
      <c r="Q18" t="str">
        <f>IF(B18="","",COUNTIFS(DB_All!$G$2:$G$1000,B18,DB_All!$L$2:$L$1000,"بانتظار سندات الاستلام \ شهادة الإنجاز"))</f>
        <v/>
      </c>
      <c r="R18" t="str">
        <f t="shared" si="2"/>
        <v/>
      </c>
    </row>
    <row r="19" spans="6:18" x14ac:dyDescent="0.3">
      <c r="F19" t="str">
        <f>IF(B19="","",SUMIFS(DB_All!$M$2:$M$1000,DB_All!$G$2:$G$1000,B19,DB_All!$L$2:$L$1000,"تحت إجراءات التعاقد"))</f>
        <v/>
      </c>
      <c r="G19" t="str">
        <f>IF(B19="","",COUNTIFS(DB_All!$G$2:$G$1000,B19,DB_All!$L$2:$L$1000,"تحت إجراءات التعاقد"))</f>
        <v/>
      </c>
      <c r="H19" t="str">
        <f>IF(B19="","",SUMIFS(DB_All!$N$2:$N$1000,DB_All!$G$2:$G$1000,B19,DB_All!$L$2:$L$1000,"تم التوقيع"))</f>
        <v/>
      </c>
      <c r="I19" t="str">
        <f>IF(B19="","",COUNTIFS(DB_All!$G$2:$G$1000,B19,DB_All!$L$2:$L$1000,"تم التوقيع"))</f>
        <v/>
      </c>
      <c r="J19">
        <f t="shared" si="0"/>
        <v>0</v>
      </c>
      <c r="K19" t="str">
        <f>IF(B19="","",SUMIFS('المطالبات 2026'!$J:$J,'المطالبات 2026'!$E:$E,B19,'المطالبات 2026'!$I:$I,"مطالبة مرفوعة للمالية") + SUMIFS('المطالبات 2025'!$J:$J,'المطالبات 2025'!$E:$E,B19,'المطالبات 2025'!$I:$I,"مطالبة مرفوعة للمالية"))</f>
        <v/>
      </c>
      <c r="L19" t="str">
        <f>IF(B19="","",COUNTIFS('المطالبات 2026'!$E:$E,B19,'المطالبات 2026'!$I:$I,"مطالبة مرفوعة للمالية") + COUNTIFS('المطالبات 2025'!$E:$E,B19,'المطالبات 2025'!$I:$I,"مطالبة مرفوعة للمالية"))</f>
        <v/>
      </c>
      <c r="M19">
        <f t="shared" si="1"/>
        <v>0</v>
      </c>
      <c r="N19" t="str">
        <f>IF(B19="","",SUMIFS(DB_All!$N$2:$N$1000,DB_All!$G$2:$G$1000,B19,DB_All!$L$2:$L$1000,"تحت إجراءات التوريد"))</f>
        <v/>
      </c>
      <c r="O19" t="str">
        <f>IF(B19="","",COUNTIFS(DB_All!$G$2:$G$1000,B19,DB_All!$L$2:$L$1000,"تحت إجراءات التوريد"))</f>
        <v/>
      </c>
      <c r="P19" t="str">
        <f>IF(B19="","",SUMIFS(DB_All!$N$2:$N$1000,DB_All!$G$2:$G$1000,B19,DB_All!$L$2:$L$1000,"بانتظار سندات الاستلام \ شهادة الإنجاز"))</f>
        <v/>
      </c>
      <c r="Q19" t="str">
        <f>IF(B19="","",COUNTIFS(DB_All!$G$2:$G$1000,B19,DB_All!$L$2:$L$1000,"بانتظار سندات الاستلام \ شهادة الإنجاز"))</f>
        <v/>
      </c>
      <c r="R19" t="str">
        <f t="shared" si="2"/>
        <v/>
      </c>
    </row>
    <row r="20" spans="6:18" x14ac:dyDescent="0.3">
      <c r="F20" t="str">
        <f>IF(B20="","",SUMIFS(DB_All!$M$2:$M$1000,DB_All!$G$2:$G$1000,B20,DB_All!$L$2:$L$1000,"تحت إجراءات التعاقد"))</f>
        <v/>
      </c>
      <c r="G20" t="str">
        <f>IF(B20="","",COUNTIFS(DB_All!$G$2:$G$1000,B20,DB_All!$L$2:$L$1000,"تحت إجراءات التعاقد"))</f>
        <v/>
      </c>
      <c r="H20" t="str">
        <f>IF(B20="","",SUMIFS(DB_All!$N$2:$N$1000,DB_All!$G$2:$G$1000,B20,DB_All!$L$2:$L$1000,"تم التوقيع"))</f>
        <v/>
      </c>
      <c r="I20" t="str">
        <f>IF(B20="","",COUNTIFS(DB_All!$G$2:$G$1000,B20,DB_All!$L$2:$L$1000,"تم التوقيع"))</f>
        <v/>
      </c>
      <c r="J20">
        <f t="shared" si="0"/>
        <v>0</v>
      </c>
      <c r="K20" t="str">
        <f>IF(B20="","",SUMIFS('المطالبات 2026'!$J:$J,'المطالبات 2026'!$E:$E,B20,'المطالبات 2026'!$I:$I,"مطالبة مرفوعة للمالية") + SUMIFS('المطالبات 2025'!$J:$J,'المطالبات 2025'!$E:$E,B20,'المطالبات 2025'!$I:$I,"مطالبة مرفوعة للمالية"))</f>
        <v/>
      </c>
      <c r="L20" t="str">
        <f>IF(B20="","",COUNTIFS('المطالبات 2026'!$E:$E,B20,'المطالبات 2026'!$I:$I,"مطالبة مرفوعة للمالية") + COUNTIFS('المطالبات 2025'!$E:$E,B20,'المطالبات 2025'!$I:$I,"مطالبة مرفوعة للمالية"))</f>
        <v/>
      </c>
      <c r="M20">
        <f t="shared" si="1"/>
        <v>0</v>
      </c>
      <c r="N20" t="str">
        <f>IF(B20="","",SUMIFS(DB_All!$N$2:$N$1000,DB_All!$G$2:$G$1000,B20,DB_All!$L$2:$L$1000,"تحت إجراءات التوريد"))</f>
        <v/>
      </c>
      <c r="O20" t="str">
        <f>IF(B20="","",COUNTIFS(DB_All!$G$2:$G$1000,B20,DB_All!$L$2:$L$1000,"تحت إجراءات التوريد"))</f>
        <v/>
      </c>
      <c r="P20" t="str">
        <f>IF(B20="","",SUMIFS(DB_All!$N$2:$N$1000,DB_All!$G$2:$G$1000,B20,DB_All!$L$2:$L$1000,"بانتظار سندات الاستلام \ شهادة الإنجاز"))</f>
        <v/>
      </c>
      <c r="Q20" t="str">
        <f>IF(B20="","",COUNTIFS(DB_All!$G$2:$G$1000,B20,DB_All!$L$2:$L$1000,"بانتظار سندات الاستلام \ شهادة الإنجاز"))</f>
        <v/>
      </c>
      <c r="R20" t="str">
        <f t="shared" si="2"/>
        <v/>
      </c>
    </row>
    <row r="21" spans="6:18" x14ac:dyDescent="0.3">
      <c r="F21" t="str">
        <f>IF(B21="","",SUMIFS(DB_All!$M$2:$M$1000,DB_All!$G$2:$G$1000,B21,DB_All!$L$2:$L$1000,"تحت إجراءات التعاقد"))</f>
        <v/>
      </c>
      <c r="G21" t="str">
        <f>IF(B21="","",COUNTIFS(DB_All!$G$2:$G$1000,B21,DB_All!$L$2:$L$1000,"تحت إجراءات التعاقد"))</f>
        <v/>
      </c>
      <c r="H21" t="str">
        <f>IF(B21="","",SUMIFS(DB_All!$N$2:$N$1000,DB_All!$G$2:$G$1000,B21,DB_All!$L$2:$L$1000,"تم التوقيع"))</f>
        <v/>
      </c>
      <c r="I21" t="str">
        <f>IF(B21="","",COUNTIFS(DB_All!$G$2:$G$1000,B21,DB_All!$L$2:$L$1000,"تم التوقيع"))</f>
        <v/>
      </c>
      <c r="J21">
        <f t="shared" si="0"/>
        <v>0</v>
      </c>
      <c r="K21" t="str">
        <f>IF(B21="","",SUMIFS('المطالبات 2026'!$J:$J,'المطالبات 2026'!$E:$E,B21,'المطالبات 2026'!$I:$I,"مطالبة مرفوعة للمالية") + SUMIFS('المطالبات 2025'!$J:$J,'المطالبات 2025'!$E:$E,B21,'المطالبات 2025'!$I:$I,"مطالبة مرفوعة للمالية"))</f>
        <v/>
      </c>
      <c r="L21" t="str">
        <f>IF(B21="","",COUNTIFS('المطالبات 2026'!$E:$E,B21,'المطالبات 2026'!$I:$I,"مطالبة مرفوعة للمالية") + COUNTIFS('المطالبات 2025'!$E:$E,B21,'المطالبات 2025'!$I:$I,"مطالبة مرفوعة للمالية"))</f>
        <v/>
      </c>
      <c r="M21">
        <f t="shared" si="1"/>
        <v>0</v>
      </c>
      <c r="N21" t="str">
        <f>IF(B21="","",SUMIFS(DB_All!$N$2:$N$1000,DB_All!$G$2:$G$1000,B21,DB_All!$L$2:$L$1000,"تحت إجراءات التوريد"))</f>
        <v/>
      </c>
      <c r="O21" t="str">
        <f>IF(B21="","",COUNTIFS(DB_All!$G$2:$G$1000,B21,DB_All!$L$2:$L$1000,"تحت إجراءات التوريد"))</f>
        <v/>
      </c>
      <c r="P21" t="str">
        <f>IF(B21="","",SUMIFS(DB_All!$N$2:$N$1000,DB_All!$G$2:$G$1000,B21,DB_All!$L$2:$L$1000,"بانتظار سندات الاستلام \ شهادة الإنجاز"))</f>
        <v/>
      </c>
      <c r="Q21" t="str">
        <f>IF(B21="","",COUNTIFS(DB_All!$G$2:$G$1000,B21,DB_All!$L$2:$L$1000,"بانتظار سندات الاستلام \ شهادة الإنجاز"))</f>
        <v/>
      </c>
      <c r="R21" t="str">
        <f t="shared" si="2"/>
        <v/>
      </c>
    </row>
    <row r="22" spans="6:18" x14ac:dyDescent="0.3">
      <c r="F22" t="str">
        <f>IF(B22="","",SUMIFS(DB_All!$M$2:$M$1000,DB_All!$G$2:$G$1000,B22,DB_All!$L$2:$L$1000,"تحت إجراءات التعاقد"))</f>
        <v/>
      </c>
      <c r="G22" t="str">
        <f>IF(B22="","",COUNTIFS(DB_All!$G$2:$G$1000,B22,DB_All!$L$2:$L$1000,"تحت إجراءات التعاقد"))</f>
        <v/>
      </c>
      <c r="H22" t="str">
        <f>IF(B22="","",SUMIFS(DB_All!$N$2:$N$1000,DB_All!$G$2:$G$1000,B22,DB_All!$L$2:$L$1000,"تم التوقيع"))</f>
        <v/>
      </c>
      <c r="I22" t="str">
        <f>IF(B22="","",COUNTIFS(DB_All!$G$2:$G$1000,B22,DB_All!$L$2:$L$1000,"تم التوقيع"))</f>
        <v/>
      </c>
      <c r="J22">
        <f t="shared" si="0"/>
        <v>0</v>
      </c>
      <c r="K22" t="str">
        <f>IF(B22="","",SUMIFS('المطالبات 2026'!$J:$J,'المطالبات 2026'!$E:$E,B22,'المطالبات 2026'!$I:$I,"مطالبة مرفوعة للمالية") + SUMIFS('المطالبات 2025'!$J:$J,'المطالبات 2025'!$E:$E,B22,'المطالبات 2025'!$I:$I,"مطالبة مرفوعة للمالية"))</f>
        <v/>
      </c>
      <c r="L22" t="str">
        <f>IF(B22="","",COUNTIFS('المطالبات 2026'!$E:$E,B22,'المطالبات 2026'!$I:$I,"مطالبة مرفوعة للمالية") + COUNTIFS('المطالبات 2025'!$E:$E,B22,'المطالبات 2025'!$I:$I,"مطالبة مرفوعة للمالية"))</f>
        <v/>
      </c>
      <c r="M22">
        <f t="shared" si="1"/>
        <v>0</v>
      </c>
      <c r="N22" t="str">
        <f>IF(B22="","",SUMIFS(DB_All!$N$2:$N$1000,DB_All!$G$2:$G$1000,B22,DB_All!$L$2:$L$1000,"تحت إجراءات التوريد"))</f>
        <v/>
      </c>
      <c r="O22" t="str">
        <f>IF(B22="","",COUNTIFS(DB_All!$G$2:$G$1000,B22,DB_All!$L$2:$L$1000,"تحت إجراءات التوريد"))</f>
        <v/>
      </c>
      <c r="P22" t="str">
        <f>IF(B22="","",SUMIFS(DB_All!$N$2:$N$1000,DB_All!$G$2:$G$1000,B22,DB_All!$L$2:$L$1000,"بانتظار سندات الاستلام \ شهادة الإنجاز"))</f>
        <v/>
      </c>
      <c r="Q22" t="str">
        <f>IF(B22="","",COUNTIFS(DB_All!$G$2:$G$1000,B22,DB_All!$L$2:$L$1000,"بانتظار سندات الاستلام \ شهادة الإنجاز"))</f>
        <v/>
      </c>
      <c r="R22" t="str">
        <f t="shared" si="2"/>
        <v/>
      </c>
    </row>
    <row r="23" spans="6:18" x14ac:dyDescent="0.3">
      <c r="F23" t="str">
        <f>IF(B23="","",SUMIFS(DB_All!$M$2:$M$1000,DB_All!$G$2:$G$1000,B23,DB_All!$L$2:$L$1000,"تحت إجراءات التعاقد"))</f>
        <v/>
      </c>
      <c r="G23" t="str">
        <f>IF(B23="","",COUNTIFS(DB_All!$G$2:$G$1000,B23,DB_All!$L$2:$L$1000,"تحت إجراءات التعاقد"))</f>
        <v/>
      </c>
      <c r="H23" t="str">
        <f>IF(B23="","",SUMIFS(DB_All!$N$2:$N$1000,DB_All!$G$2:$G$1000,B23,DB_All!$L$2:$L$1000,"تم التوقيع"))</f>
        <v/>
      </c>
      <c r="I23" t="str">
        <f>IF(B23="","",COUNTIFS(DB_All!$G$2:$G$1000,B23,DB_All!$L$2:$L$1000,"تم التوقيع"))</f>
        <v/>
      </c>
      <c r="J23">
        <f t="shared" si="0"/>
        <v>0</v>
      </c>
      <c r="K23" t="str">
        <f>IF(B23="","",SUMIFS('المطالبات 2026'!$J:$J,'المطالبات 2026'!$E:$E,B23,'المطالبات 2026'!$I:$I,"مطالبة مرفوعة للمالية") + SUMIFS('المطالبات 2025'!$J:$J,'المطالبات 2025'!$E:$E,B23,'المطالبات 2025'!$I:$I,"مطالبة مرفوعة للمالية"))</f>
        <v/>
      </c>
      <c r="L23" t="str">
        <f>IF(B23="","",COUNTIFS('المطالبات 2026'!$E:$E,B23,'المطالبات 2026'!$I:$I,"مطالبة مرفوعة للمالية") + COUNTIFS('المطالبات 2025'!$E:$E,B23,'المطالبات 2025'!$I:$I,"مطالبة مرفوعة للمالية"))</f>
        <v/>
      </c>
      <c r="M23">
        <f t="shared" si="1"/>
        <v>0</v>
      </c>
      <c r="N23" t="str">
        <f>IF(B23="","",SUMIFS(DB_All!$N$2:$N$1000,DB_All!$G$2:$G$1000,B23,DB_All!$L$2:$L$1000,"تحت إجراءات التوريد"))</f>
        <v/>
      </c>
      <c r="O23" t="str">
        <f>IF(B23="","",COUNTIFS(DB_All!$G$2:$G$1000,B23,DB_All!$L$2:$L$1000,"تحت إجراءات التوريد"))</f>
        <v/>
      </c>
      <c r="P23" t="str">
        <f>IF(B23="","",SUMIFS(DB_All!$N$2:$N$1000,DB_All!$G$2:$G$1000,B23,DB_All!$L$2:$L$1000,"بانتظار سندات الاستلام \ شهادة الإنجاز"))</f>
        <v/>
      </c>
      <c r="Q23" t="str">
        <f>IF(B23="","",COUNTIFS(DB_All!$G$2:$G$1000,B23,DB_All!$L$2:$L$1000,"بانتظار سندات الاستلام \ شهادة الإنجاز"))</f>
        <v/>
      </c>
      <c r="R23" t="str">
        <f t="shared" si="2"/>
        <v/>
      </c>
    </row>
    <row r="24" spans="6:18" x14ac:dyDescent="0.3">
      <c r="F24" t="str">
        <f>IF(B24="","",SUMIFS(DB_All!$M$2:$M$1000,DB_All!$G$2:$G$1000,B24,DB_All!$L$2:$L$1000,"تحت إجراءات التعاقد"))</f>
        <v/>
      </c>
      <c r="G24" t="str">
        <f>IF(B24="","",COUNTIFS(DB_All!$G$2:$G$1000,B24,DB_All!$L$2:$L$1000,"تحت إجراءات التعاقد"))</f>
        <v/>
      </c>
      <c r="H24" t="str">
        <f>IF(B24="","",SUMIFS(DB_All!$N$2:$N$1000,DB_All!$G$2:$G$1000,B24,DB_All!$L$2:$L$1000,"تم التوقيع"))</f>
        <v/>
      </c>
      <c r="I24" t="str">
        <f>IF(B24="","",COUNTIFS(DB_All!$G$2:$G$1000,B24,DB_All!$L$2:$L$1000,"تم التوقيع"))</f>
        <v/>
      </c>
      <c r="J24">
        <f t="shared" si="0"/>
        <v>0</v>
      </c>
      <c r="K24" t="str">
        <f>IF(B24="","",SUMIFS('المطالبات 2026'!$J:$J,'المطالبات 2026'!$E:$E,B24,'المطالبات 2026'!$I:$I,"مطالبة مرفوعة للمالية") + SUMIFS('المطالبات 2025'!$J:$J,'المطالبات 2025'!$E:$E,B24,'المطالبات 2025'!$I:$I,"مطالبة مرفوعة للمالية"))</f>
        <v/>
      </c>
      <c r="L24" t="str">
        <f>IF(B24="","",COUNTIFS('المطالبات 2026'!$E:$E,B24,'المطالبات 2026'!$I:$I,"مطالبة مرفوعة للمالية") + COUNTIFS('المطالبات 2025'!$E:$E,B24,'المطالبات 2025'!$I:$I,"مطالبة مرفوعة للمالية"))</f>
        <v/>
      </c>
      <c r="M24">
        <f t="shared" si="1"/>
        <v>0</v>
      </c>
      <c r="N24" t="str">
        <f>IF(B24="","",SUMIFS(DB_All!$N$2:$N$1000,DB_All!$G$2:$G$1000,B24,DB_All!$L$2:$L$1000,"تحت إجراءات التوريد"))</f>
        <v/>
      </c>
      <c r="O24" t="str">
        <f>IF(B24="","",COUNTIFS(DB_All!$G$2:$G$1000,B24,DB_All!$L$2:$L$1000,"تحت إجراءات التوريد"))</f>
        <v/>
      </c>
      <c r="P24" t="str">
        <f>IF(B24="","",SUMIFS(DB_All!$N$2:$N$1000,DB_All!$G$2:$G$1000,B24,DB_All!$L$2:$L$1000,"بانتظار سندات الاستلام \ شهادة الإنجاز"))</f>
        <v/>
      </c>
      <c r="Q24" t="str">
        <f>IF(B24="","",COUNTIFS(DB_All!$G$2:$G$1000,B24,DB_All!$L$2:$L$1000,"بانتظار سندات الاستلام \ شهادة الإنجاز"))</f>
        <v/>
      </c>
      <c r="R24" t="str">
        <f t="shared" si="2"/>
        <v/>
      </c>
    </row>
    <row r="25" spans="6:18" x14ac:dyDescent="0.3">
      <c r="F25" t="str">
        <f>IF(B25="","",SUMIFS(DB_All!$M$2:$M$1000,DB_All!$G$2:$G$1000,B25,DB_All!$L$2:$L$1000,"تحت إجراءات التعاقد"))</f>
        <v/>
      </c>
      <c r="G25" t="str">
        <f>IF(B25="","",COUNTIFS(DB_All!$G$2:$G$1000,B25,DB_All!$L$2:$L$1000,"تحت إجراءات التعاقد"))</f>
        <v/>
      </c>
      <c r="H25" t="str">
        <f>IF(B25="","",SUMIFS(DB_All!$N$2:$N$1000,DB_All!$G$2:$G$1000,B25,DB_All!$L$2:$L$1000,"تم التوقيع"))</f>
        <v/>
      </c>
      <c r="I25" t="str">
        <f>IF(B25="","",COUNTIFS(DB_All!$G$2:$G$1000,B25,DB_All!$L$2:$L$1000,"تم التوقيع"))</f>
        <v/>
      </c>
      <c r="J25">
        <f t="shared" si="0"/>
        <v>0</v>
      </c>
      <c r="K25" t="str">
        <f>IF(B25="","",SUMIFS('المطالبات 2026'!$J:$J,'المطالبات 2026'!$E:$E,B25,'المطالبات 2026'!$I:$I,"مطالبة مرفوعة للمالية") + SUMIFS('المطالبات 2025'!$J:$J,'المطالبات 2025'!$E:$E,B25,'المطالبات 2025'!$I:$I,"مطالبة مرفوعة للمالية"))</f>
        <v/>
      </c>
      <c r="L25" t="str">
        <f>IF(B25="","",COUNTIFS('المطالبات 2026'!$E:$E,B25,'المطالبات 2026'!$I:$I,"مطالبة مرفوعة للمالية") + COUNTIFS('المطالبات 2025'!$E:$E,B25,'المطالبات 2025'!$I:$I,"مطالبة مرفوعة للمالية"))</f>
        <v/>
      </c>
      <c r="M25">
        <f t="shared" si="1"/>
        <v>0</v>
      </c>
      <c r="N25" t="str">
        <f>IF(B25="","",SUMIFS(DB_All!$N$2:$N$1000,DB_All!$G$2:$G$1000,B25,DB_All!$L$2:$L$1000,"تحت إجراءات التوريد"))</f>
        <v/>
      </c>
      <c r="O25" t="str">
        <f>IF(B25="","",COUNTIFS(DB_All!$G$2:$G$1000,B25,DB_All!$L$2:$L$1000,"تحت إجراءات التوريد"))</f>
        <v/>
      </c>
      <c r="P25" t="str">
        <f>IF(B25="","",SUMIFS(DB_All!$N$2:$N$1000,DB_All!$G$2:$G$1000,B25,DB_All!$L$2:$L$1000,"بانتظار سندات الاستلام \ شهادة الإنجاز"))</f>
        <v/>
      </c>
      <c r="Q25" t="str">
        <f>IF(B25="","",COUNTIFS(DB_All!$G$2:$G$1000,B25,DB_All!$L$2:$L$1000,"بانتظار سندات الاستلام \ شهادة الإنجاز"))</f>
        <v/>
      </c>
      <c r="R25" t="str">
        <f t="shared" si="2"/>
        <v/>
      </c>
    </row>
    <row r="26" spans="6:18" x14ac:dyDescent="0.3">
      <c r="F26" t="str">
        <f>IF(B26="","",SUMIFS(DB_All!$M$2:$M$1000,DB_All!$G$2:$G$1000,B26,DB_All!$L$2:$L$1000,"تحت إجراءات التعاقد"))</f>
        <v/>
      </c>
      <c r="G26" t="str">
        <f>IF(B26="","",COUNTIFS(DB_All!$G$2:$G$1000,B26,DB_All!$L$2:$L$1000,"تحت إجراءات التعاقد"))</f>
        <v/>
      </c>
      <c r="H26" t="str">
        <f>IF(B26="","",SUMIFS(DB_All!$N$2:$N$1000,DB_All!$G$2:$G$1000,B26,DB_All!$L$2:$L$1000,"تم التوقيع"))</f>
        <v/>
      </c>
      <c r="I26" t="str">
        <f>IF(B26="","",COUNTIFS(DB_All!$G$2:$G$1000,B26,DB_All!$L$2:$L$1000,"تم التوقيع"))</f>
        <v/>
      </c>
      <c r="J26">
        <f t="shared" si="0"/>
        <v>0</v>
      </c>
      <c r="K26" t="str">
        <f>IF(B26="","",SUMIFS('المطالبات 2026'!$J:$J,'المطالبات 2026'!$E:$E,B26,'المطالبات 2026'!$I:$I,"مطالبة مرفوعة للمالية") + SUMIFS('المطالبات 2025'!$J:$J,'المطالبات 2025'!$E:$E,B26,'المطالبات 2025'!$I:$I,"مطالبة مرفوعة للمالية"))</f>
        <v/>
      </c>
      <c r="L26" t="str">
        <f>IF(B26="","",COUNTIFS('المطالبات 2026'!$E:$E,B26,'المطالبات 2026'!$I:$I,"مطالبة مرفوعة للمالية") + COUNTIFS('المطالبات 2025'!$E:$E,B26,'المطالبات 2025'!$I:$I,"مطالبة مرفوعة للمالية"))</f>
        <v/>
      </c>
      <c r="M26">
        <f t="shared" si="1"/>
        <v>0</v>
      </c>
      <c r="N26" t="str">
        <f>IF(B26="","",SUMIFS(DB_All!$N$2:$N$1000,DB_All!$G$2:$G$1000,B26,DB_All!$L$2:$L$1000,"تحت إجراءات التوريد"))</f>
        <v/>
      </c>
      <c r="O26" t="str">
        <f>IF(B26="","",COUNTIFS(DB_All!$G$2:$G$1000,B26,DB_All!$L$2:$L$1000,"تحت إجراءات التوريد"))</f>
        <v/>
      </c>
      <c r="P26" t="str">
        <f>IF(B26="","",SUMIFS(DB_All!$N$2:$N$1000,DB_All!$G$2:$G$1000,B26,DB_All!$L$2:$L$1000,"بانتظار سندات الاستلام \ شهادة الإنجاز"))</f>
        <v/>
      </c>
      <c r="Q26" t="str">
        <f>IF(B26="","",COUNTIFS(DB_All!$G$2:$G$1000,B26,DB_All!$L$2:$L$1000,"بانتظار سندات الاستلام \ شهادة الإنجاز"))</f>
        <v/>
      </c>
      <c r="R26" t="str">
        <f t="shared" si="2"/>
        <v/>
      </c>
    </row>
    <row r="27" spans="6:18" x14ac:dyDescent="0.3">
      <c r="F27" t="str">
        <f>IF(B27="","",SUMIFS(DB_All!$M$2:$M$1000,DB_All!$G$2:$G$1000,B27,DB_All!$L$2:$L$1000,"تحت إجراءات التعاقد"))</f>
        <v/>
      </c>
      <c r="G27" t="str">
        <f>IF(B27="","",COUNTIFS(DB_All!$G$2:$G$1000,B27,DB_All!$L$2:$L$1000,"تحت إجراءات التعاقد"))</f>
        <v/>
      </c>
      <c r="H27" t="str">
        <f>IF(B27="","",SUMIFS(DB_All!$N$2:$N$1000,DB_All!$G$2:$G$1000,B27,DB_All!$L$2:$L$1000,"تم التوقيع"))</f>
        <v/>
      </c>
      <c r="I27" t="str">
        <f>IF(B27="","",COUNTIFS(DB_All!$G$2:$G$1000,B27,DB_All!$L$2:$L$1000,"تم التوقيع"))</f>
        <v/>
      </c>
      <c r="J27">
        <f t="shared" si="0"/>
        <v>0</v>
      </c>
      <c r="K27" t="str">
        <f>IF(B27="","",SUMIFS('المطالبات 2026'!$J:$J,'المطالبات 2026'!$E:$E,B27,'المطالبات 2026'!$I:$I,"مطالبة مرفوعة للمالية") + SUMIFS('المطالبات 2025'!$J:$J,'المطالبات 2025'!$E:$E,B27,'المطالبات 2025'!$I:$I,"مطالبة مرفوعة للمالية"))</f>
        <v/>
      </c>
      <c r="L27" t="str">
        <f>IF(B27="","",COUNTIFS('المطالبات 2026'!$E:$E,B27,'المطالبات 2026'!$I:$I,"مطالبة مرفوعة للمالية") + COUNTIFS('المطالبات 2025'!$E:$E,B27,'المطالبات 2025'!$I:$I,"مطالبة مرفوعة للمالية"))</f>
        <v/>
      </c>
      <c r="M27">
        <f t="shared" si="1"/>
        <v>0</v>
      </c>
      <c r="N27" t="str">
        <f>IF(B27="","",SUMIFS(DB_All!$N$2:$N$1000,DB_All!$G$2:$G$1000,B27,DB_All!$L$2:$L$1000,"تحت إجراءات التوريد"))</f>
        <v/>
      </c>
      <c r="O27" t="str">
        <f>IF(B27="","",COUNTIFS(DB_All!$G$2:$G$1000,B27,DB_All!$L$2:$L$1000,"تحت إجراءات التوريد"))</f>
        <v/>
      </c>
      <c r="P27" t="str">
        <f>IF(B27="","",SUMIFS(DB_All!$N$2:$N$1000,DB_All!$G$2:$G$1000,B27,DB_All!$L$2:$L$1000,"بانتظار سندات الاستلام \ شهادة الإنجاز"))</f>
        <v/>
      </c>
      <c r="Q27" t="str">
        <f>IF(B27="","",COUNTIFS(DB_All!$G$2:$G$1000,B27,DB_All!$L$2:$L$1000,"بانتظار سندات الاستلام \ شهادة الإنجاز"))</f>
        <v/>
      </c>
      <c r="R27" t="str">
        <f t="shared" si="2"/>
        <v/>
      </c>
    </row>
    <row r="28" spans="6:18" x14ac:dyDescent="0.3">
      <c r="F28" t="str">
        <f>IF(B28="","",SUMIFS(DB_All!$M$2:$M$1000,DB_All!$G$2:$G$1000,B28,DB_All!$L$2:$L$1000,"تحت إجراءات التعاقد"))</f>
        <v/>
      </c>
      <c r="G28" t="str">
        <f>IF(B28="","",COUNTIFS(DB_All!$G$2:$G$1000,B28,DB_All!$L$2:$L$1000,"تحت إجراءات التعاقد"))</f>
        <v/>
      </c>
      <c r="H28" t="str">
        <f>IF(B28="","",SUMIFS(DB_All!$N$2:$N$1000,DB_All!$G$2:$G$1000,B28,DB_All!$L$2:$L$1000,"تم التوقيع"))</f>
        <v/>
      </c>
      <c r="I28" t="str">
        <f>IF(B28="","",COUNTIFS(DB_All!$G$2:$G$1000,B28,DB_All!$L$2:$L$1000,"تم التوقيع"))</f>
        <v/>
      </c>
      <c r="J28">
        <f t="shared" si="0"/>
        <v>0</v>
      </c>
      <c r="K28" t="str">
        <f>IF(B28="","",SUMIFS('المطالبات 2026'!$J:$J,'المطالبات 2026'!$E:$E,B28,'المطالبات 2026'!$I:$I,"مطالبة مرفوعة للمالية") + SUMIFS('المطالبات 2025'!$J:$J,'المطالبات 2025'!$E:$E,B28,'المطالبات 2025'!$I:$I,"مطالبة مرفوعة للمالية"))</f>
        <v/>
      </c>
      <c r="L28" t="str">
        <f>IF(B28="","",COUNTIFS('المطالبات 2026'!$E:$E,B28,'المطالبات 2026'!$I:$I,"مطالبة مرفوعة للمالية") + COUNTIFS('المطالبات 2025'!$E:$E,B28,'المطالبات 2025'!$I:$I,"مطالبة مرفوعة للمالية"))</f>
        <v/>
      </c>
      <c r="M28">
        <f t="shared" si="1"/>
        <v>0</v>
      </c>
      <c r="N28" t="str">
        <f>IF(B28="","",SUMIFS(DB_All!$N$2:$N$1000,DB_All!$G$2:$G$1000,B28,DB_All!$L$2:$L$1000,"تحت إجراءات التوريد"))</f>
        <v/>
      </c>
      <c r="O28" t="str">
        <f>IF(B28="","",COUNTIFS(DB_All!$G$2:$G$1000,B28,DB_All!$L$2:$L$1000,"تحت إجراءات التوريد"))</f>
        <v/>
      </c>
      <c r="P28" t="str">
        <f>IF(B28="","",SUMIFS(DB_All!$N$2:$N$1000,DB_All!$G$2:$G$1000,B28,DB_All!$L$2:$L$1000,"بانتظار سندات الاستلام \ شهادة الإنجاز"))</f>
        <v/>
      </c>
      <c r="Q28" t="str">
        <f>IF(B28="","",COUNTIFS(DB_All!$G$2:$G$1000,B28,DB_All!$L$2:$L$1000,"بانتظار سندات الاستلام \ شهادة الإنجاز"))</f>
        <v/>
      </c>
      <c r="R28" t="str">
        <f t="shared" si="2"/>
        <v/>
      </c>
    </row>
    <row r="29" spans="6:18" x14ac:dyDescent="0.3">
      <c r="F29" t="str">
        <f>IF(B29="","",SUMIFS(DB_All!$M$2:$M$1000,DB_All!$G$2:$G$1000,B29,DB_All!$L$2:$L$1000,"تحت إجراءات التعاقد"))</f>
        <v/>
      </c>
      <c r="G29" t="str">
        <f>IF(B29="","",COUNTIFS(DB_All!$G$2:$G$1000,B29,DB_All!$L$2:$L$1000,"تحت إجراءات التعاقد"))</f>
        <v/>
      </c>
      <c r="H29" t="str">
        <f>IF(B29="","",SUMIFS(DB_All!$N$2:$N$1000,DB_All!$G$2:$G$1000,B29,DB_All!$L$2:$L$1000,"تم التوقيع"))</f>
        <v/>
      </c>
      <c r="I29" t="str">
        <f>IF(B29="","",COUNTIFS(DB_All!$G$2:$G$1000,B29,DB_All!$L$2:$L$1000,"تم التوقيع"))</f>
        <v/>
      </c>
      <c r="J29">
        <f t="shared" si="0"/>
        <v>0</v>
      </c>
      <c r="K29" t="str">
        <f>IF(B29="","",SUMIFS('المطالبات 2026'!$J:$J,'المطالبات 2026'!$E:$E,B29,'المطالبات 2026'!$I:$I,"مطالبة مرفوعة للمالية") + SUMIFS('المطالبات 2025'!$J:$J,'المطالبات 2025'!$E:$E,B29,'المطالبات 2025'!$I:$I,"مطالبة مرفوعة للمالية"))</f>
        <v/>
      </c>
      <c r="L29" t="str">
        <f>IF(B29="","",COUNTIFS('المطالبات 2026'!$E:$E,B29,'المطالبات 2026'!$I:$I,"مطالبة مرفوعة للمالية") + COUNTIFS('المطالبات 2025'!$E:$E,B29,'المطالبات 2025'!$I:$I,"مطالبة مرفوعة للمالية"))</f>
        <v/>
      </c>
      <c r="M29">
        <f t="shared" si="1"/>
        <v>0</v>
      </c>
      <c r="N29" t="str">
        <f>IF(B29="","",SUMIFS(DB_All!$N$2:$N$1000,DB_All!$G$2:$G$1000,B29,DB_All!$L$2:$L$1000,"تحت إجراءات التوريد"))</f>
        <v/>
      </c>
      <c r="O29" t="str">
        <f>IF(B29="","",COUNTIFS(DB_All!$G$2:$G$1000,B29,DB_All!$L$2:$L$1000,"تحت إجراءات التوريد"))</f>
        <v/>
      </c>
      <c r="P29" t="str">
        <f>IF(B29="","",SUMIFS(DB_All!$N$2:$N$1000,DB_All!$G$2:$G$1000,B29,DB_All!$L$2:$L$1000,"بانتظار سندات الاستلام \ شهادة الإنجاز"))</f>
        <v/>
      </c>
      <c r="Q29" t="str">
        <f>IF(B29="","",COUNTIFS(DB_All!$G$2:$G$1000,B29,DB_All!$L$2:$L$1000,"بانتظار سندات الاستلام \ شهادة الإنجاز"))</f>
        <v/>
      </c>
      <c r="R29" t="str">
        <f t="shared" si="2"/>
        <v/>
      </c>
    </row>
    <row r="30" spans="6:18" x14ac:dyDescent="0.3">
      <c r="F30" t="str">
        <f>IF(B30="","",SUMIFS(DB_All!$M$2:$M$1000,DB_All!$G$2:$G$1000,B30,DB_All!$L$2:$L$1000,"تحت إجراءات التعاقد"))</f>
        <v/>
      </c>
      <c r="G30" t="str">
        <f>IF(B30="","",COUNTIFS(DB_All!$G$2:$G$1000,B30,DB_All!$L$2:$L$1000,"تحت إجراءات التعاقد"))</f>
        <v/>
      </c>
      <c r="H30" t="str">
        <f>IF(B30="","",SUMIFS(DB_All!$N$2:$N$1000,DB_All!$G$2:$G$1000,B30,DB_All!$L$2:$L$1000,"تم التوقيع"))</f>
        <v/>
      </c>
      <c r="I30" t="str">
        <f>IF(B30="","",COUNTIFS(DB_All!$G$2:$G$1000,B30,DB_All!$L$2:$L$1000,"تم التوقيع"))</f>
        <v/>
      </c>
      <c r="J30">
        <f t="shared" si="0"/>
        <v>0</v>
      </c>
      <c r="K30" t="str">
        <f>IF(B30="","",SUMIFS('المطالبات 2026'!$J:$J,'المطالبات 2026'!$E:$E,B30,'المطالبات 2026'!$I:$I,"مطالبة مرفوعة للمالية") + SUMIFS('المطالبات 2025'!$J:$J,'المطالبات 2025'!$E:$E,B30,'المطالبات 2025'!$I:$I,"مطالبة مرفوعة للمالية"))</f>
        <v/>
      </c>
      <c r="L30" t="str">
        <f>IF(B30="","",COUNTIFS('المطالبات 2026'!$E:$E,B30,'المطالبات 2026'!$I:$I,"مطالبة مرفوعة للمالية") + COUNTIFS('المطالبات 2025'!$E:$E,B30,'المطالبات 2025'!$I:$I,"مطالبة مرفوعة للمالية"))</f>
        <v/>
      </c>
      <c r="M30">
        <f t="shared" si="1"/>
        <v>0</v>
      </c>
      <c r="N30" t="str">
        <f>IF(B30="","",SUMIFS(DB_All!$N$2:$N$1000,DB_All!$G$2:$G$1000,B30,DB_All!$L$2:$L$1000,"تحت إجراءات التوريد"))</f>
        <v/>
      </c>
      <c r="O30" t="str">
        <f>IF(B30="","",COUNTIFS(DB_All!$G$2:$G$1000,B30,DB_All!$L$2:$L$1000,"تحت إجراءات التوريد"))</f>
        <v/>
      </c>
      <c r="P30" t="str">
        <f>IF(B30="","",SUMIFS(DB_All!$N$2:$N$1000,DB_All!$G$2:$G$1000,B30,DB_All!$L$2:$L$1000,"بانتظار سندات الاستلام \ شهادة الإنجاز"))</f>
        <v/>
      </c>
      <c r="Q30" t="str">
        <f>IF(B30="","",COUNTIFS(DB_All!$G$2:$G$1000,B30,DB_All!$L$2:$L$1000,"بانتظار سندات الاستلام \ شهادة الإنجاز"))</f>
        <v/>
      </c>
      <c r="R30" t="str">
        <f t="shared" si="2"/>
        <v/>
      </c>
    </row>
    <row r="31" spans="6:18" x14ac:dyDescent="0.3">
      <c r="F31" t="str">
        <f>IF(B31="","",SUMIFS(DB_All!$M$2:$M$1000,DB_All!$G$2:$G$1000,B31,DB_All!$L$2:$L$1000,"تحت إجراءات التعاقد"))</f>
        <v/>
      </c>
      <c r="G31" t="str">
        <f>IF(B31="","",COUNTIFS(DB_All!$G$2:$G$1000,B31,DB_All!$L$2:$L$1000,"تحت إجراءات التعاقد"))</f>
        <v/>
      </c>
      <c r="H31" t="str">
        <f>IF(B31="","",SUMIFS(DB_All!$N$2:$N$1000,DB_All!$G$2:$G$1000,B31,DB_All!$L$2:$L$1000,"تم التوقيع"))</f>
        <v/>
      </c>
      <c r="I31" t="str">
        <f>IF(B31="","",COUNTIFS(DB_All!$G$2:$G$1000,B31,DB_All!$L$2:$L$1000,"تم التوقيع"))</f>
        <v/>
      </c>
      <c r="J31">
        <f t="shared" si="0"/>
        <v>0</v>
      </c>
      <c r="K31" t="str">
        <f>IF(B31="","",SUMIFS('المطالبات 2026'!$J:$J,'المطالبات 2026'!$E:$E,B31,'المطالبات 2026'!$I:$I,"مطالبة مرفوعة للمالية") + SUMIFS('المطالبات 2025'!$J:$J,'المطالبات 2025'!$E:$E,B31,'المطالبات 2025'!$I:$I,"مطالبة مرفوعة للمالية"))</f>
        <v/>
      </c>
      <c r="L31" t="str">
        <f>IF(B31="","",COUNTIFS('المطالبات 2026'!$E:$E,B31,'المطالبات 2026'!$I:$I,"مطالبة مرفوعة للمالية") + COUNTIFS('المطالبات 2025'!$E:$E,B31,'المطالبات 2025'!$I:$I,"مطالبة مرفوعة للمالية"))</f>
        <v/>
      </c>
      <c r="M31">
        <f t="shared" si="1"/>
        <v>0</v>
      </c>
      <c r="N31" t="str">
        <f>IF(B31="","",SUMIFS(DB_All!$N$2:$N$1000,DB_All!$G$2:$G$1000,B31,DB_All!$L$2:$L$1000,"تحت إجراءات التوريد"))</f>
        <v/>
      </c>
      <c r="O31" t="str">
        <f>IF(B31="","",COUNTIFS(DB_All!$G$2:$G$1000,B31,DB_All!$L$2:$L$1000,"تحت إجراءات التوريد"))</f>
        <v/>
      </c>
      <c r="P31" t="str">
        <f>IF(B31="","",SUMIFS(DB_All!$N$2:$N$1000,DB_All!$G$2:$G$1000,B31,DB_All!$L$2:$L$1000,"بانتظار سندات الاستلام \ شهادة الإنجاز"))</f>
        <v/>
      </c>
      <c r="Q31" t="str">
        <f>IF(B31="","",COUNTIFS(DB_All!$G$2:$G$1000,B31,DB_All!$L$2:$L$1000,"بانتظار سندات الاستلام \ شهادة الإنجاز"))</f>
        <v/>
      </c>
      <c r="R31" t="str">
        <f t="shared" si="2"/>
        <v/>
      </c>
    </row>
    <row r="32" spans="6:18" x14ac:dyDescent="0.3">
      <c r="F32" t="str">
        <f>IF(B32="","",SUMIFS(DB_All!$M$2:$M$1000,DB_All!$G$2:$G$1000,B32,DB_All!$L$2:$L$1000,"تحت إجراءات التعاقد"))</f>
        <v/>
      </c>
      <c r="G32" t="str">
        <f>IF(B32="","",COUNTIFS(DB_All!$G$2:$G$1000,B32,DB_All!$L$2:$L$1000,"تحت إجراءات التعاقد"))</f>
        <v/>
      </c>
      <c r="H32" t="str">
        <f>IF(B32="","",SUMIFS(DB_All!$N$2:$N$1000,DB_All!$G$2:$G$1000,B32,DB_All!$L$2:$L$1000,"تم التوقيع"))</f>
        <v/>
      </c>
      <c r="I32" t="str">
        <f>IF(B32="","",COUNTIFS(DB_All!$G$2:$G$1000,B32,DB_All!$L$2:$L$1000,"تم التوقيع"))</f>
        <v/>
      </c>
      <c r="J32">
        <f t="shared" si="0"/>
        <v>0</v>
      </c>
      <c r="K32" t="str">
        <f>IF(B32="","",SUMIFS('المطالبات 2026'!$J:$J,'المطالبات 2026'!$E:$E,B32,'المطالبات 2026'!$I:$I,"مطالبة مرفوعة للمالية") + SUMIFS('المطالبات 2025'!$J:$J,'المطالبات 2025'!$E:$E,B32,'المطالبات 2025'!$I:$I,"مطالبة مرفوعة للمالية"))</f>
        <v/>
      </c>
      <c r="L32" t="str">
        <f>IF(B32="","",COUNTIFS('المطالبات 2026'!$E:$E,B32,'المطالبات 2026'!$I:$I,"مطالبة مرفوعة للمالية") + COUNTIFS('المطالبات 2025'!$E:$E,B32,'المطالبات 2025'!$I:$I,"مطالبة مرفوعة للمالية"))</f>
        <v/>
      </c>
      <c r="M32">
        <f t="shared" si="1"/>
        <v>0</v>
      </c>
      <c r="N32" t="str">
        <f>IF(B32="","",SUMIFS(DB_All!$N$2:$N$1000,DB_All!$G$2:$G$1000,B32,DB_All!$L$2:$L$1000,"تحت إجراءات التوريد"))</f>
        <v/>
      </c>
      <c r="O32" t="str">
        <f>IF(B32="","",COUNTIFS(DB_All!$G$2:$G$1000,B32,DB_All!$L$2:$L$1000,"تحت إجراءات التوريد"))</f>
        <v/>
      </c>
      <c r="P32" t="str">
        <f>IF(B32="","",SUMIFS(DB_All!$N$2:$N$1000,DB_All!$G$2:$G$1000,B32,DB_All!$L$2:$L$1000,"بانتظار سندات الاستلام \ شهادة الإنجاز"))</f>
        <v/>
      </c>
      <c r="Q32" t="str">
        <f>IF(B32="","",COUNTIFS(DB_All!$G$2:$G$1000,B32,DB_All!$L$2:$L$1000,"بانتظار سندات الاستلام \ شهادة الإنجاز"))</f>
        <v/>
      </c>
      <c r="R32" t="str">
        <f t="shared" si="2"/>
        <v/>
      </c>
    </row>
    <row r="33" spans="6:18" x14ac:dyDescent="0.3">
      <c r="F33" t="str">
        <f>IF(B33="","",SUMIFS(DB_All!$M$2:$M$1000,DB_All!$G$2:$G$1000,B33,DB_All!$L$2:$L$1000,"تحت إجراءات التعاقد"))</f>
        <v/>
      </c>
      <c r="G33" t="str">
        <f>IF(B33="","",COUNTIFS(DB_All!$G$2:$G$1000,B33,DB_All!$L$2:$L$1000,"تحت إجراءات التعاقد"))</f>
        <v/>
      </c>
      <c r="H33" t="str">
        <f>IF(B33="","",SUMIFS(DB_All!$N$2:$N$1000,DB_All!$G$2:$G$1000,B33,DB_All!$L$2:$L$1000,"تم التوقيع"))</f>
        <v/>
      </c>
      <c r="I33" t="str">
        <f>IF(B33="","",COUNTIFS(DB_All!$G$2:$G$1000,B33,DB_All!$L$2:$L$1000,"تم التوقيع"))</f>
        <v/>
      </c>
      <c r="J33">
        <f t="shared" si="0"/>
        <v>0</v>
      </c>
      <c r="K33" t="str">
        <f>IF(B33="","",SUMIFS('المطالبات 2026'!$J:$J,'المطالبات 2026'!$E:$E,B33,'المطالبات 2026'!$I:$I,"مطالبة مرفوعة للمالية") + SUMIFS('المطالبات 2025'!$J:$J,'المطالبات 2025'!$E:$E,B33,'المطالبات 2025'!$I:$I,"مطالبة مرفوعة للمالية"))</f>
        <v/>
      </c>
      <c r="L33" t="str">
        <f>IF(B33="","",COUNTIFS('المطالبات 2026'!$E:$E,B33,'المطالبات 2026'!$I:$I,"مطالبة مرفوعة للمالية") + COUNTIFS('المطالبات 2025'!$E:$E,B33,'المطالبات 2025'!$I:$I,"مطالبة مرفوعة للمالية"))</f>
        <v/>
      </c>
      <c r="M33">
        <f t="shared" si="1"/>
        <v>0</v>
      </c>
      <c r="N33" t="str">
        <f>IF(B33="","",SUMIFS(DB_All!$N$2:$N$1000,DB_All!$G$2:$G$1000,B33,DB_All!$L$2:$L$1000,"تحت إجراءات التوريد"))</f>
        <v/>
      </c>
      <c r="O33" t="str">
        <f>IF(B33="","",COUNTIFS(DB_All!$G$2:$G$1000,B33,DB_All!$L$2:$L$1000,"تحت إجراءات التوريد"))</f>
        <v/>
      </c>
      <c r="P33" t="str">
        <f>IF(B33="","",SUMIFS(DB_All!$N$2:$N$1000,DB_All!$G$2:$G$1000,B33,DB_All!$L$2:$L$1000,"بانتظار سندات الاستلام \ شهادة الإنجاز"))</f>
        <v/>
      </c>
      <c r="Q33" t="str">
        <f>IF(B33="","",COUNTIFS(DB_All!$G$2:$G$1000,B33,DB_All!$L$2:$L$1000,"بانتظار سندات الاستلام \ شهادة الإنجاز"))</f>
        <v/>
      </c>
      <c r="R33" t="str">
        <f t="shared" si="2"/>
        <v/>
      </c>
    </row>
    <row r="34" spans="6:18" x14ac:dyDescent="0.3">
      <c r="F34" t="str">
        <f>IF(B34="","",SUMIFS(DB_All!$M$2:$M$1000,DB_All!$G$2:$G$1000,B34,DB_All!$L$2:$L$1000,"تحت إجراءات التعاقد"))</f>
        <v/>
      </c>
      <c r="G34" t="str">
        <f>IF(B34="","",COUNTIFS(DB_All!$G$2:$G$1000,B34,DB_All!$L$2:$L$1000,"تحت إجراءات التعاقد"))</f>
        <v/>
      </c>
      <c r="H34" t="str">
        <f>IF(B34="","",SUMIFS(DB_All!$N$2:$N$1000,DB_All!$G$2:$G$1000,B34,DB_All!$L$2:$L$1000,"تم التوقيع"))</f>
        <v/>
      </c>
      <c r="I34" t="str">
        <f>IF(B34="","",COUNTIFS(DB_All!$G$2:$G$1000,B34,DB_All!$L$2:$L$1000,"تم التوقيع"))</f>
        <v/>
      </c>
      <c r="J34">
        <f t="shared" si="0"/>
        <v>0</v>
      </c>
      <c r="K34" t="str">
        <f>IF(B34="","",SUMIFS('المطالبات 2026'!$J:$J,'المطالبات 2026'!$E:$E,B34,'المطالبات 2026'!$I:$I,"مطالبة مرفوعة للمالية") + SUMIFS('المطالبات 2025'!$J:$J,'المطالبات 2025'!$E:$E,B34,'المطالبات 2025'!$I:$I,"مطالبة مرفوعة للمالية"))</f>
        <v/>
      </c>
      <c r="L34" t="str">
        <f>IF(B34="","",COUNTIFS('المطالبات 2026'!$E:$E,B34,'المطالبات 2026'!$I:$I,"مطالبة مرفوعة للمالية") + COUNTIFS('المطالبات 2025'!$E:$E,B34,'المطالبات 2025'!$I:$I,"مطالبة مرفوعة للمالية"))</f>
        <v/>
      </c>
      <c r="M34">
        <f t="shared" si="1"/>
        <v>0</v>
      </c>
      <c r="N34" t="str">
        <f>IF(B34="","",SUMIFS(DB_All!$N$2:$N$1000,DB_All!$G$2:$G$1000,B34,DB_All!$L$2:$L$1000,"تحت إجراءات التوريد"))</f>
        <v/>
      </c>
      <c r="O34" t="str">
        <f>IF(B34="","",COUNTIFS(DB_All!$G$2:$G$1000,B34,DB_All!$L$2:$L$1000,"تحت إجراءات التوريد"))</f>
        <v/>
      </c>
      <c r="P34" t="str">
        <f>IF(B34="","",SUMIFS(DB_All!$N$2:$N$1000,DB_All!$G$2:$G$1000,B34,DB_All!$L$2:$L$1000,"بانتظار سندات الاستلام \ شهادة الإنجاز"))</f>
        <v/>
      </c>
      <c r="Q34" t="str">
        <f>IF(B34="","",COUNTIFS(DB_All!$G$2:$G$1000,B34,DB_All!$L$2:$L$1000,"بانتظار سندات الاستلام \ شهادة الإنجاز"))</f>
        <v/>
      </c>
      <c r="R34" t="str">
        <f t="shared" si="2"/>
        <v/>
      </c>
    </row>
    <row r="35" spans="6:18" x14ac:dyDescent="0.3">
      <c r="F35" t="str">
        <f>IF(B35="","",SUMIFS(DB_All!$M$2:$M$1000,DB_All!$G$2:$G$1000,B35,DB_All!$L$2:$L$1000,"تحت إجراءات التعاقد"))</f>
        <v/>
      </c>
      <c r="G35" t="str">
        <f>IF(B35="","",COUNTIFS(DB_All!$G$2:$G$1000,B35,DB_All!$L$2:$L$1000,"تحت إجراءات التعاقد"))</f>
        <v/>
      </c>
      <c r="H35" t="str">
        <f>IF(B35="","",SUMIFS(DB_All!$N$2:$N$1000,DB_All!$G$2:$G$1000,B35,DB_All!$L$2:$L$1000,"تم التوقيع"))</f>
        <v/>
      </c>
      <c r="I35" t="str">
        <f>IF(B35="","",COUNTIFS(DB_All!$G$2:$G$1000,B35,DB_All!$L$2:$L$1000,"تم التوقيع"))</f>
        <v/>
      </c>
      <c r="J35">
        <f t="shared" si="0"/>
        <v>0</v>
      </c>
      <c r="K35" t="str">
        <f>IF(B35="","",SUMIFS('المطالبات 2026'!$J:$J,'المطالبات 2026'!$E:$E,B35,'المطالبات 2026'!$I:$I,"مطالبة مرفوعة للمالية") + SUMIFS('المطالبات 2025'!$J:$J,'المطالبات 2025'!$E:$E,B35,'المطالبات 2025'!$I:$I,"مطالبة مرفوعة للمالية"))</f>
        <v/>
      </c>
      <c r="L35" t="str">
        <f>IF(B35="","",COUNTIFS('المطالبات 2026'!$E:$E,B35,'المطالبات 2026'!$I:$I,"مطالبة مرفوعة للمالية") + COUNTIFS('المطالبات 2025'!$E:$E,B35,'المطالبات 2025'!$I:$I,"مطالبة مرفوعة للمالية"))</f>
        <v/>
      </c>
      <c r="M35">
        <f t="shared" si="1"/>
        <v>0</v>
      </c>
      <c r="N35" t="str">
        <f>IF(B35="","",SUMIFS(DB_All!$N$2:$N$1000,DB_All!$G$2:$G$1000,B35,DB_All!$L$2:$L$1000,"تحت إجراءات التوريد"))</f>
        <v/>
      </c>
      <c r="O35" t="str">
        <f>IF(B35="","",COUNTIFS(DB_All!$G$2:$G$1000,B35,DB_All!$L$2:$L$1000,"تحت إجراءات التوريد"))</f>
        <v/>
      </c>
      <c r="P35" t="str">
        <f>IF(B35="","",SUMIFS(DB_All!$N$2:$N$1000,DB_All!$G$2:$G$1000,B35,DB_All!$L$2:$L$1000,"بانتظار سندات الاستلام \ شهادة الإنجاز"))</f>
        <v/>
      </c>
      <c r="Q35" t="str">
        <f>IF(B35="","",COUNTIFS(DB_All!$G$2:$G$1000,B35,DB_All!$L$2:$L$1000,"بانتظار سندات الاستلام \ شهادة الإنجاز"))</f>
        <v/>
      </c>
      <c r="R35" t="str">
        <f t="shared" si="2"/>
        <v/>
      </c>
    </row>
    <row r="36" spans="6:18" x14ac:dyDescent="0.3">
      <c r="F36" t="str">
        <f>IF(B36="","",SUMIFS(DB_All!$M$2:$M$1000,DB_All!$G$2:$G$1000,B36,DB_All!$L$2:$L$1000,"تحت إجراءات التعاقد"))</f>
        <v/>
      </c>
      <c r="G36" t="str">
        <f>IF(B36="","",COUNTIFS(DB_All!$G$2:$G$1000,B36,DB_All!$L$2:$L$1000,"تحت إجراءات التعاقد"))</f>
        <v/>
      </c>
      <c r="H36" t="str">
        <f>IF(B36="","",SUMIFS(DB_All!$N$2:$N$1000,DB_All!$G$2:$G$1000,B36,DB_All!$L$2:$L$1000,"تم التوقيع"))</f>
        <v/>
      </c>
      <c r="I36" t="str">
        <f>IF(B36="","",COUNTIFS(DB_All!$G$2:$G$1000,B36,DB_All!$L$2:$L$1000,"تم التوقيع"))</f>
        <v/>
      </c>
      <c r="J36">
        <f t="shared" si="0"/>
        <v>0</v>
      </c>
      <c r="K36" t="str">
        <f>IF(B36="","",SUMIFS('المطالبات 2026'!$J:$J,'المطالبات 2026'!$E:$E,B36,'المطالبات 2026'!$I:$I,"مطالبة مرفوعة للمالية") + SUMIFS('المطالبات 2025'!$J:$J,'المطالبات 2025'!$E:$E,B36,'المطالبات 2025'!$I:$I,"مطالبة مرفوعة للمالية"))</f>
        <v/>
      </c>
      <c r="L36" t="str">
        <f>IF(B36="","",COUNTIFS('المطالبات 2026'!$E:$E,B36,'المطالبات 2026'!$I:$I,"مطالبة مرفوعة للمالية") + COUNTIFS('المطالبات 2025'!$E:$E,B36,'المطالبات 2025'!$I:$I,"مطالبة مرفوعة للمالية"))</f>
        <v/>
      </c>
      <c r="M36">
        <f t="shared" si="1"/>
        <v>0</v>
      </c>
      <c r="N36" t="str">
        <f>IF(B36="","",SUMIFS(DB_All!$N$2:$N$1000,DB_All!$G$2:$G$1000,B36,DB_All!$L$2:$L$1000,"تحت إجراءات التوريد"))</f>
        <v/>
      </c>
      <c r="O36" t="str">
        <f>IF(B36="","",COUNTIFS(DB_All!$G$2:$G$1000,B36,DB_All!$L$2:$L$1000,"تحت إجراءات التوريد"))</f>
        <v/>
      </c>
      <c r="P36" t="str">
        <f>IF(B36="","",SUMIFS(DB_All!$N$2:$N$1000,DB_All!$G$2:$G$1000,B36,DB_All!$L$2:$L$1000,"بانتظار سندات الاستلام \ شهادة الإنجاز"))</f>
        <v/>
      </c>
      <c r="Q36" t="str">
        <f>IF(B36="","",COUNTIFS(DB_All!$G$2:$G$1000,B36,DB_All!$L$2:$L$1000,"بانتظار سندات الاستلام \ شهادة الإنجاز"))</f>
        <v/>
      </c>
      <c r="R36" t="str">
        <f t="shared" si="2"/>
        <v/>
      </c>
    </row>
    <row r="37" spans="6:18" x14ac:dyDescent="0.3">
      <c r="F37" t="str">
        <f>IF(B37="","",SUMIFS(DB_All!$M$2:$M$1000,DB_All!$G$2:$G$1000,B37,DB_All!$L$2:$L$1000,"تحت إجراءات التعاقد"))</f>
        <v/>
      </c>
      <c r="G37" t="str">
        <f>IF(B37="","",COUNTIFS(DB_All!$G$2:$G$1000,B37,DB_All!$L$2:$L$1000,"تحت إجراءات التعاقد"))</f>
        <v/>
      </c>
      <c r="H37" t="str">
        <f>IF(B37="","",SUMIFS(DB_All!$N$2:$N$1000,DB_All!$G$2:$G$1000,B37,DB_All!$L$2:$L$1000,"تم التوقيع"))</f>
        <v/>
      </c>
      <c r="I37" t="str">
        <f>IF(B37="","",COUNTIFS(DB_All!$G$2:$G$1000,B37,DB_All!$L$2:$L$1000,"تم التوقيع"))</f>
        <v/>
      </c>
      <c r="J37">
        <f t="shared" si="0"/>
        <v>0</v>
      </c>
      <c r="K37" t="str">
        <f>IF(B37="","",SUMIFS('المطالبات 2026'!$J:$J,'المطالبات 2026'!$E:$E,B37,'المطالبات 2026'!$I:$I,"مطالبة مرفوعة للمالية") + SUMIFS('المطالبات 2025'!$J:$J,'المطالبات 2025'!$E:$E,B37,'المطالبات 2025'!$I:$I,"مطالبة مرفوعة للمالية"))</f>
        <v/>
      </c>
      <c r="L37" t="str">
        <f>IF(B37="","",COUNTIFS('المطالبات 2026'!$E:$E,B37,'المطالبات 2026'!$I:$I,"مطالبة مرفوعة للمالية") + COUNTIFS('المطالبات 2025'!$E:$E,B37,'المطالبات 2025'!$I:$I,"مطالبة مرفوعة للمالية"))</f>
        <v/>
      </c>
      <c r="M37">
        <f t="shared" si="1"/>
        <v>0</v>
      </c>
      <c r="N37" t="str">
        <f>IF(B37="","",SUMIFS(DB_All!$N$2:$N$1000,DB_All!$G$2:$G$1000,B37,DB_All!$L$2:$L$1000,"تحت إجراءات التوريد"))</f>
        <v/>
      </c>
      <c r="O37" t="str">
        <f>IF(B37="","",COUNTIFS(DB_All!$G$2:$G$1000,B37,DB_All!$L$2:$L$1000,"تحت إجراءات التوريد"))</f>
        <v/>
      </c>
      <c r="P37" t="str">
        <f>IF(B37="","",SUMIFS(DB_All!$N$2:$N$1000,DB_All!$G$2:$G$1000,B37,DB_All!$L$2:$L$1000,"بانتظار سندات الاستلام \ شهادة الإنجاز"))</f>
        <v/>
      </c>
      <c r="Q37" t="str">
        <f>IF(B37="","",COUNTIFS(DB_All!$G$2:$G$1000,B37,DB_All!$L$2:$L$1000,"بانتظار سندات الاستلام \ شهادة الإنجاز"))</f>
        <v/>
      </c>
      <c r="R37" t="str">
        <f t="shared" si="2"/>
        <v/>
      </c>
    </row>
    <row r="38" spans="6:18" x14ac:dyDescent="0.3">
      <c r="F38" t="str">
        <f>IF(B38="","",SUMIFS(DB_All!$M$2:$M$1000,DB_All!$G$2:$G$1000,B38,DB_All!$L$2:$L$1000,"تحت إجراءات التعاقد"))</f>
        <v/>
      </c>
      <c r="G38" t="str">
        <f>IF(B38="","",COUNTIFS(DB_All!$G$2:$G$1000,B38,DB_All!$L$2:$L$1000,"تحت إجراءات التعاقد"))</f>
        <v/>
      </c>
      <c r="H38" t="str">
        <f>IF(B38="","",SUMIFS(DB_All!$N$2:$N$1000,DB_All!$G$2:$G$1000,B38,DB_All!$L$2:$L$1000,"تم التوقيع"))</f>
        <v/>
      </c>
      <c r="I38" t="str">
        <f>IF(B38="","",COUNTIFS(DB_All!$G$2:$G$1000,B38,DB_All!$L$2:$L$1000,"تم التوقيع"))</f>
        <v/>
      </c>
      <c r="J38">
        <f t="shared" si="0"/>
        <v>0</v>
      </c>
      <c r="K38" t="str">
        <f>IF(B38="","",SUMIFS('المطالبات 2026'!$J:$J,'المطالبات 2026'!$E:$E,B38,'المطالبات 2026'!$I:$I,"مطالبة مرفوعة للمالية") + SUMIFS('المطالبات 2025'!$J:$J,'المطالبات 2025'!$E:$E,B38,'المطالبات 2025'!$I:$I,"مطالبة مرفوعة للمالية"))</f>
        <v/>
      </c>
      <c r="L38" t="str">
        <f>IF(B38="","",COUNTIFS('المطالبات 2026'!$E:$E,B38,'المطالبات 2026'!$I:$I,"مطالبة مرفوعة للمالية") + COUNTIFS('المطالبات 2025'!$E:$E,B38,'المطالبات 2025'!$I:$I,"مطالبة مرفوعة للمالية"))</f>
        <v/>
      </c>
      <c r="M38">
        <f t="shared" si="1"/>
        <v>0</v>
      </c>
      <c r="N38" t="str">
        <f>IF(B38="","",SUMIFS(DB_All!$N$2:$N$1000,DB_All!$G$2:$G$1000,B38,DB_All!$L$2:$L$1000,"تحت إجراءات التوريد"))</f>
        <v/>
      </c>
      <c r="O38" t="str">
        <f>IF(B38="","",COUNTIFS(DB_All!$G$2:$G$1000,B38,DB_All!$L$2:$L$1000,"تحت إجراءات التوريد"))</f>
        <v/>
      </c>
      <c r="P38" t="str">
        <f>IF(B38="","",SUMIFS(DB_All!$N$2:$N$1000,DB_All!$G$2:$G$1000,B38,DB_All!$L$2:$L$1000,"بانتظار سندات الاستلام \ شهادة الإنجاز"))</f>
        <v/>
      </c>
      <c r="Q38" t="str">
        <f>IF(B38="","",COUNTIFS(DB_All!$G$2:$G$1000,B38,DB_All!$L$2:$L$1000,"بانتظار سندات الاستلام \ شهادة الإنجاز"))</f>
        <v/>
      </c>
      <c r="R38" t="str">
        <f t="shared" si="2"/>
        <v/>
      </c>
    </row>
    <row r="39" spans="6:18" x14ac:dyDescent="0.3">
      <c r="F39" t="str">
        <f>IF(B39="","",SUMIFS(DB_All!$M$2:$M$1000,DB_All!$G$2:$G$1000,B39,DB_All!$L$2:$L$1000,"تحت إجراءات التعاقد"))</f>
        <v/>
      </c>
      <c r="G39" t="str">
        <f>IF(B39="","",COUNTIFS(DB_All!$G$2:$G$1000,B39,DB_All!$L$2:$L$1000,"تحت إجراءات التعاقد"))</f>
        <v/>
      </c>
      <c r="H39" t="str">
        <f>IF(B39="","",SUMIFS(DB_All!$N$2:$N$1000,DB_All!$G$2:$G$1000,B39,DB_All!$L$2:$L$1000,"تم التوقيع"))</f>
        <v/>
      </c>
      <c r="I39" t="str">
        <f>IF(B39="","",COUNTIFS(DB_All!$G$2:$G$1000,B39,DB_All!$L$2:$L$1000,"تم التوقيع"))</f>
        <v/>
      </c>
      <c r="J39">
        <f t="shared" si="0"/>
        <v>0</v>
      </c>
      <c r="K39" t="str">
        <f>IF(B39="","",SUMIFS('المطالبات 2026'!$J:$J,'المطالبات 2026'!$E:$E,B39,'المطالبات 2026'!$I:$I,"مطالبة مرفوعة للمالية") + SUMIFS('المطالبات 2025'!$J:$J,'المطالبات 2025'!$E:$E,B39,'المطالبات 2025'!$I:$I,"مطالبة مرفوعة للمالية"))</f>
        <v/>
      </c>
      <c r="L39" t="str">
        <f>IF(B39="","",COUNTIFS('المطالبات 2026'!$E:$E,B39,'المطالبات 2026'!$I:$I,"مطالبة مرفوعة للمالية") + COUNTIFS('المطالبات 2025'!$E:$E,B39,'المطالبات 2025'!$I:$I,"مطالبة مرفوعة للمالية"))</f>
        <v/>
      </c>
      <c r="M39">
        <f t="shared" si="1"/>
        <v>0</v>
      </c>
      <c r="N39" t="str">
        <f>IF(B39="","",SUMIFS(DB_All!$N$2:$N$1000,DB_All!$G$2:$G$1000,B39,DB_All!$L$2:$L$1000,"تحت إجراءات التوريد"))</f>
        <v/>
      </c>
      <c r="O39" t="str">
        <f>IF(B39="","",COUNTIFS(DB_All!$G$2:$G$1000,B39,DB_All!$L$2:$L$1000,"تحت إجراءات التوريد"))</f>
        <v/>
      </c>
      <c r="P39" t="str">
        <f>IF(B39="","",SUMIFS(DB_All!$N$2:$N$1000,DB_All!$G$2:$G$1000,B39,DB_All!$L$2:$L$1000,"بانتظار سندات الاستلام \ شهادة الإنجاز"))</f>
        <v/>
      </c>
      <c r="Q39" t="str">
        <f>IF(B39="","",COUNTIFS(DB_All!$G$2:$G$1000,B39,DB_All!$L$2:$L$1000,"بانتظار سندات الاستلام \ شهادة الإنجاز"))</f>
        <v/>
      </c>
      <c r="R39" t="str">
        <f t="shared" si="2"/>
        <v/>
      </c>
    </row>
    <row r="40" spans="6:18" x14ac:dyDescent="0.3">
      <c r="F40" t="str">
        <f>IF(B40="","",SUMIFS(DB_All!$M$2:$M$1000,DB_All!$G$2:$G$1000,B40,DB_All!$L$2:$L$1000,"تحت إجراءات التعاقد"))</f>
        <v/>
      </c>
      <c r="G40" t="str">
        <f>IF(B40="","",COUNTIFS(DB_All!$G$2:$G$1000,B40,DB_All!$L$2:$L$1000,"تحت إجراءات التعاقد"))</f>
        <v/>
      </c>
      <c r="H40" t="str">
        <f>IF(B40="","",SUMIFS(DB_All!$N$2:$N$1000,DB_All!$G$2:$G$1000,B40,DB_All!$L$2:$L$1000,"تم التوقيع"))</f>
        <v/>
      </c>
      <c r="I40" t="str">
        <f>IF(B40="","",COUNTIFS(DB_All!$G$2:$G$1000,B40,DB_All!$L$2:$L$1000,"تم التوقيع"))</f>
        <v/>
      </c>
      <c r="J40">
        <f t="shared" si="0"/>
        <v>0</v>
      </c>
      <c r="K40" t="str">
        <f>IF(B40="","",SUMIFS('المطالبات 2026'!$J:$J,'المطالبات 2026'!$E:$E,B40,'المطالبات 2026'!$I:$I,"مطالبة مرفوعة للمالية") + SUMIFS('المطالبات 2025'!$J:$J,'المطالبات 2025'!$E:$E,B40,'المطالبات 2025'!$I:$I,"مطالبة مرفوعة للمالية"))</f>
        <v/>
      </c>
      <c r="L40" t="str">
        <f>IF(B40="","",COUNTIFS('المطالبات 2026'!$E:$E,B40,'المطالبات 2026'!$I:$I,"مطالبة مرفوعة للمالية") + COUNTIFS('المطالبات 2025'!$E:$E,B40,'المطالبات 2025'!$I:$I,"مطالبة مرفوعة للمالية"))</f>
        <v/>
      </c>
      <c r="M40">
        <f t="shared" si="1"/>
        <v>0</v>
      </c>
      <c r="N40" t="str">
        <f>IF(B40="","",SUMIFS(DB_All!$N$2:$N$1000,DB_All!$G$2:$G$1000,B40,DB_All!$L$2:$L$1000,"تحت إجراءات التوريد"))</f>
        <v/>
      </c>
      <c r="O40" t="str">
        <f>IF(B40="","",COUNTIFS(DB_All!$G$2:$G$1000,B40,DB_All!$L$2:$L$1000,"تحت إجراءات التوريد"))</f>
        <v/>
      </c>
      <c r="P40" t="str">
        <f>IF(B40="","",SUMIFS(DB_All!$N$2:$N$1000,DB_All!$G$2:$G$1000,B40,DB_All!$L$2:$L$1000,"بانتظار سندات الاستلام \ شهادة الإنجاز"))</f>
        <v/>
      </c>
      <c r="Q40" t="str">
        <f>IF(B40="","",COUNTIFS(DB_All!$G$2:$G$1000,B40,DB_All!$L$2:$L$1000,"بانتظار سندات الاستلام \ شهادة الإنجاز"))</f>
        <v/>
      </c>
      <c r="R40" t="str">
        <f t="shared" si="2"/>
        <v/>
      </c>
    </row>
    <row r="41" spans="6:18" x14ac:dyDescent="0.3">
      <c r="F41" t="str">
        <f>IF(B41="","",SUMIFS(DB_All!$M$2:$M$1000,DB_All!$G$2:$G$1000,B41,DB_All!$L$2:$L$1000,"تحت إجراءات التعاقد"))</f>
        <v/>
      </c>
      <c r="G41" t="str">
        <f>IF(B41="","",COUNTIFS(DB_All!$G$2:$G$1000,B41,DB_All!$L$2:$L$1000,"تحت إجراءات التعاقد"))</f>
        <v/>
      </c>
      <c r="H41" t="str">
        <f>IF(B41="","",SUMIFS(DB_All!$N$2:$N$1000,DB_All!$G$2:$G$1000,B41,DB_All!$L$2:$L$1000,"تم التوقيع"))</f>
        <v/>
      </c>
      <c r="I41" t="str">
        <f>IF(B41="","",COUNTIFS(DB_All!$G$2:$G$1000,B41,DB_All!$L$2:$L$1000,"تم التوقيع"))</f>
        <v/>
      </c>
      <c r="J41">
        <f t="shared" si="0"/>
        <v>0</v>
      </c>
      <c r="K41" t="str">
        <f>IF(B41="","",SUMIFS('المطالبات 2026'!$J:$J,'المطالبات 2026'!$E:$E,B41,'المطالبات 2026'!$I:$I,"مطالبة مرفوعة للمالية") + SUMIFS('المطالبات 2025'!$J:$J,'المطالبات 2025'!$E:$E,B41,'المطالبات 2025'!$I:$I,"مطالبة مرفوعة للمالية"))</f>
        <v/>
      </c>
      <c r="L41" t="str">
        <f>IF(B41="","",COUNTIFS('المطالبات 2026'!$E:$E,B41,'المطالبات 2026'!$I:$I,"مطالبة مرفوعة للمالية") + COUNTIFS('المطالبات 2025'!$E:$E,B41,'المطالبات 2025'!$I:$I,"مطالبة مرفوعة للمالية"))</f>
        <v/>
      </c>
      <c r="M41">
        <f t="shared" si="1"/>
        <v>0</v>
      </c>
      <c r="N41" t="str">
        <f>IF(B41="","",SUMIFS(DB_All!$N$2:$N$1000,DB_All!$G$2:$G$1000,B41,DB_All!$L$2:$L$1000,"تحت إجراءات التوريد"))</f>
        <v/>
      </c>
      <c r="O41" t="str">
        <f>IF(B41="","",COUNTIFS(DB_All!$G$2:$G$1000,B41,DB_All!$L$2:$L$1000,"تحت إجراءات التوريد"))</f>
        <v/>
      </c>
      <c r="P41" t="str">
        <f>IF(B41="","",SUMIFS(DB_All!$N$2:$N$1000,DB_All!$G$2:$G$1000,B41,DB_All!$L$2:$L$1000,"بانتظار سندات الاستلام \ شهادة الإنجاز"))</f>
        <v/>
      </c>
      <c r="Q41" t="str">
        <f>IF(B41="","",COUNTIFS(DB_All!$G$2:$G$1000,B41,DB_All!$L$2:$L$1000,"بانتظار سندات الاستلام \ شهادة الإنجاز"))</f>
        <v/>
      </c>
      <c r="R41" t="str">
        <f t="shared" si="2"/>
        <v/>
      </c>
    </row>
    <row r="42" spans="6:18" x14ac:dyDescent="0.3">
      <c r="F42" t="str">
        <f>IF(B42="","",SUMIFS(DB_All!$M$2:$M$1000,DB_All!$G$2:$G$1000,B42,DB_All!$L$2:$L$1000,"تحت إجراءات التعاقد"))</f>
        <v/>
      </c>
      <c r="G42" t="str">
        <f>IF(B42="","",COUNTIFS(DB_All!$G$2:$G$1000,B42,DB_All!$L$2:$L$1000,"تحت إجراءات التعاقد"))</f>
        <v/>
      </c>
      <c r="H42" t="str">
        <f>IF(B42="","",SUMIFS(DB_All!$N$2:$N$1000,DB_All!$G$2:$G$1000,B42,DB_All!$L$2:$L$1000,"تم التوقيع"))</f>
        <v/>
      </c>
      <c r="I42" t="str">
        <f>IF(B42="","",COUNTIFS(DB_All!$G$2:$G$1000,B42,DB_All!$L$2:$L$1000,"تم التوقيع"))</f>
        <v/>
      </c>
      <c r="J42">
        <f t="shared" si="0"/>
        <v>0</v>
      </c>
      <c r="K42" t="str">
        <f>IF(B42="","",SUMIFS('المطالبات 2026'!$J:$J,'المطالبات 2026'!$E:$E,B42,'المطالبات 2026'!$I:$I,"مطالبة مرفوعة للمالية") + SUMIFS('المطالبات 2025'!$J:$J,'المطالبات 2025'!$E:$E,B42,'المطالبات 2025'!$I:$I,"مطالبة مرفوعة للمالية"))</f>
        <v/>
      </c>
      <c r="L42" t="str">
        <f>IF(B42="","",COUNTIFS('المطالبات 2026'!$E:$E,B42,'المطالبات 2026'!$I:$I,"مطالبة مرفوعة للمالية") + COUNTIFS('المطالبات 2025'!$E:$E,B42,'المطالبات 2025'!$I:$I,"مطالبة مرفوعة للمالية"))</f>
        <v/>
      </c>
      <c r="M42">
        <f t="shared" si="1"/>
        <v>0</v>
      </c>
      <c r="N42" t="str">
        <f>IF(B42="","",SUMIFS(DB_All!$N$2:$N$1000,DB_All!$G$2:$G$1000,B42,DB_All!$L$2:$L$1000,"تحت إجراءات التوريد"))</f>
        <v/>
      </c>
      <c r="O42" t="str">
        <f>IF(B42="","",COUNTIFS(DB_All!$G$2:$G$1000,B42,DB_All!$L$2:$L$1000,"تحت إجراءات التوريد"))</f>
        <v/>
      </c>
      <c r="P42" t="str">
        <f>IF(B42="","",SUMIFS(DB_All!$N$2:$N$1000,DB_All!$G$2:$G$1000,B42,DB_All!$L$2:$L$1000,"بانتظار سندات الاستلام \ شهادة الإنجاز"))</f>
        <v/>
      </c>
      <c r="Q42" t="str">
        <f>IF(B42="","",COUNTIFS(DB_All!$G$2:$G$1000,B42,DB_All!$L$2:$L$1000,"بانتظار سندات الاستلام \ شهادة الإنجاز"))</f>
        <v/>
      </c>
      <c r="R42" t="str">
        <f t="shared" si="2"/>
        <v/>
      </c>
    </row>
    <row r="43" spans="6:18" x14ac:dyDescent="0.3">
      <c r="F43" t="str">
        <f>IF(B43="","",SUMIFS(DB_All!$M$2:$M$1000,DB_All!$G$2:$G$1000,B43,DB_All!$L$2:$L$1000,"تحت إجراءات التعاقد"))</f>
        <v/>
      </c>
      <c r="G43" t="str">
        <f>IF(B43="","",COUNTIFS(DB_All!$G$2:$G$1000,B43,DB_All!$L$2:$L$1000,"تحت إجراءات التعاقد"))</f>
        <v/>
      </c>
      <c r="H43" t="str">
        <f>IF(B43="","",SUMIFS(DB_All!$N$2:$N$1000,DB_All!$G$2:$G$1000,B43,DB_All!$L$2:$L$1000,"تم التوقيع"))</f>
        <v/>
      </c>
      <c r="I43" t="str">
        <f>IF(B43="","",COUNTIFS(DB_All!$G$2:$G$1000,B43,DB_All!$L$2:$L$1000,"تم التوقيع"))</f>
        <v/>
      </c>
      <c r="J43">
        <f t="shared" si="0"/>
        <v>0</v>
      </c>
      <c r="K43" t="str">
        <f>IF(B43="","",SUMIFS('المطالبات 2026'!$J:$J,'المطالبات 2026'!$E:$E,B43,'المطالبات 2026'!$I:$I,"مطالبة مرفوعة للمالية") + SUMIFS('المطالبات 2025'!$J:$J,'المطالبات 2025'!$E:$E,B43,'المطالبات 2025'!$I:$I,"مطالبة مرفوعة للمالية"))</f>
        <v/>
      </c>
      <c r="L43" t="str">
        <f>IF(B43="","",COUNTIFS('المطالبات 2026'!$E:$E,B43,'المطالبات 2026'!$I:$I,"مطالبة مرفوعة للمالية") + COUNTIFS('المطالبات 2025'!$E:$E,B43,'المطالبات 2025'!$I:$I,"مطالبة مرفوعة للمالية"))</f>
        <v/>
      </c>
      <c r="M43">
        <f t="shared" si="1"/>
        <v>0</v>
      </c>
      <c r="N43" t="str">
        <f>IF(B43="","",SUMIFS(DB_All!$N$2:$N$1000,DB_All!$G$2:$G$1000,B43,DB_All!$L$2:$L$1000,"تحت إجراءات التوريد"))</f>
        <v/>
      </c>
      <c r="O43" t="str">
        <f>IF(B43="","",COUNTIFS(DB_All!$G$2:$G$1000,B43,DB_All!$L$2:$L$1000,"تحت إجراءات التوريد"))</f>
        <v/>
      </c>
      <c r="P43" t="str">
        <f>IF(B43="","",SUMIFS(DB_All!$N$2:$N$1000,DB_All!$G$2:$G$1000,B43,DB_All!$L$2:$L$1000,"بانتظار سندات الاستلام \ شهادة الإنجاز"))</f>
        <v/>
      </c>
      <c r="Q43" t="str">
        <f>IF(B43="","",COUNTIFS(DB_All!$G$2:$G$1000,B43,DB_All!$L$2:$L$1000,"بانتظار سندات الاستلام \ شهادة الإنجاز"))</f>
        <v/>
      </c>
      <c r="R43" t="str">
        <f t="shared" si="2"/>
        <v/>
      </c>
    </row>
    <row r="44" spans="6:18" x14ac:dyDescent="0.3">
      <c r="F44" t="str">
        <f>IF(B44="","",SUMIFS(DB_All!$M$2:$M$1000,DB_All!$G$2:$G$1000,B44,DB_All!$L$2:$L$1000,"تحت إجراءات التعاقد"))</f>
        <v/>
      </c>
      <c r="G44" t="str">
        <f>IF(B44="","",COUNTIFS(DB_All!$G$2:$G$1000,B44,DB_All!$L$2:$L$1000,"تحت إجراءات التعاقد"))</f>
        <v/>
      </c>
      <c r="H44" t="str">
        <f>IF(B44="","",SUMIFS(DB_All!$N$2:$N$1000,DB_All!$G$2:$G$1000,B44,DB_All!$L$2:$L$1000,"تم التوقيع"))</f>
        <v/>
      </c>
      <c r="I44" t="str">
        <f>IF(B44="","",COUNTIFS(DB_All!$G$2:$G$1000,B44,DB_All!$L$2:$L$1000,"تم التوقيع"))</f>
        <v/>
      </c>
      <c r="J44">
        <f t="shared" si="0"/>
        <v>0</v>
      </c>
      <c r="K44" t="str">
        <f>IF(B44="","",SUMIFS('المطالبات 2026'!$J:$J,'المطالبات 2026'!$E:$E,B44,'المطالبات 2026'!$I:$I,"مطالبة مرفوعة للمالية") + SUMIFS('المطالبات 2025'!$J:$J,'المطالبات 2025'!$E:$E,B44,'المطالبات 2025'!$I:$I,"مطالبة مرفوعة للمالية"))</f>
        <v/>
      </c>
      <c r="L44" t="str">
        <f>IF(B44="","",COUNTIFS('المطالبات 2026'!$E:$E,B44,'المطالبات 2026'!$I:$I,"مطالبة مرفوعة للمالية") + COUNTIFS('المطالبات 2025'!$E:$E,B44,'المطالبات 2025'!$I:$I,"مطالبة مرفوعة للمالية"))</f>
        <v/>
      </c>
      <c r="M44">
        <f t="shared" si="1"/>
        <v>0</v>
      </c>
      <c r="N44" t="str">
        <f>IF(B44="","",SUMIFS(DB_All!$N$2:$N$1000,DB_All!$G$2:$G$1000,B44,DB_All!$L$2:$L$1000,"تحت إجراءات التوريد"))</f>
        <v/>
      </c>
      <c r="O44" t="str">
        <f>IF(B44="","",COUNTIFS(DB_All!$G$2:$G$1000,B44,DB_All!$L$2:$L$1000,"تحت إجراءات التوريد"))</f>
        <v/>
      </c>
      <c r="P44" t="str">
        <f>IF(B44="","",SUMIFS(DB_All!$N$2:$N$1000,DB_All!$G$2:$G$1000,B44,DB_All!$L$2:$L$1000,"بانتظار سندات الاستلام \ شهادة الإنجاز"))</f>
        <v/>
      </c>
      <c r="Q44" t="str">
        <f>IF(B44="","",COUNTIFS(DB_All!$G$2:$G$1000,B44,DB_All!$L$2:$L$1000,"بانتظار سندات الاستلام \ شهادة الإنجاز"))</f>
        <v/>
      </c>
      <c r="R44" t="str">
        <f t="shared" si="2"/>
        <v/>
      </c>
    </row>
    <row r="45" spans="6:18" x14ac:dyDescent="0.3">
      <c r="F45" t="str">
        <f>IF(B45="","",SUMIFS(DB_All!$M$2:$M$1000,DB_All!$G$2:$G$1000,B45,DB_All!$L$2:$L$1000,"تحت إجراءات التعاقد"))</f>
        <v/>
      </c>
      <c r="G45" t="str">
        <f>IF(B45="","",COUNTIFS(DB_All!$G$2:$G$1000,B45,DB_All!$L$2:$L$1000,"تحت إجراءات التعاقد"))</f>
        <v/>
      </c>
      <c r="H45" t="str">
        <f>IF(B45="","",SUMIFS(DB_All!$N$2:$N$1000,DB_All!$G$2:$G$1000,B45,DB_All!$L$2:$L$1000,"تم التوقيع"))</f>
        <v/>
      </c>
      <c r="I45" t="str">
        <f>IF(B45="","",COUNTIFS(DB_All!$G$2:$G$1000,B45,DB_All!$L$2:$L$1000,"تم التوقيع"))</f>
        <v/>
      </c>
      <c r="J45">
        <f t="shared" si="0"/>
        <v>0</v>
      </c>
      <c r="K45" t="str">
        <f>IF(B45="","",SUMIFS('المطالبات 2026'!$J:$J,'المطالبات 2026'!$E:$E,B45,'المطالبات 2026'!$I:$I,"مطالبة مرفوعة للمالية") + SUMIFS('المطالبات 2025'!$J:$J,'المطالبات 2025'!$E:$E,B45,'المطالبات 2025'!$I:$I,"مطالبة مرفوعة للمالية"))</f>
        <v/>
      </c>
      <c r="L45" t="str">
        <f>IF(B45="","",COUNTIFS('المطالبات 2026'!$E:$E,B45,'المطالبات 2026'!$I:$I,"مطالبة مرفوعة للمالية") + COUNTIFS('المطالبات 2025'!$E:$E,B45,'المطالبات 2025'!$I:$I,"مطالبة مرفوعة للمالية"))</f>
        <v/>
      </c>
      <c r="M45">
        <f t="shared" si="1"/>
        <v>0</v>
      </c>
      <c r="N45" t="str">
        <f>IF(B45="","",SUMIFS(DB_All!$N$2:$N$1000,DB_All!$G$2:$G$1000,B45,DB_All!$L$2:$L$1000,"تحت إجراءات التوريد"))</f>
        <v/>
      </c>
      <c r="O45" t="str">
        <f>IF(B45="","",COUNTIFS(DB_All!$G$2:$G$1000,B45,DB_All!$L$2:$L$1000,"تحت إجراءات التوريد"))</f>
        <v/>
      </c>
      <c r="P45" t="str">
        <f>IF(B45="","",SUMIFS(DB_All!$N$2:$N$1000,DB_All!$G$2:$G$1000,B45,DB_All!$L$2:$L$1000,"بانتظار سندات الاستلام \ شهادة الإنجاز"))</f>
        <v/>
      </c>
      <c r="Q45" t="str">
        <f>IF(B45="","",COUNTIFS(DB_All!$G$2:$G$1000,B45,DB_All!$L$2:$L$1000,"بانتظار سندات الاستلام \ شهادة الإنجاز"))</f>
        <v/>
      </c>
      <c r="R45" t="str">
        <f t="shared" si="2"/>
        <v/>
      </c>
    </row>
    <row r="46" spans="6:18" x14ac:dyDescent="0.3">
      <c r="F46" t="str">
        <f>IF(B46="","",SUMIFS(DB_All!$M$2:$M$1000,DB_All!$G$2:$G$1000,B46,DB_All!$L$2:$L$1000,"تحت إجراءات التعاقد"))</f>
        <v/>
      </c>
      <c r="G46" t="str">
        <f>IF(B46="","",COUNTIFS(DB_All!$G$2:$G$1000,B46,DB_All!$L$2:$L$1000,"تحت إجراءات التعاقد"))</f>
        <v/>
      </c>
      <c r="H46" t="str">
        <f>IF(B46="","",SUMIFS(DB_All!$N$2:$N$1000,DB_All!$G$2:$G$1000,B46,DB_All!$L$2:$L$1000,"تم التوقيع"))</f>
        <v/>
      </c>
      <c r="I46" t="str">
        <f>IF(B46="","",COUNTIFS(DB_All!$G$2:$G$1000,B46,DB_All!$L$2:$L$1000,"تم التوقيع"))</f>
        <v/>
      </c>
      <c r="J46">
        <f t="shared" si="0"/>
        <v>0</v>
      </c>
      <c r="K46" t="str">
        <f>IF(B46="","",SUMIFS('المطالبات 2026'!$J:$J,'المطالبات 2026'!$E:$E,B46,'المطالبات 2026'!$I:$I,"مطالبة مرفوعة للمالية") + SUMIFS('المطالبات 2025'!$J:$J,'المطالبات 2025'!$E:$E,B46,'المطالبات 2025'!$I:$I,"مطالبة مرفوعة للمالية"))</f>
        <v/>
      </c>
      <c r="L46" t="str">
        <f>IF(B46="","",COUNTIFS('المطالبات 2026'!$E:$E,B46,'المطالبات 2026'!$I:$I,"مطالبة مرفوعة للمالية") + COUNTIFS('المطالبات 2025'!$E:$E,B46,'المطالبات 2025'!$I:$I,"مطالبة مرفوعة للمالية"))</f>
        <v/>
      </c>
      <c r="M46">
        <f t="shared" si="1"/>
        <v>0</v>
      </c>
      <c r="N46" t="str">
        <f>IF(B46="","",SUMIFS(DB_All!$N$2:$N$1000,DB_All!$G$2:$G$1000,B46,DB_All!$L$2:$L$1000,"تحت إجراءات التوريد"))</f>
        <v/>
      </c>
      <c r="O46" t="str">
        <f>IF(B46="","",COUNTIFS(DB_All!$G$2:$G$1000,B46,DB_All!$L$2:$L$1000,"تحت إجراءات التوريد"))</f>
        <v/>
      </c>
      <c r="P46" t="str">
        <f>IF(B46="","",SUMIFS(DB_All!$N$2:$N$1000,DB_All!$G$2:$G$1000,B46,DB_All!$L$2:$L$1000,"بانتظار سندات الاستلام \ شهادة الإنجاز"))</f>
        <v/>
      </c>
      <c r="Q46" t="str">
        <f>IF(B46="","",COUNTIFS(DB_All!$G$2:$G$1000,B46,DB_All!$L$2:$L$1000,"بانتظار سندات الاستلام \ شهادة الإنجاز"))</f>
        <v/>
      </c>
      <c r="R46" t="str">
        <f t="shared" si="2"/>
        <v/>
      </c>
    </row>
    <row r="47" spans="6:18" x14ac:dyDescent="0.3">
      <c r="F47" t="str">
        <f>IF(B47="","",SUMIFS(DB_All!$M$2:$M$1000,DB_All!$G$2:$G$1000,B47,DB_All!$L$2:$L$1000,"تحت إجراءات التعاقد"))</f>
        <v/>
      </c>
      <c r="G47" t="str">
        <f>IF(B47="","",COUNTIFS(DB_All!$G$2:$G$1000,B47,DB_All!$L$2:$L$1000,"تحت إجراءات التعاقد"))</f>
        <v/>
      </c>
      <c r="H47" t="str">
        <f>IF(B47="","",SUMIFS(DB_All!$N$2:$N$1000,DB_All!$G$2:$G$1000,B47,DB_All!$L$2:$L$1000,"تم التوقيع"))</f>
        <v/>
      </c>
      <c r="I47" t="str">
        <f>IF(B47="","",COUNTIFS(DB_All!$G$2:$G$1000,B47,DB_All!$L$2:$L$1000,"تم التوقيع"))</f>
        <v/>
      </c>
      <c r="J47">
        <f t="shared" si="0"/>
        <v>0</v>
      </c>
      <c r="K47" t="str">
        <f>IF(B47="","",SUMIFS('المطالبات 2026'!$J:$J,'المطالبات 2026'!$E:$E,B47,'المطالبات 2026'!$I:$I,"مطالبة مرفوعة للمالية") + SUMIFS('المطالبات 2025'!$J:$J,'المطالبات 2025'!$E:$E,B47,'المطالبات 2025'!$I:$I,"مطالبة مرفوعة للمالية"))</f>
        <v/>
      </c>
      <c r="L47" t="str">
        <f>IF(B47="","",COUNTIFS('المطالبات 2026'!$E:$E,B47,'المطالبات 2026'!$I:$I,"مطالبة مرفوعة للمالية") + COUNTIFS('المطالبات 2025'!$E:$E,B47,'المطالبات 2025'!$I:$I,"مطالبة مرفوعة للمالية"))</f>
        <v/>
      </c>
      <c r="M47">
        <f t="shared" si="1"/>
        <v>0</v>
      </c>
      <c r="N47" t="str">
        <f>IF(B47="","",SUMIFS(DB_All!$N$2:$N$1000,DB_All!$G$2:$G$1000,B47,DB_All!$L$2:$L$1000,"تحت إجراءات التوريد"))</f>
        <v/>
      </c>
      <c r="O47" t="str">
        <f>IF(B47="","",COUNTIFS(DB_All!$G$2:$G$1000,B47,DB_All!$L$2:$L$1000,"تحت إجراءات التوريد"))</f>
        <v/>
      </c>
      <c r="P47" t="str">
        <f>IF(B47="","",SUMIFS(DB_All!$N$2:$N$1000,DB_All!$G$2:$G$1000,B47,DB_All!$L$2:$L$1000,"بانتظار سندات الاستلام \ شهادة الإنجاز"))</f>
        <v/>
      </c>
      <c r="Q47" t="str">
        <f>IF(B47="","",COUNTIFS(DB_All!$G$2:$G$1000,B47,DB_All!$L$2:$L$1000,"بانتظار سندات الاستلام \ شهادة الإنجاز"))</f>
        <v/>
      </c>
      <c r="R47" t="str">
        <f t="shared" si="2"/>
        <v/>
      </c>
    </row>
    <row r="48" spans="6:18" x14ac:dyDescent="0.3">
      <c r="F48" t="str">
        <f>IF(B48="","",SUMIFS(DB_All!$M$2:$M$1000,DB_All!$G$2:$G$1000,B48,DB_All!$L$2:$L$1000,"تحت إجراءات التعاقد"))</f>
        <v/>
      </c>
      <c r="G48" t="str">
        <f>IF(B48="","",COUNTIFS(DB_All!$G$2:$G$1000,B48,DB_All!$L$2:$L$1000,"تحت إجراءات التعاقد"))</f>
        <v/>
      </c>
      <c r="H48" t="str">
        <f>IF(B48="","",SUMIFS(DB_All!$N$2:$N$1000,DB_All!$G$2:$G$1000,B48,DB_All!$L$2:$L$1000,"تم التوقيع"))</f>
        <v/>
      </c>
      <c r="I48" t="str">
        <f>IF(B48="","",COUNTIFS(DB_All!$G$2:$G$1000,B48,DB_All!$L$2:$L$1000,"تم التوقيع"))</f>
        <v/>
      </c>
      <c r="J48">
        <f t="shared" si="0"/>
        <v>0</v>
      </c>
      <c r="K48" t="str">
        <f>IF(B48="","",SUMIFS('المطالبات 2026'!$J:$J,'المطالبات 2026'!$E:$E,B48,'المطالبات 2026'!$I:$I,"مطالبة مرفوعة للمالية") + SUMIFS('المطالبات 2025'!$J:$J,'المطالبات 2025'!$E:$E,B48,'المطالبات 2025'!$I:$I,"مطالبة مرفوعة للمالية"))</f>
        <v/>
      </c>
      <c r="L48" t="str">
        <f>IF(B48="","",COUNTIFS('المطالبات 2026'!$E:$E,B48,'المطالبات 2026'!$I:$I,"مطالبة مرفوعة للمالية") + COUNTIFS('المطالبات 2025'!$E:$E,B48,'المطالبات 2025'!$I:$I,"مطالبة مرفوعة للمالية"))</f>
        <v/>
      </c>
      <c r="M48">
        <f t="shared" si="1"/>
        <v>0</v>
      </c>
      <c r="N48" t="str">
        <f>IF(B48="","",SUMIFS(DB_All!$N$2:$N$1000,DB_All!$G$2:$G$1000,B48,DB_All!$L$2:$L$1000,"تحت إجراءات التوريد"))</f>
        <v/>
      </c>
      <c r="O48" t="str">
        <f>IF(B48="","",COUNTIFS(DB_All!$G$2:$G$1000,B48,DB_All!$L$2:$L$1000,"تحت إجراءات التوريد"))</f>
        <v/>
      </c>
      <c r="P48" t="str">
        <f>IF(B48="","",SUMIFS(DB_All!$N$2:$N$1000,DB_All!$G$2:$G$1000,B48,DB_All!$L$2:$L$1000,"بانتظار سندات الاستلام \ شهادة الإنجاز"))</f>
        <v/>
      </c>
      <c r="Q48" t="str">
        <f>IF(B48="","",COUNTIFS(DB_All!$G$2:$G$1000,B48,DB_All!$L$2:$L$1000,"بانتظار سندات الاستلام \ شهادة الإنجاز"))</f>
        <v/>
      </c>
      <c r="R48" t="str">
        <f t="shared" si="2"/>
        <v/>
      </c>
    </row>
    <row r="49" spans="6:18" x14ac:dyDescent="0.3">
      <c r="F49" t="str">
        <f>IF(B49="","",SUMIFS(DB_All!$M$2:$M$1000,DB_All!$G$2:$G$1000,B49,DB_All!$L$2:$L$1000,"تحت إجراءات التعاقد"))</f>
        <v/>
      </c>
      <c r="G49" t="str">
        <f>IF(B49="","",COUNTIFS(DB_All!$G$2:$G$1000,B49,DB_All!$L$2:$L$1000,"تحت إجراءات التعاقد"))</f>
        <v/>
      </c>
      <c r="H49" t="str">
        <f>IF(B49="","",SUMIFS(DB_All!$N$2:$N$1000,DB_All!$G$2:$G$1000,B49,DB_All!$L$2:$L$1000,"تم التوقيع"))</f>
        <v/>
      </c>
      <c r="I49" t="str">
        <f>IF(B49="","",COUNTIFS(DB_All!$G$2:$G$1000,B49,DB_All!$L$2:$L$1000,"تم التوقيع"))</f>
        <v/>
      </c>
      <c r="J49">
        <f t="shared" si="0"/>
        <v>0</v>
      </c>
      <c r="K49" t="str">
        <f>IF(B49="","",SUMIFS('المطالبات 2026'!$J:$J,'المطالبات 2026'!$E:$E,B49,'المطالبات 2026'!$I:$I,"مطالبة مرفوعة للمالية") + SUMIFS('المطالبات 2025'!$J:$J,'المطالبات 2025'!$E:$E,B49,'المطالبات 2025'!$I:$I,"مطالبة مرفوعة للمالية"))</f>
        <v/>
      </c>
      <c r="L49" t="str">
        <f>IF(B49="","",COUNTIFS('المطالبات 2026'!$E:$E,B49,'المطالبات 2026'!$I:$I,"مطالبة مرفوعة للمالية") + COUNTIFS('المطالبات 2025'!$E:$E,B49,'المطالبات 2025'!$I:$I,"مطالبة مرفوعة للمالية"))</f>
        <v/>
      </c>
      <c r="M49">
        <f t="shared" si="1"/>
        <v>0</v>
      </c>
      <c r="N49" t="str">
        <f>IF(B49="","",SUMIFS(DB_All!$N$2:$N$1000,DB_All!$G$2:$G$1000,B49,DB_All!$L$2:$L$1000,"تحت إجراءات التوريد"))</f>
        <v/>
      </c>
      <c r="O49" t="str">
        <f>IF(B49="","",COUNTIFS(DB_All!$G$2:$G$1000,B49,DB_All!$L$2:$L$1000,"تحت إجراءات التوريد"))</f>
        <v/>
      </c>
      <c r="P49" t="str">
        <f>IF(B49="","",SUMIFS(DB_All!$N$2:$N$1000,DB_All!$G$2:$G$1000,B49,DB_All!$L$2:$L$1000,"بانتظار سندات الاستلام \ شهادة الإنجاز"))</f>
        <v/>
      </c>
      <c r="Q49" t="str">
        <f>IF(B49="","",COUNTIFS(DB_All!$G$2:$G$1000,B49,DB_All!$L$2:$L$1000,"بانتظار سندات الاستلام \ شهادة الإنجاز"))</f>
        <v/>
      </c>
      <c r="R49" t="str">
        <f t="shared" si="2"/>
        <v/>
      </c>
    </row>
    <row r="50" spans="6:18" x14ac:dyDescent="0.3">
      <c r="F50" t="str">
        <f>IF(B50="","",SUMIFS(DB_All!$M$2:$M$1000,DB_All!$G$2:$G$1000,B50,DB_All!$L$2:$L$1000,"تحت إجراءات التعاقد"))</f>
        <v/>
      </c>
      <c r="G50" t="str">
        <f>IF(B50="","",COUNTIFS(DB_All!$G$2:$G$1000,B50,DB_All!$L$2:$L$1000,"تحت إجراءات التعاقد"))</f>
        <v/>
      </c>
      <c r="H50" t="str">
        <f>IF(B50="","",SUMIFS(DB_All!$N$2:$N$1000,DB_All!$G$2:$G$1000,B50,DB_All!$L$2:$L$1000,"تم التوقيع"))</f>
        <v/>
      </c>
      <c r="I50" t="str">
        <f>IF(B50="","",COUNTIFS(DB_All!$G$2:$G$1000,B50,DB_All!$L$2:$L$1000,"تم التوقيع"))</f>
        <v/>
      </c>
      <c r="J50">
        <f t="shared" si="0"/>
        <v>0</v>
      </c>
      <c r="K50" t="str">
        <f>IF(B50="","",SUMIFS('المطالبات 2026'!$J:$J,'المطالبات 2026'!$E:$E,B50,'المطالبات 2026'!$I:$I,"مطالبة مرفوعة للمالية") + SUMIFS('المطالبات 2025'!$J:$J,'المطالبات 2025'!$E:$E,B50,'المطالبات 2025'!$I:$I,"مطالبة مرفوعة للمالية"))</f>
        <v/>
      </c>
      <c r="L50" t="str">
        <f>IF(B50="","",COUNTIFS('المطالبات 2026'!$E:$E,B50,'المطالبات 2026'!$I:$I,"مطالبة مرفوعة للمالية") + COUNTIFS('المطالبات 2025'!$E:$E,B50,'المطالبات 2025'!$I:$I,"مطالبة مرفوعة للمالية"))</f>
        <v/>
      </c>
      <c r="M50">
        <f t="shared" si="1"/>
        <v>0</v>
      </c>
      <c r="N50" t="str">
        <f>IF(B50="","",SUMIFS(DB_All!$N$2:$N$1000,DB_All!$G$2:$G$1000,B50,DB_All!$L$2:$L$1000,"تحت إجراءات التوريد"))</f>
        <v/>
      </c>
      <c r="O50" t="str">
        <f>IF(B50="","",COUNTIFS(DB_All!$G$2:$G$1000,B50,DB_All!$L$2:$L$1000,"تحت إجراءات التوريد"))</f>
        <v/>
      </c>
      <c r="P50" t="str">
        <f>IF(B50="","",SUMIFS(DB_All!$N$2:$N$1000,DB_All!$G$2:$G$1000,B50,DB_All!$L$2:$L$1000,"بانتظار سندات الاستلام \ شهادة الإنجاز"))</f>
        <v/>
      </c>
      <c r="Q50" t="str">
        <f>IF(B50="","",COUNTIFS(DB_All!$G$2:$G$1000,B50,DB_All!$L$2:$L$1000,"بانتظار سندات الاستلام \ شهادة الإنجاز"))</f>
        <v/>
      </c>
      <c r="R50" t="str">
        <f t="shared" si="2"/>
        <v/>
      </c>
    </row>
    <row r="51" spans="6:18" x14ac:dyDescent="0.3">
      <c r="F51" t="str">
        <f>IF(B51="","",SUMIFS(DB_All!$M$2:$M$1000,DB_All!$G$2:$G$1000,B51,DB_All!$L$2:$L$1000,"تحت إجراءات التعاقد"))</f>
        <v/>
      </c>
      <c r="G51" t="str">
        <f>IF(B51="","",COUNTIFS(DB_All!$G$2:$G$1000,B51,DB_All!$L$2:$L$1000,"تحت إجراءات التعاقد"))</f>
        <v/>
      </c>
      <c r="H51" t="str">
        <f>IF(B51="","",SUMIFS(DB_All!$N$2:$N$1000,DB_All!$G$2:$G$1000,B51,DB_All!$L$2:$L$1000,"تم التوقيع"))</f>
        <v/>
      </c>
      <c r="I51" t="str">
        <f>IF(B51="","",COUNTIFS(DB_All!$G$2:$G$1000,B51,DB_All!$L$2:$L$1000,"تم التوقيع"))</f>
        <v/>
      </c>
      <c r="J51">
        <f t="shared" si="0"/>
        <v>0</v>
      </c>
      <c r="K51" t="str">
        <f>IF(B51="","",SUMIFS('المطالبات 2026'!$J:$J,'المطالبات 2026'!$E:$E,B51,'المطالبات 2026'!$I:$I,"مطالبة مرفوعة للمالية") + SUMIFS('المطالبات 2025'!$J:$J,'المطالبات 2025'!$E:$E,B51,'المطالبات 2025'!$I:$I,"مطالبة مرفوعة للمالية"))</f>
        <v/>
      </c>
      <c r="L51" t="str">
        <f>IF(B51="","",COUNTIFS('المطالبات 2026'!$E:$E,B51,'المطالبات 2026'!$I:$I,"مطالبة مرفوعة للمالية") + COUNTIFS('المطالبات 2025'!$E:$E,B51,'المطالبات 2025'!$I:$I,"مطالبة مرفوعة للمالية"))</f>
        <v/>
      </c>
      <c r="M51">
        <f t="shared" si="1"/>
        <v>0</v>
      </c>
      <c r="N51" t="str">
        <f>IF(B51="","",SUMIFS(DB_All!$N$2:$N$1000,DB_All!$G$2:$G$1000,B51,DB_All!$L$2:$L$1000,"تحت إجراءات التوريد"))</f>
        <v/>
      </c>
      <c r="O51" t="str">
        <f>IF(B51="","",COUNTIFS(DB_All!$G$2:$G$1000,B51,DB_All!$L$2:$L$1000,"تحت إجراءات التوريد"))</f>
        <v/>
      </c>
      <c r="P51" t="str">
        <f>IF(B51="","",SUMIFS(DB_All!$N$2:$N$1000,DB_All!$G$2:$G$1000,B51,DB_All!$L$2:$L$1000,"بانتظار سندات الاستلام \ شهادة الإنجاز"))</f>
        <v/>
      </c>
      <c r="Q51" t="str">
        <f>IF(B51="","",COUNTIFS(DB_All!$G$2:$G$1000,B51,DB_All!$L$2:$L$1000,"بانتظار سندات الاستلام \ شهادة الإنجاز"))</f>
        <v/>
      </c>
      <c r="R51" t="str">
        <f t="shared" si="2"/>
        <v/>
      </c>
    </row>
    <row r="52" spans="6:18" x14ac:dyDescent="0.3">
      <c r="F52" t="str">
        <f>IF(B52="","",SUMIFS(DB_All!$M$2:$M$1000,DB_All!$G$2:$G$1000,B52,DB_All!$L$2:$L$1000,"تحت إجراءات التعاقد"))</f>
        <v/>
      </c>
      <c r="G52" t="str">
        <f>IF(B52="","",COUNTIFS(DB_All!$G$2:$G$1000,B52,DB_All!$L$2:$L$1000,"تحت إجراءات التعاقد"))</f>
        <v/>
      </c>
      <c r="H52" t="str">
        <f>IF(B52="","",SUMIFS(DB_All!$N$2:$N$1000,DB_All!$G$2:$G$1000,B52,DB_All!$L$2:$L$1000,"تم التوقيع"))</f>
        <v/>
      </c>
      <c r="I52" t="str">
        <f>IF(B52="","",COUNTIFS(DB_All!$G$2:$G$1000,B52,DB_All!$L$2:$L$1000,"تم التوقيع"))</f>
        <v/>
      </c>
      <c r="J52">
        <f t="shared" si="0"/>
        <v>0</v>
      </c>
      <c r="K52" t="str">
        <f>IF(B52="","",SUMIFS('المطالبات 2026'!$J:$J,'المطالبات 2026'!$E:$E,B52,'المطالبات 2026'!$I:$I,"مطالبة مرفوعة للمالية") + SUMIFS('المطالبات 2025'!$J:$J,'المطالبات 2025'!$E:$E,B52,'المطالبات 2025'!$I:$I,"مطالبة مرفوعة للمالية"))</f>
        <v/>
      </c>
      <c r="L52" t="str">
        <f>IF(B52="","",COUNTIFS('المطالبات 2026'!$E:$E,B52,'المطالبات 2026'!$I:$I,"مطالبة مرفوعة للمالية") + COUNTIFS('المطالبات 2025'!$E:$E,B52,'المطالبات 2025'!$I:$I,"مطالبة مرفوعة للمالية"))</f>
        <v/>
      </c>
      <c r="M52">
        <f t="shared" si="1"/>
        <v>0</v>
      </c>
      <c r="N52" t="str">
        <f>IF(B52="","",SUMIFS(DB_All!$N$2:$N$1000,DB_All!$G$2:$G$1000,B52,DB_All!$L$2:$L$1000,"تحت إجراءات التوريد"))</f>
        <v/>
      </c>
      <c r="O52" t="str">
        <f>IF(B52="","",COUNTIFS(DB_All!$G$2:$G$1000,B52,DB_All!$L$2:$L$1000,"تحت إجراءات التوريد"))</f>
        <v/>
      </c>
      <c r="P52" t="str">
        <f>IF(B52="","",SUMIFS(DB_All!$N$2:$N$1000,DB_All!$G$2:$G$1000,B52,DB_All!$L$2:$L$1000,"بانتظار سندات الاستلام \ شهادة الإنجاز"))</f>
        <v/>
      </c>
      <c r="Q52" t="str">
        <f>IF(B52="","",COUNTIFS(DB_All!$G$2:$G$1000,B52,DB_All!$L$2:$L$1000,"بانتظار سندات الاستلام \ شهادة الإنجاز"))</f>
        <v/>
      </c>
      <c r="R52" t="str">
        <f t="shared" si="2"/>
        <v/>
      </c>
    </row>
    <row r="53" spans="6:18" x14ac:dyDescent="0.3">
      <c r="F53" t="str">
        <f>IF(B53="","",SUMIFS(DB_All!$M$2:$M$1000,DB_All!$G$2:$G$1000,B53,DB_All!$L$2:$L$1000,"تحت إجراءات التعاقد"))</f>
        <v/>
      </c>
      <c r="G53" t="str">
        <f>IF(B53="","",COUNTIFS(DB_All!$G$2:$G$1000,B53,DB_All!$L$2:$L$1000,"تحت إجراءات التعاقد"))</f>
        <v/>
      </c>
      <c r="H53" t="str">
        <f>IF(B53="","",SUMIFS(DB_All!$N$2:$N$1000,DB_All!$G$2:$G$1000,B53,DB_All!$L$2:$L$1000,"تم التوقيع"))</f>
        <v/>
      </c>
      <c r="I53" t="str">
        <f>IF(B53="","",COUNTIFS(DB_All!$G$2:$G$1000,B53,DB_All!$L$2:$L$1000,"تم التوقيع"))</f>
        <v/>
      </c>
      <c r="J53">
        <f t="shared" si="0"/>
        <v>0</v>
      </c>
      <c r="K53" t="str">
        <f>IF(B53="","",SUMIFS('المطالبات 2026'!$J:$J,'المطالبات 2026'!$E:$E,B53,'المطالبات 2026'!$I:$I,"مطالبة مرفوعة للمالية") + SUMIFS('المطالبات 2025'!$J:$J,'المطالبات 2025'!$E:$E,B53,'المطالبات 2025'!$I:$I,"مطالبة مرفوعة للمالية"))</f>
        <v/>
      </c>
      <c r="L53" t="str">
        <f>IF(B53="","",COUNTIFS('المطالبات 2026'!$E:$E,B53,'المطالبات 2026'!$I:$I,"مطالبة مرفوعة للمالية") + COUNTIFS('المطالبات 2025'!$E:$E,B53,'المطالبات 2025'!$I:$I,"مطالبة مرفوعة للمالية"))</f>
        <v/>
      </c>
      <c r="M53">
        <f t="shared" si="1"/>
        <v>0</v>
      </c>
      <c r="N53" t="str">
        <f>IF(B53="","",SUMIFS(DB_All!$N$2:$N$1000,DB_All!$G$2:$G$1000,B53,DB_All!$L$2:$L$1000,"تحت إجراءات التوريد"))</f>
        <v/>
      </c>
      <c r="O53" t="str">
        <f>IF(B53="","",COUNTIFS(DB_All!$G$2:$G$1000,B53,DB_All!$L$2:$L$1000,"تحت إجراءات التوريد"))</f>
        <v/>
      </c>
      <c r="P53" t="str">
        <f>IF(B53="","",SUMIFS(DB_All!$N$2:$N$1000,DB_All!$G$2:$G$1000,B53,DB_All!$L$2:$L$1000,"بانتظار سندات الاستلام \ شهادة الإنجاز"))</f>
        <v/>
      </c>
      <c r="Q53" t="str">
        <f>IF(B53="","",COUNTIFS(DB_All!$G$2:$G$1000,B53,DB_All!$L$2:$L$1000,"بانتظار سندات الاستلام \ شهادة الإنجاز"))</f>
        <v/>
      </c>
      <c r="R53" t="str">
        <f t="shared" si="2"/>
        <v/>
      </c>
    </row>
    <row r="54" spans="6:18" x14ac:dyDescent="0.3">
      <c r="F54" t="str">
        <f>IF(B54="","",SUMIFS(DB_All!$M$2:$M$1000,DB_All!$G$2:$G$1000,B54,DB_All!$L$2:$L$1000,"تحت إجراءات التعاقد"))</f>
        <v/>
      </c>
      <c r="G54" t="str">
        <f>IF(B54="","",COUNTIFS(DB_All!$G$2:$G$1000,B54,DB_All!$L$2:$L$1000,"تحت إجراءات التعاقد"))</f>
        <v/>
      </c>
      <c r="H54" t="str">
        <f>IF(B54="","",SUMIFS(DB_All!$N$2:$N$1000,DB_All!$G$2:$G$1000,B54,DB_All!$L$2:$L$1000,"تم التوقيع"))</f>
        <v/>
      </c>
      <c r="I54" t="str">
        <f>IF(B54="","",COUNTIFS(DB_All!$G$2:$G$1000,B54,DB_All!$L$2:$L$1000,"تم التوقيع"))</f>
        <v/>
      </c>
      <c r="J54">
        <f t="shared" si="0"/>
        <v>0</v>
      </c>
      <c r="K54" t="str">
        <f>IF(B54="","",SUMIFS('المطالبات 2026'!$J:$J,'المطالبات 2026'!$E:$E,B54,'المطالبات 2026'!$I:$I,"مطالبة مرفوعة للمالية") + SUMIFS('المطالبات 2025'!$J:$J,'المطالبات 2025'!$E:$E,B54,'المطالبات 2025'!$I:$I,"مطالبة مرفوعة للمالية"))</f>
        <v/>
      </c>
      <c r="L54" t="str">
        <f>IF(B54="","",COUNTIFS('المطالبات 2026'!$E:$E,B54,'المطالبات 2026'!$I:$I,"مطالبة مرفوعة للمالية") + COUNTIFS('المطالبات 2025'!$E:$E,B54,'المطالبات 2025'!$I:$I,"مطالبة مرفوعة للمالية"))</f>
        <v/>
      </c>
      <c r="M54">
        <f t="shared" si="1"/>
        <v>0</v>
      </c>
      <c r="N54" t="str">
        <f>IF(B54="","",SUMIFS(DB_All!$N$2:$N$1000,DB_All!$G$2:$G$1000,B54,DB_All!$L$2:$L$1000,"تحت إجراءات التوريد"))</f>
        <v/>
      </c>
      <c r="O54" t="str">
        <f>IF(B54="","",COUNTIFS(DB_All!$G$2:$G$1000,B54,DB_All!$L$2:$L$1000,"تحت إجراءات التوريد"))</f>
        <v/>
      </c>
      <c r="P54" t="str">
        <f>IF(B54="","",SUMIFS(DB_All!$N$2:$N$1000,DB_All!$G$2:$G$1000,B54,DB_All!$L$2:$L$1000,"بانتظار سندات الاستلام \ شهادة الإنجاز"))</f>
        <v/>
      </c>
      <c r="Q54" t="str">
        <f>IF(B54="","",COUNTIFS(DB_All!$G$2:$G$1000,B54,DB_All!$L$2:$L$1000,"بانتظار سندات الاستلام \ شهادة الإنجاز"))</f>
        <v/>
      </c>
      <c r="R54" t="str">
        <f t="shared" si="2"/>
        <v/>
      </c>
    </row>
    <row r="55" spans="6:18" x14ac:dyDescent="0.3">
      <c r="F55" t="str">
        <f>IF(B55="","",SUMIFS(DB_All!$M$2:$M$1000,DB_All!$G$2:$G$1000,B55,DB_All!$L$2:$L$1000,"تحت إجراءات التعاقد"))</f>
        <v/>
      </c>
      <c r="G55" t="str">
        <f>IF(B55="","",COUNTIFS(DB_All!$G$2:$G$1000,B55,DB_All!$L$2:$L$1000,"تحت إجراءات التعاقد"))</f>
        <v/>
      </c>
      <c r="H55" t="str">
        <f>IF(B55="","",SUMIFS(DB_All!$N$2:$N$1000,DB_All!$G$2:$G$1000,B55,DB_All!$L$2:$L$1000,"تم التوقيع"))</f>
        <v/>
      </c>
      <c r="I55" t="str">
        <f>IF(B55="","",COUNTIFS(DB_All!$G$2:$G$1000,B55,DB_All!$L$2:$L$1000,"تم التوقيع"))</f>
        <v/>
      </c>
      <c r="J55">
        <f t="shared" si="0"/>
        <v>0</v>
      </c>
      <c r="K55" t="str">
        <f>IF(B55="","",SUMIFS('المطالبات 2026'!$J:$J,'المطالبات 2026'!$E:$E,B55,'المطالبات 2026'!$I:$I,"مطالبة مرفوعة للمالية") + SUMIFS('المطالبات 2025'!$J:$J,'المطالبات 2025'!$E:$E,B55,'المطالبات 2025'!$I:$I,"مطالبة مرفوعة للمالية"))</f>
        <v/>
      </c>
      <c r="L55" t="str">
        <f>IF(B55="","",COUNTIFS('المطالبات 2026'!$E:$E,B55,'المطالبات 2026'!$I:$I,"مطالبة مرفوعة للمالية") + COUNTIFS('المطالبات 2025'!$E:$E,B55,'المطالبات 2025'!$I:$I,"مطالبة مرفوعة للمالية"))</f>
        <v/>
      </c>
      <c r="M55">
        <f t="shared" si="1"/>
        <v>0</v>
      </c>
      <c r="N55" t="str">
        <f>IF(B55="","",SUMIFS(DB_All!$N$2:$N$1000,DB_All!$G$2:$G$1000,B55,DB_All!$L$2:$L$1000,"تحت إجراءات التوريد"))</f>
        <v/>
      </c>
      <c r="O55" t="str">
        <f>IF(B55="","",COUNTIFS(DB_All!$G$2:$G$1000,B55,DB_All!$L$2:$L$1000,"تحت إجراءات التوريد"))</f>
        <v/>
      </c>
      <c r="P55" t="str">
        <f>IF(B55="","",SUMIFS(DB_All!$N$2:$N$1000,DB_All!$G$2:$G$1000,B55,DB_All!$L$2:$L$1000,"بانتظار سندات الاستلام \ شهادة الإنجاز"))</f>
        <v/>
      </c>
      <c r="Q55" t="str">
        <f>IF(B55="","",COUNTIFS(DB_All!$G$2:$G$1000,B55,DB_All!$L$2:$L$1000,"بانتظار سندات الاستلام \ شهادة الإنجاز"))</f>
        <v/>
      </c>
      <c r="R55" t="str">
        <f t="shared" si="2"/>
        <v/>
      </c>
    </row>
    <row r="56" spans="6:18" x14ac:dyDescent="0.3">
      <c r="F56" t="str">
        <f>IF(B56="","",SUMIFS(DB_All!$M$2:$M$1000,DB_All!$G$2:$G$1000,B56,DB_All!$L$2:$L$1000,"تحت إجراءات التعاقد"))</f>
        <v/>
      </c>
      <c r="G56" t="str">
        <f>IF(B56="","",COUNTIFS(DB_All!$G$2:$G$1000,B56,DB_All!$L$2:$L$1000,"تحت إجراءات التعاقد"))</f>
        <v/>
      </c>
      <c r="H56" t="str">
        <f>IF(B56="","",SUMIFS(DB_All!$N$2:$N$1000,DB_All!$G$2:$G$1000,B56,DB_All!$L$2:$L$1000,"تم التوقيع"))</f>
        <v/>
      </c>
      <c r="I56" t="str">
        <f>IF(B56="","",COUNTIFS(DB_All!$G$2:$G$1000,B56,DB_All!$L$2:$L$1000,"تم التوقيع"))</f>
        <v/>
      </c>
      <c r="J56">
        <f t="shared" si="0"/>
        <v>0</v>
      </c>
      <c r="K56" t="str">
        <f>IF(B56="","",SUMIFS('المطالبات 2026'!$J:$J,'المطالبات 2026'!$E:$E,B56,'المطالبات 2026'!$I:$I,"مطالبة مرفوعة للمالية") + SUMIFS('المطالبات 2025'!$J:$J,'المطالبات 2025'!$E:$E,B56,'المطالبات 2025'!$I:$I,"مطالبة مرفوعة للمالية"))</f>
        <v/>
      </c>
      <c r="L56" t="str">
        <f>IF(B56="","",COUNTIFS('المطالبات 2026'!$E:$E,B56,'المطالبات 2026'!$I:$I,"مطالبة مرفوعة للمالية") + COUNTIFS('المطالبات 2025'!$E:$E,B56,'المطالبات 2025'!$I:$I,"مطالبة مرفوعة للمالية"))</f>
        <v/>
      </c>
      <c r="M56">
        <f t="shared" si="1"/>
        <v>0</v>
      </c>
      <c r="N56" t="str">
        <f>IF(B56="","",SUMIFS(DB_All!$N$2:$N$1000,DB_All!$G$2:$G$1000,B56,DB_All!$L$2:$L$1000,"تحت إجراءات التوريد"))</f>
        <v/>
      </c>
      <c r="O56" t="str">
        <f>IF(B56="","",COUNTIFS(DB_All!$G$2:$G$1000,B56,DB_All!$L$2:$L$1000,"تحت إجراءات التوريد"))</f>
        <v/>
      </c>
      <c r="P56" t="str">
        <f>IF(B56="","",SUMIFS(DB_All!$N$2:$N$1000,DB_All!$G$2:$G$1000,B56,DB_All!$L$2:$L$1000,"بانتظار سندات الاستلام \ شهادة الإنجاز"))</f>
        <v/>
      </c>
      <c r="Q56" t="str">
        <f>IF(B56="","",COUNTIFS(DB_All!$G$2:$G$1000,B56,DB_All!$L$2:$L$1000,"بانتظار سندات الاستلام \ شهادة الإنجاز"))</f>
        <v/>
      </c>
      <c r="R56" t="str">
        <f t="shared" si="2"/>
        <v/>
      </c>
    </row>
    <row r="57" spans="6:18" x14ac:dyDescent="0.3">
      <c r="F57" t="str">
        <f>IF(B57="","",SUMIFS(DB_All!$M$2:$M$1000,DB_All!$G$2:$G$1000,B57,DB_All!$L$2:$L$1000,"تحت إجراءات التعاقد"))</f>
        <v/>
      </c>
      <c r="G57" t="str">
        <f>IF(B57="","",COUNTIFS(DB_All!$G$2:$G$1000,B57,DB_All!$L$2:$L$1000,"تحت إجراءات التعاقد"))</f>
        <v/>
      </c>
      <c r="H57" t="str">
        <f>IF(B57="","",SUMIFS(DB_All!$N$2:$N$1000,DB_All!$G$2:$G$1000,B57,DB_All!$L$2:$L$1000,"تم التوقيع"))</f>
        <v/>
      </c>
      <c r="I57" t="str">
        <f>IF(B57="","",COUNTIFS(DB_All!$G$2:$G$1000,B57,DB_All!$L$2:$L$1000,"تم التوقيع"))</f>
        <v/>
      </c>
      <c r="J57">
        <f t="shared" si="0"/>
        <v>0</v>
      </c>
      <c r="K57" t="str">
        <f>IF(B57="","",SUMIFS('المطالبات 2026'!$J:$J,'المطالبات 2026'!$E:$E,B57,'المطالبات 2026'!$I:$I,"مطالبة مرفوعة للمالية") + SUMIFS('المطالبات 2025'!$J:$J,'المطالبات 2025'!$E:$E,B57,'المطالبات 2025'!$I:$I,"مطالبة مرفوعة للمالية"))</f>
        <v/>
      </c>
      <c r="L57" t="str">
        <f>IF(B57="","",COUNTIFS('المطالبات 2026'!$E:$E,B57,'المطالبات 2026'!$I:$I,"مطالبة مرفوعة للمالية") + COUNTIFS('المطالبات 2025'!$E:$E,B57,'المطالبات 2025'!$I:$I,"مطالبة مرفوعة للمالية"))</f>
        <v/>
      </c>
      <c r="M57">
        <f t="shared" si="1"/>
        <v>0</v>
      </c>
      <c r="N57" t="str">
        <f>IF(B57="","",SUMIFS(DB_All!$N$2:$N$1000,DB_All!$G$2:$G$1000,B57,DB_All!$L$2:$L$1000,"تحت إجراءات التوريد"))</f>
        <v/>
      </c>
      <c r="O57" t="str">
        <f>IF(B57="","",COUNTIFS(DB_All!$G$2:$G$1000,B57,DB_All!$L$2:$L$1000,"تحت إجراءات التوريد"))</f>
        <v/>
      </c>
      <c r="P57" t="str">
        <f>IF(B57="","",SUMIFS(DB_All!$N$2:$N$1000,DB_All!$G$2:$G$1000,B57,DB_All!$L$2:$L$1000,"بانتظار سندات الاستلام \ شهادة الإنجاز"))</f>
        <v/>
      </c>
      <c r="Q57" t="str">
        <f>IF(B57="","",COUNTIFS(DB_All!$G$2:$G$1000,B57,DB_All!$L$2:$L$1000,"بانتظار سندات الاستلام \ شهادة الإنجاز"))</f>
        <v/>
      </c>
      <c r="R57" t="str">
        <f t="shared" si="2"/>
        <v/>
      </c>
    </row>
    <row r="58" spans="6:18" x14ac:dyDescent="0.3">
      <c r="F58" t="str">
        <f>IF(B58="","",SUMIFS(DB_All!$M$2:$M$1000,DB_All!$G$2:$G$1000,B58,DB_All!$L$2:$L$1000,"تحت إجراءات التعاقد"))</f>
        <v/>
      </c>
      <c r="G58" t="str">
        <f>IF(B58="","",COUNTIFS(DB_All!$G$2:$G$1000,B58,DB_All!$L$2:$L$1000,"تحت إجراءات التعاقد"))</f>
        <v/>
      </c>
      <c r="H58" t="str">
        <f>IF(B58="","",SUMIFS(DB_All!$N$2:$N$1000,DB_All!$G$2:$G$1000,B58,DB_All!$L$2:$L$1000,"تم التوقيع"))</f>
        <v/>
      </c>
      <c r="I58" t="str">
        <f>IF(B58="","",COUNTIFS(DB_All!$G$2:$G$1000,B58,DB_All!$L$2:$L$1000,"تم التوقيع"))</f>
        <v/>
      </c>
      <c r="J58">
        <f t="shared" si="0"/>
        <v>0</v>
      </c>
      <c r="K58" t="str">
        <f>IF(B58="","",SUMIFS('المطالبات 2026'!$J:$J,'المطالبات 2026'!$E:$E,B58,'المطالبات 2026'!$I:$I,"مطالبة مرفوعة للمالية") + SUMIFS('المطالبات 2025'!$J:$J,'المطالبات 2025'!$E:$E,B58,'المطالبات 2025'!$I:$I,"مطالبة مرفوعة للمالية"))</f>
        <v/>
      </c>
      <c r="L58" t="str">
        <f>IF(B58="","",COUNTIFS('المطالبات 2026'!$E:$E,B58,'المطالبات 2026'!$I:$I,"مطالبة مرفوعة للمالية") + COUNTIFS('المطالبات 2025'!$E:$E,B58,'المطالبات 2025'!$I:$I,"مطالبة مرفوعة للمالية"))</f>
        <v/>
      </c>
      <c r="M58">
        <f t="shared" si="1"/>
        <v>0</v>
      </c>
      <c r="N58" t="str">
        <f>IF(B58="","",SUMIFS(DB_All!$N$2:$N$1000,DB_All!$G$2:$G$1000,B58,DB_All!$L$2:$L$1000,"تحت إجراءات التوريد"))</f>
        <v/>
      </c>
      <c r="O58" t="str">
        <f>IF(B58="","",COUNTIFS(DB_All!$G$2:$G$1000,B58,DB_All!$L$2:$L$1000,"تحت إجراءات التوريد"))</f>
        <v/>
      </c>
      <c r="P58" t="str">
        <f>IF(B58="","",SUMIFS(DB_All!$N$2:$N$1000,DB_All!$G$2:$G$1000,B58,DB_All!$L$2:$L$1000,"بانتظار سندات الاستلام \ شهادة الإنجاز"))</f>
        <v/>
      </c>
      <c r="Q58" t="str">
        <f>IF(B58="","",COUNTIFS(DB_All!$G$2:$G$1000,B58,DB_All!$L$2:$L$1000,"بانتظار سندات الاستلام \ شهادة الإنجاز"))</f>
        <v/>
      </c>
      <c r="R58" t="str">
        <f t="shared" si="2"/>
        <v/>
      </c>
    </row>
    <row r="59" spans="6:18" x14ac:dyDescent="0.3">
      <c r="F59" t="str">
        <f>IF(B59="","",SUMIFS(DB_All!$M$2:$M$1000,DB_All!$G$2:$G$1000,B59,DB_All!$L$2:$L$1000,"تحت إجراءات التعاقد"))</f>
        <v/>
      </c>
      <c r="G59" t="str">
        <f>IF(B59="","",COUNTIFS(DB_All!$G$2:$G$1000,B59,DB_All!$L$2:$L$1000,"تحت إجراءات التعاقد"))</f>
        <v/>
      </c>
      <c r="H59" t="str">
        <f>IF(B59="","",SUMIFS(DB_All!$N$2:$N$1000,DB_All!$G$2:$G$1000,B59,DB_All!$L$2:$L$1000,"تم التوقيع"))</f>
        <v/>
      </c>
      <c r="I59" t="str">
        <f>IF(B59="","",COUNTIFS(DB_All!$G$2:$G$1000,B59,DB_All!$L$2:$L$1000,"تم التوقيع"))</f>
        <v/>
      </c>
      <c r="J59">
        <f t="shared" si="0"/>
        <v>0</v>
      </c>
      <c r="K59" t="str">
        <f>IF(B59="","",SUMIFS('المطالبات 2026'!$J:$J,'المطالبات 2026'!$E:$E,B59,'المطالبات 2026'!$I:$I,"مطالبة مرفوعة للمالية") + SUMIFS('المطالبات 2025'!$J:$J,'المطالبات 2025'!$E:$E,B59,'المطالبات 2025'!$I:$I,"مطالبة مرفوعة للمالية"))</f>
        <v/>
      </c>
      <c r="L59" t="str">
        <f>IF(B59="","",COUNTIFS('المطالبات 2026'!$E:$E,B59,'المطالبات 2026'!$I:$I,"مطالبة مرفوعة للمالية") + COUNTIFS('المطالبات 2025'!$E:$E,B59,'المطالبات 2025'!$I:$I,"مطالبة مرفوعة للمالية"))</f>
        <v/>
      </c>
      <c r="M59">
        <f t="shared" si="1"/>
        <v>0</v>
      </c>
      <c r="N59" t="str">
        <f>IF(B59="","",SUMIFS(DB_All!$N$2:$N$1000,DB_All!$G$2:$G$1000,B59,DB_All!$L$2:$L$1000,"تحت إجراءات التوريد"))</f>
        <v/>
      </c>
      <c r="O59" t="str">
        <f>IF(B59="","",COUNTIFS(DB_All!$G$2:$G$1000,B59,DB_All!$L$2:$L$1000,"تحت إجراءات التوريد"))</f>
        <v/>
      </c>
      <c r="P59" t="str">
        <f>IF(B59="","",SUMIFS(DB_All!$N$2:$N$1000,DB_All!$G$2:$G$1000,B59,DB_All!$L$2:$L$1000,"بانتظار سندات الاستلام \ شهادة الإنجاز"))</f>
        <v/>
      </c>
      <c r="Q59" t="str">
        <f>IF(B59="","",COUNTIFS(DB_All!$G$2:$G$1000,B59,DB_All!$L$2:$L$1000,"بانتظار سندات الاستلام \ شهادة الإنجاز"))</f>
        <v/>
      </c>
      <c r="R59" t="str">
        <f t="shared" si="2"/>
        <v/>
      </c>
    </row>
    <row r="60" spans="6:18" x14ac:dyDescent="0.3">
      <c r="F60" t="str">
        <f>IF(B60="","",SUMIFS(DB_All!$M$2:$M$1000,DB_All!$G$2:$G$1000,B60,DB_All!$L$2:$L$1000,"تحت إجراءات التعاقد"))</f>
        <v/>
      </c>
      <c r="G60" t="str">
        <f>IF(B60="","",COUNTIFS(DB_All!$G$2:$G$1000,B60,DB_All!$L$2:$L$1000,"تحت إجراءات التعاقد"))</f>
        <v/>
      </c>
      <c r="H60" t="str">
        <f>IF(B60="","",SUMIFS(DB_All!$N$2:$N$1000,DB_All!$G$2:$G$1000,B60,DB_All!$L$2:$L$1000,"تم التوقيع"))</f>
        <v/>
      </c>
      <c r="I60" t="str">
        <f>IF(B60="","",COUNTIFS(DB_All!$G$2:$G$1000,B60,DB_All!$L$2:$L$1000,"تم التوقيع"))</f>
        <v/>
      </c>
      <c r="J60">
        <f t="shared" si="0"/>
        <v>0</v>
      </c>
      <c r="K60" t="str">
        <f>IF(B60="","",SUMIFS('المطالبات 2026'!$J:$J,'المطالبات 2026'!$E:$E,B60,'المطالبات 2026'!$I:$I,"مطالبة مرفوعة للمالية") + SUMIFS('المطالبات 2025'!$J:$J,'المطالبات 2025'!$E:$E,B60,'المطالبات 2025'!$I:$I,"مطالبة مرفوعة للمالية"))</f>
        <v/>
      </c>
      <c r="L60" t="str">
        <f>IF(B60="","",COUNTIFS('المطالبات 2026'!$E:$E,B60,'المطالبات 2026'!$I:$I,"مطالبة مرفوعة للمالية") + COUNTIFS('المطالبات 2025'!$E:$E,B60,'المطالبات 2025'!$I:$I,"مطالبة مرفوعة للمالية"))</f>
        <v/>
      </c>
      <c r="M60">
        <f t="shared" si="1"/>
        <v>0</v>
      </c>
      <c r="N60" t="str">
        <f>IF(B60="","",SUMIFS(DB_All!$N$2:$N$1000,DB_All!$G$2:$G$1000,B60,DB_All!$L$2:$L$1000,"تحت إجراءات التوريد"))</f>
        <v/>
      </c>
      <c r="O60" t="str">
        <f>IF(B60="","",COUNTIFS(DB_All!$G$2:$G$1000,B60,DB_All!$L$2:$L$1000,"تحت إجراءات التوريد"))</f>
        <v/>
      </c>
      <c r="P60" t="str">
        <f>IF(B60="","",SUMIFS(DB_All!$N$2:$N$1000,DB_All!$G$2:$G$1000,B60,DB_All!$L$2:$L$1000,"بانتظار سندات الاستلام \ شهادة الإنجاز"))</f>
        <v/>
      </c>
      <c r="Q60" t="str">
        <f>IF(B60="","",COUNTIFS(DB_All!$G$2:$G$1000,B60,DB_All!$L$2:$L$1000,"بانتظار سندات الاستلام \ شهادة الإنجاز"))</f>
        <v/>
      </c>
      <c r="R60" t="str">
        <f t="shared" si="2"/>
        <v/>
      </c>
    </row>
    <row r="61" spans="6:18" x14ac:dyDescent="0.3">
      <c r="F61" t="str">
        <f>IF(B61="","",SUMIFS(DB_All!$M$2:$M$1000,DB_All!$G$2:$G$1000,B61,DB_All!$L$2:$L$1000,"تحت إجراءات التعاقد"))</f>
        <v/>
      </c>
      <c r="G61" t="str">
        <f>IF(B61="","",COUNTIFS(DB_All!$G$2:$G$1000,B61,DB_All!$L$2:$L$1000,"تحت إجراءات التعاقد"))</f>
        <v/>
      </c>
      <c r="H61" t="str">
        <f>IF(B61="","",SUMIFS(DB_All!$N$2:$N$1000,DB_All!$G$2:$G$1000,B61,DB_All!$L$2:$L$1000,"تم التوقيع"))</f>
        <v/>
      </c>
      <c r="I61" t="str">
        <f>IF(B61="","",COUNTIFS(DB_All!$G$2:$G$1000,B61,DB_All!$L$2:$L$1000,"تم التوقيع"))</f>
        <v/>
      </c>
      <c r="J61">
        <f t="shared" si="0"/>
        <v>0</v>
      </c>
      <c r="K61" t="str">
        <f>IF(B61="","",SUMIFS('المطالبات 2026'!$J:$J,'المطالبات 2026'!$E:$E,B61,'المطالبات 2026'!$I:$I,"مطالبة مرفوعة للمالية") + SUMIFS('المطالبات 2025'!$J:$J,'المطالبات 2025'!$E:$E,B61,'المطالبات 2025'!$I:$I,"مطالبة مرفوعة للمالية"))</f>
        <v/>
      </c>
      <c r="L61" t="str">
        <f>IF(B61="","",COUNTIFS('المطالبات 2026'!$E:$E,B61,'المطالبات 2026'!$I:$I,"مطالبة مرفوعة للمالية") + COUNTIFS('المطالبات 2025'!$E:$E,B61,'المطالبات 2025'!$I:$I,"مطالبة مرفوعة للمالية"))</f>
        <v/>
      </c>
      <c r="M61">
        <f t="shared" si="1"/>
        <v>0</v>
      </c>
      <c r="N61" t="str">
        <f>IF(B61="","",SUMIFS(DB_All!$N$2:$N$1000,DB_All!$G$2:$G$1000,B61,DB_All!$L$2:$L$1000,"تحت إجراءات التوريد"))</f>
        <v/>
      </c>
      <c r="O61" t="str">
        <f>IF(B61="","",COUNTIFS(DB_All!$G$2:$G$1000,B61,DB_All!$L$2:$L$1000,"تحت إجراءات التوريد"))</f>
        <v/>
      </c>
      <c r="P61" t="str">
        <f>IF(B61="","",SUMIFS(DB_All!$N$2:$N$1000,DB_All!$G$2:$G$1000,B61,DB_All!$L$2:$L$1000,"بانتظار سندات الاستلام \ شهادة الإنجاز"))</f>
        <v/>
      </c>
      <c r="Q61" t="str">
        <f>IF(B61="","",COUNTIFS(DB_All!$G$2:$G$1000,B61,DB_All!$L$2:$L$1000,"بانتظار سندات الاستلام \ شهادة الإنجاز"))</f>
        <v/>
      </c>
      <c r="R61" t="str">
        <f t="shared" si="2"/>
        <v/>
      </c>
    </row>
    <row r="62" spans="6:18" x14ac:dyDescent="0.3">
      <c r="F62" t="str">
        <f>IF(B62="","",SUMIFS(DB_All!$M$2:$M$1000,DB_All!$G$2:$G$1000,B62,DB_All!$L$2:$L$1000,"تحت إجراءات التعاقد"))</f>
        <v/>
      </c>
      <c r="G62" t="str">
        <f>IF(B62="","",COUNTIFS(DB_All!$G$2:$G$1000,B62,DB_All!$L$2:$L$1000,"تحت إجراءات التعاقد"))</f>
        <v/>
      </c>
      <c r="H62" t="str">
        <f>IF(B62="","",SUMIFS(DB_All!$N$2:$N$1000,DB_All!$G$2:$G$1000,B62,DB_All!$L$2:$L$1000,"تم التوقيع"))</f>
        <v/>
      </c>
      <c r="I62" t="str">
        <f>IF(B62="","",COUNTIFS(DB_All!$G$2:$G$1000,B62,DB_All!$L$2:$L$1000,"تم التوقيع"))</f>
        <v/>
      </c>
      <c r="J62">
        <f t="shared" si="0"/>
        <v>0</v>
      </c>
      <c r="K62" t="str">
        <f>IF(B62="","",SUMIFS('المطالبات 2026'!$J:$J,'المطالبات 2026'!$E:$E,B62,'المطالبات 2026'!$I:$I,"مطالبة مرفوعة للمالية") + SUMIFS('المطالبات 2025'!$J:$J,'المطالبات 2025'!$E:$E,B62,'المطالبات 2025'!$I:$I,"مطالبة مرفوعة للمالية"))</f>
        <v/>
      </c>
      <c r="L62" t="str">
        <f>IF(B62="","",COUNTIFS('المطالبات 2026'!$E:$E,B62,'المطالبات 2026'!$I:$I,"مطالبة مرفوعة للمالية") + COUNTIFS('المطالبات 2025'!$E:$E,B62,'المطالبات 2025'!$I:$I,"مطالبة مرفوعة للمالية"))</f>
        <v/>
      </c>
      <c r="M62">
        <f t="shared" si="1"/>
        <v>0</v>
      </c>
      <c r="N62" t="str">
        <f>IF(B62="","",SUMIFS(DB_All!$N$2:$N$1000,DB_All!$G$2:$G$1000,B62,DB_All!$L$2:$L$1000,"تحت إجراءات التوريد"))</f>
        <v/>
      </c>
      <c r="O62" t="str">
        <f>IF(B62="","",COUNTIFS(DB_All!$G$2:$G$1000,B62,DB_All!$L$2:$L$1000,"تحت إجراءات التوريد"))</f>
        <v/>
      </c>
      <c r="P62" t="str">
        <f>IF(B62="","",SUMIFS(DB_All!$N$2:$N$1000,DB_All!$G$2:$G$1000,B62,DB_All!$L$2:$L$1000,"بانتظار سندات الاستلام \ شهادة الإنجاز"))</f>
        <v/>
      </c>
      <c r="Q62" t="str">
        <f>IF(B62="","",COUNTIFS(DB_All!$G$2:$G$1000,B62,DB_All!$L$2:$L$1000,"بانتظار سندات الاستلام \ شهادة الإنجاز"))</f>
        <v/>
      </c>
      <c r="R62" t="str">
        <f t="shared" si="2"/>
        <v/>
      </c>
    </row>
    <row r="63" spans="6:18" x14ac:dyDescent="0.3">
      <c r="F63" t="str">
        <f>IF(B63="","",SUMIFS(DB_All!$M$2:$M$1000,DB_All!$G$2:$G$1000,B63,DB_All!$L$2:$L$1000,"تحت إجراءات التعاقد"))</f>
        <v/>
      </c>
      <c r="G63" t="str">
        <f>IF(B63="","",COUNTIFS(DB_All!$G$2:$G$1000,B63,DB_All!$L$2:$L$1000,"تحت إجراءات التعاقد"))</f>
        <v/>
      </c>
      <c r="H63" t="str">
        <f>IF(B63="","",SUMIFS(DB_All!$N$2:$N$1000,DB_All!$G$2:$G$1000,B63,DB_All!$L$2:$L$1000,"تم التوقيع"))</f>
        <v/>
      </c>
      <c r="I63" t="str">
        <f>IF(B63="","",COUNTIFS(DB_All!$G$2:$G$1000,B63,DB_All!$L$2:$L$1000,"تم التوقيع"))</f>
        <v/>
      </c>
      <c r="J63">
        <f t="shared" si="0"/>
        <v>0</v>
      </c>
      <c r="K63" t="str">
        <f>IF(B63="","",SUMIFS('المطالبات 2026'!$J:$J,'المطالبات 2026'!$E:$E,B63,'المطالبات 2026'!$I:$I,"مطالبة مرفوعة للمالية") + SUMIFS('المطالبات 2025'!$J:$J,'المطالبات 2025'!$E:$E,B63,'المطالبات 2025'!$I:$I,"مطالبة مرفوعة للمالية"))</f>
        <v/>
      </c>
      <c r="L63" t="str">
        <f>IF(B63="","",COUNTIFS('المطالبات 2026'!$E:$E,B63,'المطالبات 2026'!$I:$I,"مطالبة مرفوعة للمالية") + COUNTIFS('المطالبات 2025'!$E:$E,B63,'المطالبات 2025'!$I:$I,"مطالبة مرفوعة للمالية"))</f>
        <v/>
      </c>
      <c r="M63">
        <f t="shared" si="1"/>
        <v>0</v>
      </c>
      <c r="N63" t="str">
        <f>IF(B63="","",SUMIFS(DB_All!$N$2:$N$1000,DB_All!$G$2:$G$1000,B63,DB_All!$L$2:$L$1000,"تحت إجراءات التوريد"))</f>
        <v/>
      </c>
      <c r="O63" t="str">
        <f>IF(B63="","",COUNTIFS(DB_All!$G$2:$G$1000,B63,DB_All!$L$2:$L$1000,"تحت إجراءات التوريد"))</f>
        <v/>
      </c>
      <c r="P63" t="str">
        <f>IF(B63="","",SUMIFS(DB_All!$N$2:$N$1000,DB_All!$G$2:$G$1000,B63,DB_All!$L$2:$L$1000,"بانتظار سندات الاستلام \ شهادة الإنجاز"))</f>
        <v/>
      </c>
      <c r="Q63" t="str">
        <f>IF(B63="","",COUNTIFS(DB_All!$G$2:$G$1000,B63,DB_All!$L$2:$L$1000,"بانتظار سندات الاستلام \ شهادة الإنجاز"))</f>
        <v/>
      </c>
      <c r="R63" t="str">
        <f t="shared" si="2"/>
        <v/>
      </c>
    </row>
    <row r="64" spans="6:18" x14ac:dyDescent="0.3">
      <c r="F64" t="str">
        <f>IF(B64="","",SUMIFS(DB_All!$M$2:$M$1000,DB_All!$G$2:$G$1000,B64,DB_All!$L$2:$L$1000,"تحت إجراءات التعاقد"))</f>
        <v/>
      </c>
      <c r="G64" t="str">
        <f>IF(B64="","",COUNTIFS(DB_All!$G$2:$G$1000,B64,DB_All!$L$2:$L$1000,"تحت إجراءات التعاقد"))</f>
        <v/>
      </c>
      <c r="H64" t="str">
        <f>IF(B64="","",SUMIFS(DB_All!$N$2:$N$1000,DB_All!$G$2:$G$1000,B64,DB_All!$L$2:$L$1000,"تم التوقيع"))</f>
        <v/>
      </c>
      <c r="I64" t="str">
        <f>IF(B64="","",COUNTIFS(DB_All!$G$2:$G$1000,B64,DB_All!$L$2:$L$1000,"تم التوقيع"))</f>
        <v/>
      </c>
      <c r="J64">
        <f t="shared" si="0"/>
        <v>0</v>
      </c>
      <c r="K64" t="str">
        <f>IF(B64="","",SUMIFS('المطالبات 2026'!$J:$J,'المطالبات 2026'!$E:$E,B64,'المطالبات 2026'!$I:$I,"مطالبة مرفوعة للمالية") + SUMIFS('المطالبات 2025'!$J:$J,'المطالبات 2025'!$E:$E,B64,'المطالبات 2025'!$I:$I,"مطالبة مرفوعة للمالية"))</f>
        <v/>
      </c>
      <c r="L64" t="str">
        <f>IF(B64="","",COUNTIFS('المطالبات 2026'!$E:$E,B64,'المطالبات 2026'!$I:$I,"مطالبة مرفوعة للمالية") + COUNTIFS('المطالبات 2025'!$E:$E,B64,'المطالبات 2025'!$I:$I,"مطالبة مرفوعة للمالية"))</f>
        <v/>
      </c>
      <c r="M64">
        <f t="shared" si="1"/>
        <v>0</v>
      </c>
      <c r="N64" t="str">
        <f>IF(B64="","",SUMIFS(DB_All!$N$2:$N$1000,DB_All!$G$2:$G$1000,B64,DB_All!$L$2:$L$1000,"تحت إجراءات التوريد"))</f>
        <v/>
      </c>
      <c r="O64" t="str">
        <f>IF(B64="","",COUNTIFS(DB_All!$G$2:$G$1000,B64,DB_All!$L$2:$L$1000,"تحت إجراءات التوريد"))</f>
        <v/>
      </c>
      <c r="P64" t="str">
        <f>IF(B64="","",SUMIFS(DB_All!$N$2:$N$1000,DB_All!$G$2:$G$1000,B64,DB_All!$L$2:$L$1000,"بانتظار سندات الاستلام \ شهادة الإنجاز"))</f>
        <v/>
      </c>
      <c r="Q64" t="str">
        <f>IF(B64="","",COUNTIFS(DB_All!$G$2:$G$1000,B64,DB_All!$L$2:$L$1000,"بانتظار سندات الاستلام \ شهادة الإنجاز"))</f>
        <v/>
      </c>
      <c r="R64" t="str">
        <f t="shared" si="2"/>
        <v/>
      </c>
    </row>
    <row r="65" spans="6:18" x14ac:dyDescent="0.3">
      <c r="F65" t="str">
        <f>IF(B65="","",SUMIFS(DB_All!$M$2:$M$1000,DB_All!$G$2:$G$1000,B65,DB_All!$L$2:$L$1000,"تحت إجراءات التعاقد"))</f>
        <v/>
      </c>
      <c r="G65" t="str">
        <f>IF(B65="","",COUNTIFS(DB_All!$G$2:$G$1000,B65,DB_All!$L$2:$L$1000,"تحت إجراءات التعاقد"))</f>
        <v/>
      </c>
      <c r="H65" t="str">
        <f>IF(B65="","",SUMIFS(DB_All!$N$2:$N$1000,DB_All!$G$2:$G$1000,B65,DB_All!$L$2:$L$1000,"تم التوقيع"))</f>
        <v/>
      </c>
      <c r="I65" t="str">
        <f>IF(B65="","",COUNTIFS(DB_All!$G$2:$G$1000,B65,DB_All!$L$2:$L$1000,"تم التوقيع"))</f>
        <v/>
      </c>
      <c r="J65">
        <f t="shared" si="0"/>
        <v>0</v>
      </c>
      <c r="K65" t="str">
        <f>IF(B65="","",SUMIFS('المطالبات 2026'!$J:$J,'المطالبات 2026'!$E:$E,B65,'المطالبات 2026'!$I:$I,"مطالبة مرفوعة للمالية") + SUMIFS('المطالبات 2025'!$J:$J,'المطالبات 2025'!$E:$E,B65,'المطالبات 2025'!$I:$I,"مطالبة مرفوعة للمالية"))</f>
        <v/>
      </c>
      <c r="L65" t="str">
        <f>IF(B65="","",COUNTIFS('المطالبات 2026'!$E:$E,B65,'المطالبات 2026'!$I:$I,"مطالبة مرفوعة للمالية") + COUNTIFS('المطالبات 2025'!$E:$E,B65,'المطالبات 2025'!$I:$I,"مطالبة مرفوعة للمالية"))</f>
        <v/>
      </c>
      <c r="M65">
        <f t="shared" si="1"/>
        <v>0</v>
      </c>
      <c r="N65" t="str">
        <f>IF(B65="","",SUMIFS(DB_All!$N$2:$N$1000,DB_All!$G$2:$G$1000,B65,DB_All!$L$2:$L$1000,"تحت إجراءات التوريد"))</f>
        <v/>
      </c>
      <c r="O65" t="str">
        <f>IF(B65="","",COUNTIFS(DB_All!$G$2:$G$1000,B65,DB_All!$L$2:$L$1000,"تحت إجراءات التوريد"))</f>
        <v/>
      </c>
      <c r="P65" t="str">
        <f>IF(B65="","",SUMIFS(DB_All!$N$2:$N$1000,DB_All!$G$2:$G$1000,B65,DB_All!$L$2:$L$1000,"بانتظار سندات الاستلام \ شهادة الإنجاز"))</f>
        <v/>
      </c>
      <c r="Q65" t="str">
        <f>IF(B65="","",COUNTIFS(DB_All!$G$2:$G$1000,B65,DB_All!$L$2:$L$1000,"بانتظار سندات الاستلام \ شهادة الإنجاز"))</f>
        <v/>
      </c>
      <c r="R65" t="str">
        <f t="shared" si="2"/>
        <v/>
      </c>
    </row>
    <row r="66" spans="6:18" x14ac:dyDescent="0.3">
      <c r="F66" t="str">
        <f>IF(B66="","",SUMIFS(DB_All!$M$2:$M$1000,DB_All!$G$2:$G$1000,B66,DB_All!$L$2:$L$1000,"تحت إجراءات التعاقد"))</f>
        <v/>
      </c>
      <c r="G66" t="str">
        <f>IF(B66="","",COUNTIFS(DB_All!$G$2:$G$1000,B66,DB_All!$L$2:$L$1000,"تحت إجراءات التعاقد"))</f>
        <v/>
      </c>
      <c r="H66" t="str">
        <f>IF(B66="","",SUMIFS(DB_All!$N$2:$N$1000,DB_All!$G$2:$G$1000,B66,DB_All!$L$2:$L$1000,"تم التوقيع"))</f>
        <v/>
      </c>
      <c r="I66" t="str">
        <f>IF(B66="","",COUNTIFS(DB_All!$G$2:$G$1000,B66,DB_All!$L$2:$L$1000,"تم التوقيع"))</f>
        <v/>
      </c>
      <c r="J66">
        <f t="shared" ref="J66:J129" si="3">IFERROR(H66/D66,0)</f>
        <v>0</v>
      </c>
      <c r="K66" t="str">
        <f>IF(B66="","",SUMIFS('المطالبات 2026'!$J:$J,'المطالبات 2026'!$E:$E,B66,'المطالبات 2026'!$I:$I,"مطالبة مرفوعة للمالية") + SUMIFS('المطالبات 2025'!$J:$J,'المطالبات 2025'!$E:$E,B66,'المطالبات 2025'!$I:$I,"مطالبة مرفوعة للمالية"))</f>
        <v/>
      </c>
      <c r="L66" t="str">
        <f>IF(B66="","",COUNTIFS('المطالبات 2026'!$E:$E,B66,'المطالبات 2026'!$I:$I,"مطالبة مرفوعة للمالية") + COUNTIFS('المطالبات 2025'!$E:$E,B66,'المطالبات 2025'!$I:$I,"مطالبة مرفوعة للمالية"))</f>
        <v/>
      </c>
      <c r="M66">
        <f t="shared" ref="M66:M129" si="4">IFERROR(K66/D66,0)</f>
        <v>0</v>
      </c>
      <c r="N66" t="str">
        <f>IF(B66="","",SUMIFS(DB_All!$N$2:$N$1000,DB_All!$G$2:$G$1000,B66,DB_All!$L$2:$L$1000,"تحت إجراءات التوريد"))</f>
        <v/>
      </c>
      <c r="O66" t="str">
        <f>IF(B66="","",COUNTIFS(DB_All!$G$2:$G$1000,B66,DB_All!$L$2:$L$1000,"تحت إجراءات التوريد"))</f>
        <v/>
      </c>
      <c r="P66" t="str">
        <f>IF(B66="","",SUMIFS(DB_All!$N$2:$N$1000,DB_All!$G$2:$G$1000,B66,DB_All!$L$2:$L$1000,"بانتظار سندات الاستلام \ شهادة الإنجاز"))</f>
        <v/>
      </c>
      <c r="Q66" t="str">
        <f>IF(B66="","",COUNTIFS(DB_All!$G$2:$G$1000,B66,DB_All!$L$2:$L$1000,"بانتظار سندات الاستلام \ شهادة الإنجاز"))</f>
        <v/>
      </c>
      <c r="R66" t="str">
        <f t="shared" ref="R66:R129" si="5">IF(B66="","",F66+H66)</f>
        <v/>
      </c>
    </row>
    <row r="67" spans="6:18" x14ac:dyDescent="0.3">
      <c r="F67" t="str">
        <f>IF(B67="","",SUMIFS(DB_All!$M$2:$M$1000,DB_All!$G$2:$G$1000,B67,DB_All!$L$2:$L$1000,"تحت إجراءات التعاقد"))</f>
        <v/>
      </c>
      <c r="G67" t="str">
        <f>IF(B67="","",COUNTIFS(DB_All!$G$2:$G$1000,B67,DB_All!$L$2:$L$1000,"تحت إجراءات التعاقد"))</f>
        <v/>
      </c>
      <c r="H67" t="str">
        <f>IF(B67="","",SUMIFS(DB_All!$N$2:$N$1000,DB_All!$G$2:$G$1000,B67,DB_All!$L$2:$L$1000,"تم التوقيع"))</f>
        <v/>
      </c>
      <c r="I67" t="str">
        <f>IF(B67="","",COUNTIFS(DB_All!$G$2:$G$1000,B67,DB_All!$L$2:$L$1000,"تم التوقيع"))</f>
        <v/>
      </c>
      <c r="J67">
        <f t="shared" si="3"/>
        <v>0</v>
      </c>
      <c r="K67" t="str">
        <f>IF(B67="","",SUMIFS('المطالبات 2026'!$J:$J,'المطالبات 2026'!$E:$E,B67,'المطالبات 2026'!$I:$I,"مطالبة مرفوعة للمالية") + SUMIFS('المطالبات 2025'!$J:$J,'المطالبات 2025'!$E:$E,B67,'المطالبات 2025'!$I:$I,"مطالبة مرفوعة للمالية"))</f>
        <v/>
      </c>
      <c r="L67" t="str">
        <f>IF(B67="","",COUNTIFS('المطالبات 2026'!$E:$E,B67,'المطالبات 2026'!$I:$I,"مطالبة مرفوعة للمالية") + COUNTIFS('المطالبات 2025'!$E:$E,B67,'المطالبات 2025'!$I:$I,"مطالبة مرفوعة للمالية"))</f>
        <v/>
      </c>
      <c r="M67">
        <f t="shared" si="4"/>
        <v>0</v>
      </c>
      <c r="N67" t="str">
        <f>IF(B67="","",SUMIFS(DB_All!$N$2:$N$1000,DB_All!$G$2:$G$1000,B67,DB_All!$L$2:$L$1000,"تحت إجراءات التوريد"))</f>
        <v/>
      </c>
      <c r="O67" t="str">
        <f>IF(B67="","",COUNTIFS(DB_All!$G$2:$G$1000,B67,DB_All!$L$2:$L$1000,"تحت إجراءات التوريد"))</f>
        <v/>
      </c>
      <c r="P67" t="str">
        <f>IF(B67="","",SUMIFS(DB_All!$N$2:$N$1000,DB_All!$G$2:$G$1000,B67,DB_All!$L$2:$L$1000,"بانتظار سندات الاستلام \ شهادة الإنجاز"))</f>
        <v/>
      </c>
      <c r="Q67" t="str">
        <f>IF(B67="","",COUNTIFS(DB_All!$G$2:$G$1000,B67,DB_All!$L$2:$L$1000,"بانتظار سندات الاستلام \ شهادة الإنجاز"))</f>
        <v/>
      </c>
      <c r="R67" t="str">
        <f t="shared" si="5"/>
        <v/>
      </c>
    </row>
    <row r="68" spans="6:18" x14ac:dyDescent="0.3">
      <c r="F68" t="str">
        <f>IF(B68="","",SUMIFS(DB_All!$M$2:$M$1000,DB_All!$G$2:$G$1000,B68,DB_All!$L$2:$L$1000,"تحت إجراءات التعاقد"))</f>
        <v/>
      </c>
      <c r="G68" t="str">
        <f>IF(B68="","",COUNTIFS(DB_All!$G$2:$G$1000,B68,DB_All!$L$2:$L$1000,"تحت إجراءات التعاقد"))</f>
        <v/>
      </c>
      <c r="H68" t="str">
        <f>IF(B68="","",SUMIFS(DB_All!$N$2:$N$1000,DB_All!$G$2:$G$1000,B68,DB_All!$L$2:$L$1000,"تم التوقيع"))</f>
        <v/>
      </c>
      <c r="I68" t="str">
        <f>IF(B68="","",COUNTIFS(DB_All!$G$2:$G$1000,B68,DB_All!$L$2:$L$1000,"تم التوقيع"))</f>
        <v/>
      </c>
      <c r="J68">
        <f t="shared" si="3"/>
        <v>0</v>
      </c>
      <c r="K68" t="str">
        <f>IF(B68="","",SUMIFS('المطالبات 2026'!$J:$J,'المطالبات 2026'!$E:$E,B68,'المطالبات 2026'!$I:$I,"مطالبة مرفوعة للمالية") + SUMIFS('المطالبات 2025'!$J:$J,'المطالبات 2025'!$E:$E,B68,'المطالبات 2025'!$I:$I,"مطالبة مرفوعة للمالية"))</f>
        <v/>
      </c>
      <c r="L68" t="str">
        <f>IF(B68="","",COUNTIFS('المطالبات 2026'!$E:$E,B68,'المطالبات 2026'!$I:$I,"مطالبة مرفوعة للمالية") + COUNTIFS('المطالبات 2025'!$E:$E,B68,'المطالبات 2025'!$I:$I,"مطالبة مرفوعة للمالية"))</f>
        <v/>
      </c>
      <c r="M68">
        <f t="shared" si="4"/>
        <v>0</v>
      </c>
      <c r="N68" t="str">
        <f>IF(B68="","",SUMIFS(DB_All!$N$2:$N$1000,DB_All!$G$2:$G$1000,B68,DB_All!$L$2:$L$1000,"تحت إجراءات التوريد"))</f>
        <v/>
      </c>
      <c r="O68" t="str">
        <f>IF(B68="","",COUNTIFS(DB_All!$G$2:$G$1000,B68,DB_All!$L$2:$L$1000,"تحت إجراءات التوريد"))</f>
        <v/>
      </c>
      <c r="P68" t="str">
        <f>IF(B68="","",SUMIFS(DB_All!$N$2:$N$1000,DB_All!$G$2:$G$1000,B68,DB_All!$L$2:$L$1000,"بانتظار سندات الاستلام \ شهادة الإنجاز"))</f>
        <v/>
      </c>
      <c r="Q68" t="str">
        <f>IF(B68="","",COUNTIFS(DB_All!$G$2:$G$1000,B68,DB_All!$L$2:$L$1000,"بانتظار سندات الاستلام \ شهادة الإنجاز"))</f>
        <v/>
      </c>
      <c r="R68" t="str">
        <f t="shared" si="5"/>
        <v/>
      </c>
    </row>
    <row r="69" spans="6:18" x14ac:dyDescent="0.3">
      <c r="F69" t="str">
        <f>IF(B69="","",SUMIFS(DB_All!$M$2:$M$1000,DB_All!$G$2:$G$1000,B69,DB_All!$L$2:$L$1000,"تحت إجراءات التعاقد"))</f>
        <v/>
      </c>
      <c r="G69" t="str">
        <f>IF(B69="","",COUNTIFS(DB_All!$G$2:$G$1000,B69,DB_All!$L$2:$L$1000,"تحت إجراءات التعاقد"))</f>
        <v/>
      </c>
      <c r="H69" t="str">
        <f>IF(B69="","",SUMIFS(DB_All!$N$2:$N$1000,DB_All!$G$2:$G$1000,B69,DB_All!$L$2:$L$1000,"تم التوقيع"))</f>
        <v/>
      </c>
      <c r="I69" t="str">
        <f>IF(B69="","",COUNTIFS(DB_All!$G$2:$G$1000,B69,DB_All!$L$2:$L$1000,"تم التوقيع"))</f>
        <v/>
      </c>
      <c r="J69">
        <f t="shared" si="3"/>
        <v>0</v>
      </c>
      <c r="K69" t="str">
        <f>IF(B69="","",SUMIFS('المطالبات 2026'!$J:$J,'المطالبات 2026'!$E:$E,B69,'المطالبات 2026'!$I:$I,"مطالبة مرفوعة للمالية") + SUMIFS('المطالبات 2025'!$J:$J,'المطالبات 2025'!$E:$E,B69,'المطالبات 2025'!$I:$I,"مطالبة مرفوعة للمالية"))</f>
        <v/>
      </c>
      <c r="L69" t="str">
        <f>IF(B69="","",COUNTIFS('المطالبات 2026'!$E:$E,B69,'المطالبات 2026'!$I:$I,"مطالبة مرفوعة للمالية") + COUNTIFS('المطالبات 2025'!$E:$E,B69,'المطالبات 2025'!$I:$I,"مطالبة مرفوعة للمالية"))</f>
        <v/>
      </c>
      <c r="M69">
        <f t="shared" si="4"/>
        <v>0</v>
      </c>
      <c r="N69" t="str">
        <f>IF(B69="","",SUMIFS(DB_All!$N$2:$N$1000,DB_All!$G$2:$G$1000,B69,DB_All!$L$2:$L$1000,"تحت إجراءات التوريد"))</f>
        <v/>
      </c>
      <c r="O69" t="str">
        <f>IF(B69="","",COUNTIFS(DB_All!$G$2:$G$1000,B69,DB_All!$L$2:$L$1000,"تحت إجراءات التوريد"))</f>
        <v/>
      </c>
      <c r="P69" t="str">
        <f>IF(B69="","",SUMIFS(DB_All!$N$2:$N$1000,DB_All!$G$2:$G$1000,B69,DB_All!$L$2:$L$1000,"بانتظار سندات الاستلام \ شهادة الإنجاز"))</f>
        <v/>
      </c>
      <c r="Q69" t="str">
        <f>IF(B69="","",COUNTIFS(DB_All!$G$2:$G$1000,B69,DB_All!$L$2:$L$1000,"بانتظار سندات الاستلام \ شهادة الإنجاز"))</f>
        <v/>
      </c>
      <c r="R69" t="str">
        <f t="shared" si="5"/>
        <v/>
      </c>
    </row>
    <row r="70" spans="6:18" x14ac:dyDescent="0.3">
      <c r="F70" t="str">
        <f>IF(B70="","",SUMIFS(DB_All!$M$2:$M$1000,DB_All!$G$2:$G$1000,B70,DB_All!$L$2:$L$1000,"تحت إجراءات التعاقد"))</f>
        <v/>
      </c>
      <c r="G70" t="str">
        <f>IF(B70="","",COUNTIFS(DB_All!$G$2:$G$1000,B70,DB_All!$L$2:$L$1000,"تحت إجراءات التعاقد"))</f>
        <v/>
      </c>
      <c r="H70" t="str">
        <f>IF(B70="","",SUMIFS(DB_All!$N$2:$N$1000,DB_All!$G$2:$G$1000,B70,DB_All!$L$2:$L$1000,"تم التوقيع"))</f>
        <v/>
      </c>
      <c r="I70" t="str">
        <f>IF(B70="","",COUNTIFS(DB_All!$G$2:$G$1000,B70,DB_All!$L$2:$L$1000,"تم التوقيع"))</f>
        <v/>
      </c>
      <c r="J70">
        <f t="shared" si="3"/>
        <v>0</v>
      </c>
      <c r="K70" t="str">
        <f>IF(B70="","",SUMIFS('المطالبات 2026'!$J:$J,'المطالبات 2026'!$E:$E,B70,'المطالبات 2026'!$I:$I,"مطالبة مرفوعة للمالية") + SUMIFS('المطالبات 2025'!$J:$J,'المطالبات 2025'!$E:$E,B70,'المطالبات 2025'!$I:$I,"مطالبة مرفوعة للمالية"))</f>
        <v/>
      </c>
      <c r="L70" t="str">
        <f>IF(B70="","",COUNTIFS('المطالبات 2026'!$E:$E,B70,'المطالبات 2026'!$I:$I,"مطالبة مرفوعة للمالية") + COUNTIFS('المطالبات 2025'!$E:$E,B70,'المطالبات 2025'!$I:$I,"مطالبة مرفوعة للمالية"))</f>
        <v/>
      </c>
      <c r="M70">
        <f t="shared" si="4"/>
        <v>0</v>
      </c>
      <c r="N70" t="str">
        <f>IF(B70="","",SUMIFS(DB_All!$N$2:$N$1000,DB_All!$G$2:$G$1000,B70,DB_All!$L$2:$L$1000,"تحت إجراءات التوريد"))</f>
        <v/>
      </c>
      <c r="O70" t="str">
        <f>IF(B70="","",COUNTIFS(DB_All!$G$2:$G$1000,B70,DB_All!$L$2:$L$1000,"تحت إجراءات التوريد"))</f>
        <v/>
      </c>
      <c r="P70" t="str">
        <f>IF(B70="","",SUMIFS(DB_All!$N$2:$N$1000,DB_All!$G$2:$G$1000,B70,DB_All!$L$2:$L$1000,"بانتظار سندات الاستلام \ شهادة الإنجاز"))</f>
        <v/>
      </c>
      <c r="Q70" t="str">
        <f>IF(B70="","",COUNTIFS(DB_All!$G$2:$G$1000,B70,DB_All!$L$2:$L$1000,"بانتظار سندات الاستلام \ شهادة الإنجاز"))</f>
        <v/>
      </c>
      <c r="R70" t="str">
        <f t="shared" si="5"/>
        <v/>
      </c>
    </row>
    <row r="71" spans="6:18" x14ac:dyDescent="0.3">
      <c r="F71" t="str">
        <f>IF(B71="","",SUMIFS(DB_All!$M$2:$M$1000,DB_All!$G$2:$G$1000,B71,DB_All!$L$2:$L$1000,"تحت إجراءات التعاقد"))</f>
        <v/>
      </c>
      <c r="G71" t="str">
        <f>IF(B71="","",COUNTIFS(DB_All!$G$2:$G$1000,B71,DB_All!$L$2:$L$1000,"تحت إجراءات التعاقد"))</f>
        <v/>
      </c>
      <c r="H71" t="str">
        <f>IF(B71="","",SUMIFS(DB_All!$N$2:$N$1000,DB_All!$G$2:$G$1000,B71,DB_All!$L$2:$L$1000,"تم التوقيع"))</f>
        <v/>
      </c>
      <c r="I71" t="str">
        <f>IF(B71="","",COUNTIFS(DB_All!$G$2:$G$1000,B71,DB_All!$L$2:$L$1000,"تم التوقيع"))</f>
        <v/>
      </c>
      <c r="J71">
        <f t="shared" si="3"/>
        <v>0</v>
      </c>
      <c r="K71" t="str">
        <f>IF(B71="","",SUMIFS('المطالبات 2026'!$J:$J,'المطالبات 2026'!$E:$E,B71,'المطالبات 2026'!$I:$I,"مطالبة مرفوعة للمالية") + SUMIFS('المطالبات 2025'!$J:$J,'المطالبات 2025'!$E:$E,B71,'المطالبات 2025'!$I:$I,"مطالبة مرفوعة للمالية"))</f>
        <v/>
      </c>
      <c r="L71" t="str">
        <f>IF(B71="","",COUNTIFS('المطالبات 2026'!$E:$E,B71,'المطالبات 2026'!$I:$I,"مطالبة مرفوعة للمالية") + COUNTIFS('المطالبات 2025'!$E:$E,B71,'المطالبات 2025'!$I:$I,"مطالبة مرفوعة للمالية"))</f>
        <v/>
      </c>
      <c r="M71">
        <f t="shared" si="4"/>
        <v>0</v>
      </c>
      <c r="N71" t="str">
        <f>IF(B71="","",SUMIFS(DB_All!$N$2:$N$1000,DB_All!$G$2:$G$1000,B71,DB_All!$L$2:$L$1000,"تحت إجراءات التوريد"))</f>
        <v/>
      </c>
      <c r="O71" t="str">
        <f>IF(B71="","",COUNTIFS(DB_All!$G$2:$G$1000,B71,DB_All!$L$2:$L$1000,"تحت إجراءات التوريد"))</f>
        <v/>
      </c>
      <c r="P71" t="str">
        <f>IF(B71="","",SUMIFS(DB_All!$N$2:$N$1000,DB_All!$G$2:$G$1000,B71,DB_All!$L$2:$L$1000,"بانتظار سندات الاستلام \ شهادة الإنجاز"))</f>
        <v/>
      </c>
      <c r="Q71" t="str">
        <f>IF(B71="","",COUNTIFS(DB_All!$G$2:$G$1000,B71,DB_All!$L$2:$L$1000,"بانتظار سندات الاستلام \ شهادة الإنجاز"))</f>
        <v/>
      </c>
      <c r="R71" t="str">
        <f t="shared" si="5"/>
        <v/>
      </c>
    </row>
    <row r="72" spans="6:18" x14ac:dyDescent="0.3">
      <c r="F72" t="str">
        <f>IF(B72="","",SUMIFS(DB_All!$M$2:$M$1000,DB_All!$G$2:$G$1000,B72,DB_All!$L$2:$L$1000,"تحت إجراءات التعاقد"))</f>
        <v/>
      </c>
      <c r="G72" t="str">
        <f>IF(B72="","",COUNTIFS(DB_All!$G$2:$G$1000,B72,DB_All!$L$2:$L$1000,"تحت إجراءات التعاقد"))</f>
        <v/>
      </c>
      <c r="H72" t="str">
        <f>IF(B72="","",SUMIFS(DB_All!$N$2:$N$1000,DB_All!$G$2:$G$1000,B72,DB_All!$L$2:$L$1000,"تم التوقيع"))</f>
        <v/>
      </c>
      <c r="I72" t="str">
        <f>IF(B72="","",COUNTIFS(DB_All!$G$2:$G$1000,B72,DB_All!$L$2:$L$1000,"تم التوقيع"))</f>
        <v/>
      </c>
      <c r="J72">
        <f t="shared" si="3"/>
        <v>0</v>
      </c>
      <c r="K72" t="str">
        <f>IF(B72="","",SUMIFS('المطالبات 2026'!$J:$J,'المطالبات 2026'!$E:$E,B72,'المطالبات 2026'!$I:$I,"مطالبة مرفوعة للمالية") + SUMIFS('المطالبات 2025'!$J:$J,'المطالبات 2025'!$E:$E,B72,'المطالبات 2025'!$I:$I,"مطالبة مرفوعة للمالية"))</f>
        <v/>
      </c>
      <c r="L72" t="str">
        <f>IF(B72="","",COUNTIFS('المطالبات 2026'!$E:$E,B72,'المطالبات 2026'!$I:$I,"مطالبة مرفوعة للمالية") + COUNTIFS('المطالبات 2025'!$E:$E,B72,'المطالبات 2025'!$I:$I,"مطالبة مرفوعة للمالية"))</f>
        <v/>
      </c>
      <c r="M72">
        <f t="shared" si="4"/>
        <v>0</v>
      </c>
      <c r="N72" t="str">
        <f>IF(B72="","",SUMIFS(DB_All!$N$2:$N$1000,DB_All!$G$2:$G$1000,B72,DB_All!$L$2:$L$1000,"تحت إجراءات التوريد"))</f>
        <v/>
      </c>
      <c r="O72" t="str">
        <f>IF(B72="","",COUNTIFS(DB_All!$G$2:$G$1000,B72,DB_All!$L$2:$L$1000,"تحت إجراءات التوريد"))</f>
        <v/>
      </c>
      <c r="P72" t="str">
        <f>IF(B72="","",SUMIFS(DB_All!$N$2:$N$1000,DB_All!$G$2:$G$1000,B72,DB_All!$L$2:$L$1000,"بانتظار سندات الاستلام \ شهادة الإنجاز"))</f>
        <v/>
      </c>
      <c r="Q72" t="str">
        <f>IF(B72="","",COUNTIFS(DB_All!$G$2:$G$1000,B72,DB_All!$L$2:$L$1000,"بانتظار سندات الاستلام \ شهادة الإنجاز"))</f>
        <v/>
      </c>
      <c r="R72" t="str">
        <f t="shared" si="5"/>
        <v/>
      </c>
    </row>
    <row r="73" spans="6:18" x14ac:dyDescent="0.3">
      <c r="F73" t="str">
        <f>IF(B73="","",SUMIFS(DB_All!$M$2:$M$1000,DB_All!$G$2:$G$1000,B73,DB_All!$L$2:$L$1000,"تحت إجراءات التعاقد"))</f>
        <v/>
      </c>
      <c r="G73" t="str">
        <f>IF(B73="","",COUNTIFS(DB_All!$G$2:$G$1000,B73,DB_All!$L$2:$L$1000,"تحت إجراءات التعاقد"))</f>
        <v/>
      </c>
      <c r="H73" t="str">
        <f>IF(B73="","",SUMIFS(DB_All!$N$2:$N$1000,DB_All!$G$2:$G$1000,B73,DB_All!$L$2:$L$1000,"تم التوقيع"))</f>
        <v/>
      </c>
      <c r="I73" t="str">
        <f>IF(B73="","",COUNTIFS(DB_All!$G$2:$G$1000,B73,DB_All!$L$2:$L$1000,"تم التوقيع"))</f>
        <v/>
      </c>
      <c r="J73">
        <f t="shared" si="3"/>
        <v>0</v>
      </c>
      <c r="K73" t="str">
        <f>IF(B73="","",SUMIFS('المطالبات 2026'!$J:$J,'المطالبات 2026'!$E:$E,B73,'المطالبات 2026'!$I:$I,"مطالبة مرفوعة للمالية") + SUMIFS('المطالبات 2025'!$J:$J,'المطالبات 2025'!$E:$E,B73,'المطالبات 2025'!$I:$I,"مطالبة مرفوعة للمالية"))</f>
        <v/>
      </c>
      <c r="L73" t="str">
        <f>IF(B73="","",COUNTIFS('المطالبات 2026'!$E:$E,B73,'المطالبات 2026'!$I:$I,"مطالبة مرفوعة للمالية") + COUNTIFS('المطالبات 2025'!$E:$E,B73,'المطالبات 2025'!$I:$I,"مطالبة مرفوعة للمالية"))</f>
        <v/>
      </c>
      <c r="M73">
        <f t="shared" si="4"/>
        <v>0</v>
      </c>
      <c r="N73" t="str">
        <f>IF(B73="","",SUMIFS(DB_All!$N$2:$N$1000,DB_All!$G$2:$G$1000,B73,DB_All!$L$2:$L$1000,"تحت إجراءات التوريد"))</f>
        <v/>
      </c>
      <c r="O73" t="str">
        <f>IF(B73="","",COUNTIFS(DB_All!$G$2:$G$1000,B73,DB_All!$L$2:$L$1000,"تحت إجراءات التوريد"))</f>
        <v/>
      </c>
      <c r="P73" t="str">
        <f>IF(B73="","",SUMIFS(DB_All!$N$2:$N$1000,DB_All!$G$2:$G$1000,B73,DB_All!$L$2:$L$1000,"بانتظار سندات الاستلام \ شهادة الإنجاز"))</f>
        <v/>
      </c>
      <c r="Q73" t="str">
        <f>IF(B73="","",COUNTIFS(DB_All!$G$2:$G$1000,B73,DB_All!$L$2:$L$1000,"بانتظار سندات الاستلام \ شهادة الإنجاز"))</f>
        <v/>
      </c>
      <c r="R73" t="str">
        <f t="shared" si="5"/>
        <v/>
      </c>
    </row>
    <row r="74" spans="6:18" x14ac:dyDescent="0.3">
      <c r="F74" t="str">
        <f>IF(B74="","",SUMIFS(DB_All!$M$2:$M$1000,DB_All!$G$2:$G$1000,B74,DB_All!$L$2:$L$1000,"تحت إجراءات التعاقد"))</f>
        <v/>
      </c>
      <c r="G74" t="str">
        <f>IF(B74="","",COUNTIFS(DB_All!$G$2:$G$1000,B74,DB_All!$L$2:$L$1000,"تحت إجراءات التعاقد"))</f>
        <v/>
      </c>
      <c r="H74" t="str">
        <f>IF(B74="","",SUMIFS(DB_All!$N$2:$N$1000,DB_All!$G$2:$G$1000,B74,DB_All!$L$2:$L$1000,"تم التوقيع"))</f>
        <v/>
      </c>
      <c r="I74" t="str">
        <f>IF(B74="","",COUNTIFS(DB_All!$G$2:$G$1000,B74,DB_All!$L$2:$L$1000,"تم التوقيع"))</f>
        <v/>
      </c>
      <c r="J74">
        <f t="shared" si="3"/>
        <v>0</v>
      </c>
      <c r="K74" t="str">
        <f>IF(B74="","",SUMIFS('المطالبات 2026'!$J:$J,'المطالبات 2026'!$E:$E,B74,'المطالبات 2026'!$I:$I,"مطالبة مرفوعة للمالية") + SUMIFS('المطالبات 2025'!$J:$J,'المطالبات 2025'!$E:$E,B74,'المطالبات 2025'!$I:$I,"مطالبة مرفوعة للمالية"))</f>
        <v/>
      </c>
      <c r="L74" t="str">
        <f>IF(B74="","",COUNTIFS('المطالبات 2026'!$E:$E,B74,'المطالبات 2026'!$I:$I,"مطالبة مرفوعة للمالية") + COUNTIFS('المطالبات 2025'!$E:$E,B74,'المطالبات 2025'!$I:$I,"مطالبة مرفوعة للمالية"))</f>
        <v/>
      </c>
      <c r="M74">
        <f t="shared" si="4"/>
        <v>0</v>
      </c>
      <c r="N74" t="str">
        <f>IF(B74="","",SUMIFS(DB_All!$N$2:$N$1000,DB_All!$G$2:$G$1000,B74,DB_All!$L$2:$L$1000,"تحت إجراءات التوريد"))</f>
        <v/>
      </c>
      <c r="O74" t="str">
        <f>IF(B74="","",COUNTIFS(DB_All!$G$2:$G$1000,B74,DB_All!$L$2:$L$1000,"تحت إجراءات التوريد"))</f>
        <v/>
      </c>
      <c r="P74" t="str">
        <f>IF(B74="","",SUMIFS(DB_All!$N$2:$N$1000,DB_All!$G$2:$G$1000,B74,DB_All!$L$2:$L$1000,"بانتظار سندات الاستلام \ شهادة الإنجاز"))</f>
        <v/>
      </c>
      <c r="Q74" t="str">
        <f>IF(B74="","",COUNTIFS(DB_All!$G$2:$G$1000,B74,DB_All!$L$2:$L$1000,"بانتظار سندات الاستلام \ شهادة الإنجاز"))</f>
        <v/>
      </c>
      <c r="R74" t="str">
        <f t="shared" si="5"/>
        <v/>
      </c>
    </row>
    <row r="75" spans="6:18" x14ac:dyDescent="0.3">
      <c r="F75" t="str">
        <f>IF(B75="","",SUMIFS(DB_All!$M$2:$M$1000,DB_All!$G$2:$G$1000,B75,DB_All!$L$2:$L$1000,"تحت إجراءات التعاقد"))</f>
        <v/>
      </c>
      <c r="G75" t="str">
        <f>IF(B75="","",COUNTIFS(DB_All!$G$2:$G$1000,B75,DB_All!$L$2:$L$1000,"تحت إجراءات التعاقد"))</f>
        <v/>
      </c>
      <c r="H75" t="str">
        <f>IF(B75="","",SUMIFS(DB_All!$N$2:$N$1000,DB_All!$G$2:$G$1000,B75,DB_All!$L$2:$L$1000,"تم التوقيع"))</f>
        <v/>
      </c>
      <c r="I75" t="str">
        <f>IF(B75="","",COUNTIFS(DB_All!$G$2:$G$1000,B75,DB_All!$L$2:$L$1000,"تم التوقيع"))</f>
        <v/>
      </c>
      <c r="J75">
        <f t="shared" si="3"/>
        <v>0</v>
      </c>
      <c r="K75" t="str">
        <f>IF(B75="","",SUMIFS('المطالبات 2026'!$J:$J,'المطالبات 2026'!$E:$E,B75,'المطالبات 2026'!$I:$I,"مطالبة مرفوعة للمالية") + SUMIFS('المطالبات 2025'!$J:$J,'المطالبات 2025'!$E:$E,B75,'المطالبات 2025'!$I:$I,"مطالبة مرفوعة للمالية"))</f>
        <v/>
      </c>
      <c r="L75" t="str">
        <f>IF(B75="","",COUNTIFS('المطالبات 2026'!$E:$E,B75,'المطالبات 2026'!$I:$I,"مطالبة مرفوعة للمالية") + COUNTIFS('المطالبات 2025'!$E:$E,B75,'المطالبات 2025'!$I:$I,"مطالبة مرفوعة للمالية"))</f>
        <v/>
      </c>
      <c r="M75">
        <f t="shared" si="4"/>
        <v>0</v>
      </c>
      <c r="N75" t="str">
        <f>IF(B75="","",SUMIFS(DB_All!$N$2:$N$1000,DB_All!$G$2:$G$1000,B75,DB_All!$L$2:$L$1000,"تحت إجراءات التوريد"))</f>
        <v/>
      </c>
      <c r="O75" t="str">
        <f>IF(B75="","",COUNTIFS(DB_All!$G$2:$G$1000,B75,DB_All!$L$2:$L$1000,"تحت إجراءات التوريد"))</f>
        <v/>
      </c>
      <c r="P75" t="str">
        <f>IF(B75="","",SUMIFS(DB_All!$N$2:$N$1000,DB_All!$G$2:$G$1000,B75,DB_All!$L$2:$L$1000,"بانتظار سندات الاستلام \ شهادة الإنجاز"))</f>
        <v/>
      </c>
      <c r="Q75" t="str">
        <f>IF(B75="","",COUNTIFS(DB_All!$G$2:$G$1000,B75,DB_All!$L$2:$L$1000,"بانتظار سندات الاستلام \ شهادة الإنجاز"))</f>
        <v/>
      </c>
      <c r="R75" t="str">
        <f t="shared" si="5"/>
        <v/>
      </c>
    </row>
    <row r="76" spans="6:18" x14ac:dyDescent="0.3">
      <c r="F76" t="str">
        <f>IF(B76="","",SUMIFS(DB_All!$M$2:$M$1000,DB_All!$G$2:$G$1000,B76,DB_All!$L$2:$L$1000,"تحت إجراءات التعاقد"))</f>
        <v/>
      </c>
      <c r="G76" t="str">
        <f>IF(B76="","",COUNTIFS(DB_All!$G$2:$G$1000,B76,DB_All!$L$2:$L$1000,"تحت إجراءات التعاقد"))</f>
        <v/>
      </c>
      <c r="H76" t="str">
        <f>IF(B76="","",SUMIFS(DB_All!$N$2:$N$1000,DB_All!$G$2:$G$1000,B76,DB_All!$L$2:$L$1000,"تم التوقيع"))</f>
        <v/>
      </c>
      <c r="I76" t="str">
        <f>IF(B76="","",COUNTIFS(DB_All!$G$2:$G$1000,B76,DB_All!$L$2:$L$1000,"تم التوقيع"))</f>
        <v/>
      </c>
      <c r="J76">
        <f t="shared" si="3"/>
        <v>0</v>
      </c>
      <c r="K76" t="str">
        <f>IF(B76="","",SUMIFS('المطالبات 2026'!$J:$J,'المطالبات 2026'!$E:$E,B76,'المطالبات 2026'!$I:$I,"مطالبة مرفوعة للمالية") + SUMIFS('المطالبات 2025'!$J:$J,'المطالبات 2025'!$E:$E,B76,'المطالبات 2025'!$I:$I,"مطالبة مرفوعة للمالية"))</f>
        <v/>
      </c>
      <c r="L76" t="str">
        <f>IF(B76="","",COUNTIFS('المطالبات 2026'!$E:$E,B76,'المطالبات 2026'!$I:$I,"مطالبة مرفوعة للمالية") + COUNTIFS('المطالبات 2025'!$E:$E,B76,'المطالبات 2025'!$I:$I,"مطالبة مرفوعة للمالية"))</f>
        <v/>
      </c>
      <c r="M76">
        <f t="shared" si="4"/>
        <v>0</v>
      </c>
      <c r="N76" t="str">
        <f>IF(B76="","",SUMIFS(DB_All!$N$2:$N$1000,DB_All!$G$2:$G$1000,B76,DB_All!$L$2:$L$1000,"تحت إجراءات التوريد"))</f>
        <v/>
      </c>
      <c r="O76" t="str">
        <f>IF(B76="","",COUNTIFS(DB_All!$G$2:$G$1000,B76,DB_All!$L$2:$L$1000,"تحت إجراءات التوريد"))</f>
        <v/>
      </c>
      <c r="P76" t="str">
        <f>IF(B76="","",SUMIFS(DB_All!$N$2:$N$1000,DB_All!$G$2:$G$1000,B76,DB_All!$L$2:$L$1000,"بانتظار سندات الاستلام \ شهادة الإنجاز"))</f>
        <v/>
      </c>
      <c r="Q76" t="str">
        <f>IF(B76="","",COUNTIFS(DB_All!$G$2:$G$1000,B76,DB_All!$L$2:$L$1000,"بانتظار سندات الاستلام \ شهادة الإنجاز"))</f>
        <v/>
      </c>
      <c r="R76" t="str">
        <f t="shared" si="5"/>
        <v/>
      </c>
    </row>
    <row r="77" spans="6:18" x14ac:dyDescent="0.3">
      <c r="F77" t="str">
        <f>IF(B77="","",SUMIFS(DB_All!$M$2:$M$1000,DB_All!$G$2:$G$1000,B77,DB_All!$L$2:$L$1000,"تحت إجراءات التعاقد"))</f>
        <v/>
      </c>
      <c r="G77" t="str">
        <f>IF(B77="","",COUNTIFS(DB_All!$G$2:$G$1000,B77,DB_All!$L$2:$L$1000,"تحت إجراءات التعاقد"))</f>
        <v/>
      </c>
      <c r="H77" t="str">
        <f>IF(B77="","",SUMIFS(DB_All!$N$2:$N$1000,DB_All!$G$2:$G$1000,B77,DB_All!$L$2:$L$1000,"تم التوقيع"))</f>
        <v/>
      </c>
      <c r="I77" t="str">
        <f>IF(B77="","",COUNTIFS(DB_All!$G$2:$G$1000,B77,DB_All!$L$2:$L$1000,"تم التوقيع"))</f>
        <v/>
      </c>
      <c r="J77">
        <f t="shared" si="3"/>
        <v>0</v>
      </c>
      <c r="K77" t="str">
        <f>IF(B77="","",SUMIFS('المطالبات 2026'!$J:$J,'المطالبات 2026'!$E:$E,B77,'المطالبات 2026'!$I:$I,"مطالبة مرفوعة للمالية") + SUMIFS('المطالبات 2025'!$J:$J,'المطالبات 2025'!$E:$E,B77,'المطالبات 2025'!$I:$I,"مطالبة مرفوعة للمالية"))</f>
        <v/>
      </c>
      <c r="L77" t="str">
        <f>IF(B77="","",COUNTIFS('المطالبات 2026'!$E:$E,B77,'المطالبات 2026'!$I:$I,"مطالبة مرفوعة للمالية") + COUNTIFS('المطالبات 2025'!$E:$E,B77,'المطالبات 2025'!$I:$I,"مطالبة مرفوعة للمالية"))</f>
        <v/>
      </c>
      <c r="M77">
        <f t="shared" si="4"/>
        <v>0</v>
      </c>
      <c r="N77" t="str">
        <f>IF(B77="","",SUMIFS(DB_All!$N$2:$N$1000,DB_All!$G$2:$G$1000,B77,DB_All!$L$2:$L$1000,"تحت إجراءات التوريد"))</f>
        <v/>
      </c>
      <c r="O77" t="str">
        <f>IF(B77="","",COUNTIFS(DB_All!$G$2:$G$1000,B77,DB_All!$L$2:$L$1000,"تحت إجراءات التوريد"))</f>
        <v/>
      </c>
      <c r="P77" t="str">
        <f>IF(B77="","",SUMIFS(DB_All!$N$2:$N$1000,DB_All!$G$2:$G$1000,B77,DB_All!$L$2:$L$1000,"بانتظار سندات الاستلام \ شهادة الإنجاز"))</f>
        <v/>
      </c>
      <c r="Q77" t="str">
        <f>IF(B77="","",COUNTIFS(DB_All!$G$2:$G$1000,B77,DB_All!$L$2:$L$1000,"بانتظار سندات الاستلام \ شهادة الإنجاز"))</f>
        <v/>
      </c>
      <c r="R77" t="str">
        <f t="shared" si="5"/>
        <v/>
      </c>
    </row>
    <row r="78" spans="6:18" x14ac:dyDescent="0.3">
      <c r="F78" t="str">
        <f>IF(B78="","",SUMIFS(DB_All!$M$2:$M$1000,DB_All!$G$2:$G$1000,B78,DB_All!$L$2:$L$1000,"تحت إجراءات التعاقد"))</f>
        <v/>
      </c>
      <c r="G78" t="str">
        <f>IF(B78="","",COUNTIFS(DB_All!$G$2:$G$1000,B78,DB_All!$L$2:$L$1000,"تحت إجراءات التعاقد"))</f>
        <v/>
      </c>
      <c r="H78" t="str">
        <f>IF(B78="","",SUMIFS(DB_All!$N$2:$N$1000,DB_All!$G$2:$G$1000,B78,DB_All!$L$2:$L$1000,"تم التوقيع"))</f>
        <v/>
      </c>
      <c r="I78" t="str">
        <f>IF(B78="","",COUNTIFS(DB_All!$G$2:$G$1000,B78,DB_All!$L$2:$L$1000,"تم التوقيع"))</f>
        <v/>
      </c>
      <c r="J78">
        <f t="shared" si="3"/>
        <v>0</v>
      </c>
      <c r="K78" t="str">
        <f>IF(B78="","",SUMIFS('المطالبات 2026'!$J:$J,'المطالبات 2026'!$E:$E,B78,'المطالبات 2026'!$I:$I,"مطالبة مرفوعة للمالية") + SUMIFS('المطالبات 2025'!$J:$J,'المطالبات 2025'!$E:$E,B78,'المطالبات 2025'!$I:$I,"مطالبة مرفوعة للمالية"))</f>
        <v/>
      </c>
      <c r="L78" t="str">
        <f>IF(B78="","",COUNTIFS('المطالبات 2026'!$E:$E,B78,'المطالبات 2026'!$I:$I,"مطالبة مرفوعة للمالية") + COUNTIFS('المطالبات 2025'!$E:$E,B78,'المطالبات 2025'!$I:$I,"مطالبة مرفوعة للمالية"))</f>
        <v/>
      </c>
      <c r="M78">
        <f t="shared" si="4"/>
        <v>0</v>
      </c>
      <c r="N78" t="str">
        <f>IF(B78="","",SUMIFS(DB_All!$N$2:$N$1000,DB_All!$G$2:$G$1000,B78,DB_All!$L$2:$L$1000,"تحت إجراءات التوريد"))</f>
        <v/>
      </c>
      <c r="O78" t="str">
        <f>IF(B78="","",COUNTIFS(DB_All!$G$2:$G$1000,B78,DB_All!$L$2:$L$1000,"تحت إجراءات التوريد"))</f>
        <v/>
      </c>
      <c r="P78" t="str">
        <f>IF(B78="","",SUMIFS(DB_All!$N$2:$N$1000,DB_All!$G$2:$G$1000,B78,DB_All!$L$2:$L$1000,"بانتظار سندات الاستلام \ شهادة الإنجاز"))</f>
        <v/>
      </c>
      <c r="Q78" t="str">
        <f>IF(B78="","",COUNTIFS(DB_All!$G$2:$G$1000,B78,DB_All!$L$2:$L$1000,"بانتظار سندات الاستلام \ شهادة الإنجاز"))</f>
        <v/>
      </c>
      <c r="R78" t="str">
        <f t="shared" si="5"/>
        <v/>
      </c>
    </row>
    <row r="79" spans="6:18" x14ac:dyDescent="0.3">
      <c r="F79" t="str">
        <f>IF(B79="","",SUMIFS(DB_All!$M$2:$M$1000,DB_All!$G$2:$G$1000,B79,DB_All!$L$2:$L$1000,"تحت إجراءات التعاقد"))</f>
        <v/>
      </c>
      <c r="G79" t="str">
        <f>IF(B79="","",COUNTIFS(DB_All!$G$2:$G$1000,B79,DB_All!$L$2:$L$1000,"تحت إجراءات التعاقد"))</f>
        <v/>
      </c>
      <c r="H79" t="str">
        <f>IF(B79="","",SUMIFS(DB_All!$N$2:$N$1000,DB_All!$G$2:$G$1000,B79,DB_All!$L$2:$L$1000,"تم التوقيع"))</f>
        <v/>
      </c>
      <c r="I79" t="str">
        <f>IF(B79="","",COUNTIFS(DB_All!$G$2:$G$1000,B79,DB_All!$L$2:$L$1000,"تم التوقيع"))</f>
        <v/>
      </c>
      <c r="J79">
        <f t="shared" si="3"/>
        <v>0</v>
      </c>
      <c r="K79" t="str">
        <f>IF(B79="","",SUMIFS('المطالبات 2026'!$J:$J,'المطالبات 2026'!$E:$E,B79,'المطالبات 2026'!$I:$I,"مطالبة مرفوعة للمالية") + SUMIFS('المطالبات 2025'!$J:$J,'المطالبات 2025'!$E:$E,B79,'المطالبات 2025'!$I:$I,"مطالبة مرفوعة للمالية"))</f>
        <v/>
      </c>
      <c r="L79" t="str">
        <f>IF(B79="","",COUNTIFS('المطالبات 2026'!$E:$E,B79,'المطالبات 2026'!$I:$I,"مطالبة مرفوعة للمالية") + COUNTIFS('المطالبات 2025'!$E:$E,B79,'المطالبات 2025'!$I:$I,"مطالبة مرفوعة للمالية"))</f>
        <v/>
      </c>
      <c r="M79">
        <f t="shared" si="4"/>
        <v>0</v>
      </c>
      <c r="N79" t="str">
        <f>IF(B79="","",SUMIFS(DB_All!$N$2:$N$1000,DB_All!$G$2:$G$1000,B79,DB_All!$L$2:$L$1000,"تحت إجراءات التوريد"))</f>
        <v/>
      </c>
      <c r="O79" t="str">
        <f>IF(B79="","",COUNTIFS(DB_All!$G$2:$G$1000,B79,DB_All!$L$2:$L$1000,"تحت إجراءات التوريد"))</f>
        <v/>
      </c>
      <c r="P79" t="str">
        <f>IF(B79="","",SUMIFS(DB_All!$N$2:$N$1000,DB_All!$G$2:$G$1000,B79,DB_All!$L$2:$L$1000,"بانتظار سندات الاستلام \ شهادة الإنجاز"))</f>
        <v/>
      </c>
      <c r="Q79" t="str">
        <f>IF(B79="","",COUNTIFS(DB_All!$G$2:$G$1000,B79,DB_All!$L$2:$L$1000,"بانتظار سندات الاستلام \ شهادة الإنجاز"))</f>
        <v/>
      </c>
      <c r="R79" t="str">
        <f t="shared" si="5"/>
        <v/>
      </c>
    </row>
    <row r="80" spans="6:18" x14ac:dyDescent="0.3">
      <c r="F80" t="str">
        <f>IF(B80="","",SUMIFS(DB_All!$M$2:$M$1000,DB_All!$G$2:$G$1000,B80,DB_All!$L$2:$L$1000,"تحت إجراءات التعاقد"))</f>
        <v/>
      </c>
      <c r="G80" t="str">
        <f>IF(B80="","",COUNTIFS(DB_All!$G$2:$G$1000,B80,DB_All!$L$2:$L$1000,"تحت إجراءات التعاقد"))</f>
        <v/>
      </c>
      <c r="H80" t="str">
        <f>IF(B80="","",SUMIFS(DB_All!$N$2:$N$1000,DB_All!$G$2:$G$1000,B80,DB_All!$L$2:$L$1000,"تم التوقيع"))</f>
        <v/>
      </c>
      <c r="I80" t="str">
        <f>IF(B80="","",COUNTIFS(DB_All!$G$2:$G$1000,B80,DB_All!$L$2:$L$1000,"تم التوقيع"))</f>
        <v/>
      </c>
      <c r="J80">
        <f t="shared" si="3"/>
        <v>0</v>
      </c>
      <c r="K80" t="str">
        <f>IF(B80="","",SUMIFS('المطالبات 2026'!$J:$J,'المطالبات 2026'!$E:$E,B80,'المطالبات 2026'!$I:$I,"مطالبة مرفوعة للمالية") + SUMIFS('المطالبات 2025'!$J:$J,'المطالبات 2025'!$E:$E,B80,'المطالبات 2025'!$I:$I,"مطالبة مرفوعة للمالية"))</f>
        <v/>
      </c>
      <c r="L80" t="str">
        <f>IF(B80="","",COUNTIFS('المطالبات 2026'!$E:$E,B80,'المطالبات 2026'!$I:$I,"مطالبة مرفوعة للمالية") + COUNTIFS('المطالبات 2025'!$E:$E,B80,'المطالبات 2025'!$I:$I,"مطالبة مرفوعة للمالية"))</f>
        <v/>
      </c>
      <c r="M80">
        <f t="shared" si="4"/>
        <v>0</v>
      </c>
      <c r="N80" t="str">
        <f>IF(B80="","",SUMIFS(DB_All!$N$2:$N$1000,DB_All!$G$2:$G$1000,B80,DB_All!$L$2:$L$1000,"تحت إجراءات التوريد"))</f>
        <v/>
      </c>
      <c r="O80" t="str">
        <f>IF(B80="","",COUNTIFS(DB_All!$G$2:$G$1000,B80,DB_All!$L$2:$L$1000,"تحت إجراءات التوريد"))</f>
        <v/>
      </c>
      <c r="P80" t="str">
        <f>IF(B80="","",SUMIFS(DB_All!$N$2:$N$1000,DB_All!$G$2:$G$1000,B80,DB_All!$L$2:$L$1000,"بانتظار سندات الاستلام \ شهادة الإنجاز"))</f>
        <v/>
      </c>
      <c r="Q80" t="str">
        <f>IF(B80="","",COUNTIFS(DB_All!$G$2:$G$1000,B80,DB_All!$L$2:$L$1000,"بانتظار سندات الاستلام \ شهادة الإنجاز"))</f>
        <v/>
      </c>
      <c r="R80" t="str">
        <f t="shared" si="5"/>
        <v/>
      </c>
    </row>
    <row r="81" spans="6:18" x14ac:dyDescent="0.3">
      <c r="F81" t="str">
        <f>IF(B81="","",SUMIFS(DB_All!$M$2:$M$1000,DB_All!$G$2:$G$1000,B81,DB_All!$L$2:$L$1000,"تحت إجراءات التعاقد"))</f>
        <v/>
      </c>
      <c r="G81" t="str">
        <f>IF(B81="","",COUNTIFS(DB_All!$G$2:$G$1000,B81,DB_All!$L$2:$L$1000,"تحت إجراءات التعاقد"))</f>
        <v/>
      </c>
      <c r="H81" t="str">
        <f>IF(B81="","",SUMIFS(DB_All!$N$2:$N$1000,DB_All!$G$2:$G$1000,B81,DB_All!$L$2:$L$1000,"تم التوقيع"))</f>
        <v/>
      </c>
      <c r="I81" t="str">
        <f>IF(B81="","",COUNTIFS(DB_All!$G$2:$G$1000,B81,DB_All!$L$2:$L$1000,"تم التوقيع"))</f>
        <v/>
      </c>
      <c r="J81">
        <f t="shared" si="3"/>
        <v>0</v>
      </c>
      <c r="K81" t="str">
        <f>IF(B81="","",SUMIFS('المطالبات 2026'!$J:$J,'المطالبات 2026'!$E:$E,B81,'المطالبات 2026'!$I:$I,"مطالبة مرفوعة للمالية") + SUMIFS('المطالبات 2025'!$J:$J,'المطالبات 2025'!$E:$E,B81,'المطالبات 2025'!$I:$I,"مطالبة مرفوعة للمالية"))</f>
        <v/>
      </c>
      <c r="L81" t="str">
        <f>IF(B81="","",COUNTIFS('المطالبات 2026'!$E:$E,B81,'المطالبات 2026'!$I:$I,"مطالبة مرفوعة للمالية") + COUNTIFS('المطالبات 2025'!$E:$E,B81,'المطالبات 2025'!$I:$I,"مطالبة مرفوعة للمالية"))</f>
        <v/>
      </c>
      <c r="M81">
        <f t="shared" si="4"/>
        <v>0</v>
      </c>
      <c r="N81" t="str">
        <f>IF(B81="","",SUMIFS(DB_All!$N$2:$N$1000,DB_All!$G$2:$G$1000,B81,DB_All!$L$2:$L$1000,"تحت إجراءات التوريد"))</f>
        <v/>
      </c>
      <c r="O81" t="str">
        <f>IF(B81="","",COUNTIFS(DB_All!$G$2:$G$1000,B81,DB_All!$L$2:$L$1000,"تحت إجراءات التوريد"))</f>
        <v/>
      </c>
      <c r="P81" t="str">
        <f>IF(B81="","",SUMIFS(DB_All!$N$2:$N$1000,DB_All!$G$2:$G$1000,B81,DB_All!$L$2:$L$1000,"بانتظار سندات الاستلام \ شهادة الإنجاز"))</f>
        <v/>
      </c>
      <c r="Q81" t="str">
        <f>IF(B81="","",COUNTIFS(DB_All!$G$2:$G$1000,B81,DB_All!$L$2:$L$1000,"بانتظار سندات الاستلام \ شهادة الإنجاز"))</f>
        <v/>
      </c>
      <c r="R81" t="str">
        <f t="shared" si="5"/>
        <v/>
      </c>
    </row>
    <row r="82" spans="6:18" x14ac:dyDescent="0.3">
      <c r="F82" t="str">
        <f>IF(B82="","",SUMIFS(DB_All!$M$2:$M$1000,DB_All!$G$2:$G$1000,B82,DB_All!$L$2:$L$1000,"تحت إجراءات التعاقد"))</f>
        <v/>
      </c>
      <c r="G82" t="str">
        <f>IF(B82="","",COUNTIFS(DB_All!$G$2:$G$1000,B82,DB_All!$L$2:$L$1000,"تحت إجراءات التعاقد"))</f>
        <v/>
      </c>
      <c r="H82" t="str">
        <f>IF(B82="","",SUMIFS(DB_All!$N$2:$N$1000,DB_All!$G$2:$G$1000,B82,DB_All!$L$2:$L$1000,"تم التوقيع"))</f>
        <v/>
      </c>
      <c r="I82" t="str">
        <f>IF(B82="","",COUNTIFS(DB_All!$G$2:$G$1000,B82,DB_All!$L$2:$L$1000,"تم التوقيع"))</f>
        <v/>
      </c>
      <c r="J82">
        <f t="shared" si="3"/>
        <v>0</v>
      </c>
      <c r="K82" t="str">
        <f>IF(B82="","",SUMIFS('المطالبات 2026'!$J:$J,'المطالبات 2026'!$E:$E,B82,'المطالبات 2026'!$I:$I,"مطالبة مرفوعة للمالية") + SUMIFS('المطالبات 2025'!$J:$J,'المطالبات 2025'!$E:$E,B82,'المطالبات 2025'!$I:$I,"مطالبة مرفوعة للمالية"))</f>
        <v/>
      </c>
      <c r="L82" t="str">
        <f>IF(B82="","",COUNTIFS('المطالبات 2026'!$E:$E,B82,'المطالبات 2026'!$I:$I,"مطالبة مرفوعة للمالية") + COUNTIFS('المطالبات 2025'!$E:$E,B82,'المطالبات 2025'!$I:$I,"مطالبة مرفوعة للمالية"))</f>
        <v/>
      </c>
      <c r="M82">
        <f t="shared" si="4"/>
        <v>0</v>
      </c>
      <c r="N82" t="str">
        <f>IF(B82="","",SUMIFS(DB_All!$N$2:$N$1000,DB_All!$G$2:$G$1000,B82,DB_All!$L$2:$L$1000,"تحت إجراءات التوريد"))</f>
        <v/>
      </c>
      <c r="O82" t="str">
        <f>IF(B82="","",COUNTIFS(DB_All!$G$2:$G$1000,B82,DB_All!$L$2:$L$1000,"تحت إجراءات التوريد"))</f>
        <v/>
      </c>
      <c r="P82" t="str">
        <f>IF(B82="","",SUMIFS(DB_All!$N$2:$N$1000,DB_All!$G$2:$G$1000,B82,DB_All!$L$2:$L$1000,"بانتظار سندات الاستلام \ شهادة الإنجاز"))</f>
        <v/>
      </c>
      <c r="Q82" t="str">
        <f>IF(B82="","",COUNTIFS(DB_All!$G$2:$G$1000,B82,DB_All!$L$2:$L$1000,"بانتظار سندات الاستلام \ شهادة الإنجاز"))</f>
        <v/>
      </c>
      <c r="R82" t="str">
        <f t="shared" si="5"/>
        <v/>
      </c>
    </row>
    <row r="83" spans="6:18" x14ac:dyDescent="0.3">
      <c r="F83" t="str">
        <f>IF(B83="","",SUMIFS(DB_All!$M$2:$M$1000,DB_All!$G$2:$G$1000,B83,DB_All!$L$2:$L$1000,"تحت إجراءات التعاقد"))</f>
        <v/>
      </c>
      <c r="G83" t="str">
        <f>IF(B83="","",COUNTIFS(DB_All!$G$2:$G$1000,B83,DB_All!$L$2:$L$1000,"تحت إجراءات التعاقد"))</f>
        <v/>
      </c>
      <c r="H83" t="str">
        <f>IF(B83="","",SUMIFS(DB_All!$N$2:$N$1000,DB_All!$G$2:$G$1000,B83,DB_All!$L$2:$L$1000,"تم التوقيع"))</f>
        <v/>
      </c>
      <c r="I83" t="str">
        <f>IF(B83="","",COUNTIFS(DB_All!$G$2:$G$1000,B83,DB_All!$L$2:$L$1000,"تم التوقيع"))</f>
        <v/>
      </c>
      <c r="J83">
        <f t="shared" si="3"/>
        <v>0</v>
      </c>
      <c r="K83" t="str">
        <f>IF(B83="","",SUMIFS('المطالبات 2026'!$J:$J,'المطالبات 2026'!$E:$E,B83,'المطالبات 2026'!$I:$I,"مطالبة مرفوعة للمالية") + SUMIFS('المطالبات 2025'!$J:$J,'المطالبات 2025'!$E:$E,B83,'المطالبات 2025'!$I:$I,"مطالبة مرفوعة للمالية"))</f>
        <v/>
      </c>
      <c r="L83" t="str">
        <f>IF(B83="","",COUNTIFS('المطالبات 2026'!$E:$E,B83,'المطالبات 2026'!$I:$I,"مطالبة مرفوعة للمالية") + COUNTIFS('المطالبات 2025'!$E:$E,B83,'المطالبات 2025'!$I:$I,"مطالبة مرفوعة للمالية"))</f>
        <v/>
      </c>
      <c r="M83">
        <f t="shared" si="4"/>
        <v>0</v>
      </c>
      <c r="N83" t="str">
        <f>IF(B83="","",SUMIFS(DB_All!$N$2:$N$1000,DB_All!$G$2:$G$1000,B83,DB_All!$L$2:$L$1000,"تحت إجراءات التوريد"))</f>
        <v/>
      </c>
      <c r="O83" t="str">
        <f>IF(B83="","",COUNTIFS(DB_All!$G$2:$G$1000,B83,DB_All!$L$2:$L$1000,"تحت إجراءات التوريد"))</f>
        <v/>
      </c>
      <c r="P83" t="str">
        <f>IF(B83="","",SUMIFS(DB_All!$N$2:$N$1000,DB_All!$G$2:$G$1000,B83,DB_All!$L$2:$L$1000,"بانتظار سندات الاستلام \ شهادة الإنجاز"))</f>
        <v/>
      </c>
      <c r="Q83" t="str">
        <f>IF(B83="","",COUNTIFS(DB_All!$G$2:$G$1000,B83,DB_All!$L$2:$L$1000,"بانتظار سندات الاستلام \ شهادة الإنجاز"))</f>
        <v/>
      </c>
      <c r="R83" t="str">
        <f t="shared" si="5"/>
        <v/>
      </c>
    </row>
    <row r="84" spans="6:18" x14ac:dyDescent="0.3">
      <c r="F84" t="str">
        <f>IF(B84="","",SUMIFS(DB_All!$M$2:$M$1000,DB_All!$G$2:$G$1000,B84,DB_All!$L$2:$L$1000,"تحت إجراءات التعاقد"))</f>
        <v/>
      </c>
      <c r="G84" t="str">
        <f>IF(B84="","",COUNTIFS(DB_All!$G$2:$G$1000,B84,DB_All!$L$2:$L$1000,"تحت إجراءات التعاقد"))</f>
        <v/>
      </c>
      <c r="H84" t="str">
        <f>IF(B84="","",SUMIFS(DB_All!$N$2:$N$1000,DB_All!$G$2:$G$1000,B84,DB_All!$L$2:$L$1000,"تم التوقيع"))</f>
        <v/>
      </c>
      <c r="I84" t="str">
        <f>IF(B84="","",COUNTIFS(DB_All!$G$2:$G$1000,B84,DB_All!$L$2:$L$1000,"تم التوقيع"))</f>
        <v/>
      </c>
      <c r="J84">
        <f t="shared" si="3"/>
        <v>0</v>
      </c>
      <c r="K84" t="str">
        <f>IF(B84="","",SUMIFS('المطالبات 2026'!$J:$J,'المطالبات 2026'!$E:$E,B84,'المطالبات 2026'!$I:$I,"مطالبة مرفوعة للمالية") + SUMIFS('المطالبات 2025'!$J:$J,'المطالبات 2025'!$E:$E,B84,'المطالبات 2025'!$I:$I,"مطالبة مرفوعة للمالية"))</f>
        <v/>
      </c>
      <c r="L84" t="str">
        <f>IF(B84="","",COUNTIFS('المطالبات 2026'!$E:$E,B84,'المطالبات 2026'!$I:$I,"مطالبة مرفوعة للمالية") + COUNTIFS('المطالبات 2025'!$E:$E,B84,'المطالبات 2025'!$I:$I,"مطالبة مرفوعة للمالية"))</f>
        <v/>
      </c>
      <c r="M84">
        <f t="shared" si="4"/>
        <v>0</v>
      </c>
      <c r="N84" t="str">
        <f>IF(B84="","",SUMIFS(DB_All!$N$2:$N$1000,DB_All!$G$2:$G$1000,B84,DB_All!$L$2:$L$1000,"تحت إجراءات التوريد"))</f>
        <v/>
      </c>
      <c r="O84" t="str">
        <f>IF(B84="","",COUNTIFS(DB_All!$G$2:$G$1000,B84,DB_All!$L$2:$L$1000,"تحت إجراءات التوريد"))</f>
        <v/>
      </c>
      <c r="P84" t="str">
        <f>IF(B84="","",SUMIFS(DB_All!$N$2:$N$1000,DB_All!$G$2:$G$1000,B84,DB_All!$L$2:$L$1000,"بانتظار سندات الاستلام \ شهادة الإنجاز"))</f>
        <v/>
      </c>
      <c r="Q84" t="str">
        <f>IF(B84="","",COUNTIFS(DB_All!$G$2:$G$1000,B84,DB_All!$L$2:$L$1000,"بانتظار سندات الاستلام \ شهادة الإنجاز"))</f>
        <v/>
      </c>
      <c r="R84" t="str">
        <f t="shared" si="5"/>
        <v/>
      </c>
    </row>
    <row r="85" spans="6:18" x14ac:dyDescent="0.3">
      <c r="F85" t="str">
        <f>IF(B85="","",SUMIFS(DB_All!$M$2:$M$1000,DB_All!$G$2:$G$1000,B85,DB_All!$L$2:$L$1000,"تحت إجراءات التعاقد"))</f>
        <v/>
      </c>
      <c r="G85" t="str">
        <f>IF(B85="","",COUNTIFS(DB_All!$G$2:$G$1000,B85,DB_All!$L$2:$L$1000,"تحت إجراءات التعاقد"))</f>
        <v/>
      </c>
      <c r="H85" t="str">
        <f>IF(B85="","",SUMIFS(DB_All!$N$2:$N$1000,DB_All!$G$2:$G$1000,B85,DB_All!$L$2:$L$1000,"تم التوقيع"))</f>
        <v/>
      </c>
      <c r="I85" t="str">
        <f>IF(B85="","",COUNTIFS(DB_All!$G$2:$G$1000,B85,DB_All!$L$2:$L$1000,"تم التوقيع"))</f>
        <v/>
      </c>
      <c r="J85">
        <f t="shared" si="3"/>
        <v>0</v>
      </c>
      <c r="K85" t="str">
        <f>IF(B85="","",SUMIFS('المطالبات 2026'!$J:$J,'المطالبات 2026'!$E:$E,B85,'المطالبات 2026'!$I:$I,"مطالبة مرفوعة للمالية") + SUMIFS('المطالبات 2025'!$J:$J,'المطالبات 2025'!$E:$E,B85,'المطالبات 2025'!$I:$I,"مطالبة مرفوعة للمالية"))</f>
        <v/>
      </c>
      <c r="L85" t="str">
        <f>IF(B85="","",COUNTIFS('المطالبات 2026'!$E:$E,B85,'المطالبات 2026'!$I:$I,"مطالبة مرفوعة للمالية") + COUNTIFS('المطالبات 2025'!$E:$E,B85,'المطالبات 2025'!$I:$I,"مطالبة مرفوعة للمالية"))</f>
        <v/>
      </c>
      <c r="M85">
        <f t="shared" si="4"/>
        <v>0</v>
      </c>
      <c r="N85" t="str">
        <f>IF(B85="","",SUMIFS(DB_All!$N$2:$N$1000,DB_All!$G$2:$G$1000,B85,DB_All!$L$2:$L$1000,"تحت إجراءات التوريد"))</f>
        <v/>
      </c>
      <c r="O85" t="str">
        <f>IF(B85="","",COUNTIFS(DB_All!$G$2:$G$1000,B85,DB_All!$L$2:$L$1000,"تحت إجراءات التوريد"))</f>
        <v/>
      </c>
      <c r="P85" t="str">
        <f>IF(B85="","",SUMIFS(DB_All!$N$2:$N$1000,DB_All!$G$2:$G$1000,B85,DB_All!$L$2:$L$1000,"بانتظار سندات الاستلام \ شهادة الإنجاز"))</f>
        <v/>
      </c>
      <c r="Q85" t="str">
        <f>IF(B85="","",COUNTIFS(DB_All!$G$2:$G$1000,B85,DB_All!$L$2:$L$1000,"بانتظار سندات الاستلام \ شهادة الإنجاز"))</f>
        <v/>
      </c>
      <c r="R85" t="str">
        <f t="shared" si="5"/>
        <v/>
      </c>
    </row>
    <row r="86" spans="6:18" x14ac:dyDescent="0.3">
      <c r="F86" t="str">
        <f>IF(B86="","",SUMIFS(DB_All!$M$2:$M$1000,DB_All!$G$2:$G$1000,B86,DB_All!$L$2:$L$1000,"تحت إجراءات التعاقد"))</f>
        <v/>
      </c>
      <c r="G86" t="str">
        <f>IF(B86="","",COUNTIFS(DB_All!$G$2:$G$1000,B86,DB_All!$L$2:$L$1000,"تحت إجراءات التعاقد"))</f>
        <v/>
      </c>
      <c r="H86" t="str">
        <f>IF(B86="","",SUMIFS(DB_All!$N$2:$N$1000,DB_All!$G$2:$G$1000,B86,DB_All!$L$2:$L$1000,"تم التوقيع"))</f>
        <v/>
      </c>
      <c r="I86" t="str">
        <f>IF(B86="","",COUNTIFS(DB_All!$G$2:$G$1000,B86,DB_All!$L$2:$L$1000,"تم التوقيع"))</f>
        <v/>
      </c>
      <c r="J86">
        <f t="shared" si="3"/>
        <v>0</v>
      </c>
      <c r="K86" t="str">
        <f>IF(B86="","",SUMIFS('المطالبات 2026'!$J:$J,'المطالبات 2026'!$E:$E,B86,'المطالبات 2026'!$I:$I,"مطالبة مرفوعة للمالية") + SUMIFS('المطالبات 2025'!$J:$J,'المطالبات 2025'!$E:$E,B86,'المطالبات 2025'!$I:$I,"مطالبة مرفوعة للمالية"))</f>
        <v/>
      </c>
      <c r="L86" t="str">
        <f>IF(B86="","",COUNTIFS('المطالبات 2026'!$E:$E,B86,'المطالبات 2026'!$I:$I,"مطالبة مرفوعة للمالية") + COUNTIFS('المطالبات 2025'!$E:$E,B86,'المطالبات 2025'!$I:$I,"مطالبة مرفوعة للمالية"))</f>
        <v/>
      </c>
      <c r="M86">
        <f t="shared" si="4"/>
        <v>0</v>
      </c>
      <c r="N86" t="str">
        <f>IF(B86="","",SUMIFS(DB_All!$N$2:$N$1000,DB_All!$G$2:$G$1000,B86,DB_All!$L$2:$L$1000,"تحت إجراءات التوريد"))</f>
        <v/>
      </c>
      <c r="O86" t="str">
        <f>IF(B86="","",COUNTIFS(DB_All!$G$2:$G$1000,B86,DB_All!$L$2:$L$1000,"تحت إجراءات التوريد"))</f>
        <v/>
      </c>
      <c r="P86" t="str">
        <f>IF(B86="","",SUMIFS(DB_All!$N$2:$N$1000,DB_All!$G$2:$G$1000,B86,DB_All!$L$2:$L$1000,"بانتظار سندات الاستلام \ شهادة الإنجاز"))</f>
        <v/>
      </c>
      <c r="Q86" t="str">
        <f>IF(B86="","",COUNTIFS(DB_All!$G$2:$G$1000,B86,DB_All!$L$2:$L$1000,"بانتظار سندات الاستلام \ شهادة الإنجاز"))</f>
        <v/>
      </c>
      <c r="R86" t="str">
        <f t="shared" si="5"/>
        <v/>
      </c>
    </row>
    <row r="87" spans="6:18" x14ac:dyDescent="0.3">
      <c r="F87" t="str">
        <f>IF(B87="","",SUMIFS(DB_All!$M$2:$M$1000,DB_All!$G$2:$G$1000,B87,DB_All!$L$2:$L$1000,"تحت إجراءات التعاقد"))</f>
        <v/>
      </c>
      <c r="G87" t="str">
        <f>IF(B87="","",COUNTIFS(DB_All!$G$2:$G$1000,B87,DB_All!$L$2:$L$1000,"تحت إجراءات التعاقد"))</f>
        <v/>
      </c>
      <c r="H87" t="str">
        <f>IF(B87="","",SUMIFS(DB_All!$N$2:$N$1000,DB_All!$G$2:$G$1000,B87,DB_All!$L$2:$L$1000,"تم التوقيع"))</f>
        <v/>
      </c>
      <c r="I87" t="str">
        <f>IF(B87="","",COUNTIFS(DB_All!$G$2:$G$1000,B87,DB_All!$L$2:$L$1000,"تم التوقيع"))</f>
        <v/>
      </c>
      <c r="J87">
        <f t="shared" si="3"/>
        <v>0</v>
      </c>
      <c r="K87" t="str">
        <f>IF(B87="","",SUMIFS('المطالبات 2026'!$J:$J,'المطالبات 2026'!$E:$E,B87,'المطالبات 2026'!$I:$I,"مطالبة مرفوعة للمالية") + SUMIFS('المطالبات 2025'!$J:$J,'المطالبات 2025'!$E:$E,B87,'المطالبات 2025'!$I:$I,"مطالبة مرفوعة للمالية"))</f>
        <v/>
      </c>
      <c r="L87" t="str">
        <f>IF(B87="","",COUNTIFS('المطالبات 2026'!$E:$E,B87,'المطالبات 2026'!$I:$I,"مطالبة مرفوعة للمالية") + COUNTIFS('المطالبات 2025'!$E:$E,B87,'المطالبات 2025'!$I:$I,"مطالبة مرفوعة للمالية"))</f>
        <v/>
      </c>
      <c r="M87">
        <f t="shared" si="4"/>
        <v>0</v>
      </c>
      <c r="N87" t="str">
        <f>IF(B87="","",SUMIFS(DB_All!$N$2:$N$1000,DB_All!$G$2:$G$1000,B87,DB_All!$L$2:$L$1000,"تحت إجراءات التوريد"))</f>
        <v/>
      </c>
      <c r="O87" t="str">
        <f>IF(B87="","",COUNTIFS(DB_All!$G$2:$G$1000,B87,DB_All!$L$2:$L$1000,"تحت إجراءات التوريد"))</f>
        <v/>
      </c>
      <c r="P87" t="str">
        <f>IF(B87="","",SUMIFS(DB_All!$N$2:$N$1000,DB_All!$G$2:$G$1000,B87,DB_All!$L$2:$L$1000,"بانتظار سندات الاستلام \ شهادة الإنجاز"))</f>
        <v/>
      </c>
      <c r="Q87" t="str">
        <f>IF(B87="","",COUNTIFS(DB_All!$G$2:$G$1000,B87,DB_All!$L$2:$L$1000,"بانتظار سندات الاستلام \ شهادة الإنجاز"))</f>
        <v/>
      </c>
      <c r="R87" t="str">
        <f t="shared" si="5"/>
        <v/>
      </c>
    </row>
    <row r="88" spans="6:18" x14ac:dyDescent="0.3">
      <c r="F88" t="str">
        <f>IF(B88="","",SUMIFS(DB_All!$M$2:$M$1000,DB_All!$G$2:$G$1000,B88,DB_All!$L$2:$L$1000,"تحت إجراءات التعاقد"))</f>
        <v/>
      </c>
      <c r="G88" t="str">
        <f>IF(B88="","",COUNTIFS(DB_All!$G$2:$G$1000,B88,DB_All!$L$2:$L$1000,"تحت إجراءات التعاقد"))</f>
        <v/>
      </c>
      <c r="H88" t="str">
        <f>IF(B88="","",SUMIFS(DB_All!$N$2:$N$1000,DB_All!$G$2:$G$1000,B88,DB_All!$L$2:$L$1000,"تم التوقيع"))</f>
        <v/>
      </c>
      <c r="I88" t="str">
        <f>IF(B88="","",COUNTIFS(DB_All!$G$2:$G$1000,B88,DB_All!$L$2:$L$1000,"تم التوقيع"))</f>
        <v/>
      </c>
      <c r="J88">
        <f t="shared" si="3"/>
        <v>0</v>
      </c>
      <c r="K88" t="str">
        <f>IF(B88="","",SUMIFS('المطالبات 2026'!$J:$J,'المطالبات 2026'!$E:$E,B88,'المطالبات 2026'!$I:$I,"مطالبة مرفوعة للمالية") + SUMIFS('المطالبات 2025'!$J:$J,'المطالبات 2025'!$E:$E,B88,'المطالبات 2025'!$I:$I,"مطالبة مرفوعة للمالية"))</f>
        <v/>
      </c>
      <c r="L88" t="str">
        <f>IF(B88="","",COUNTIFS('المطالبات 2026'!$E:$E,B88,'المطالبات 2026'!$I:$I,"مطالبة مرفوعة للمالية") + COUNTIFS('المطالبات 2025'!$E:$E,B88,'المطالبات 2025'!$I:$I,"مطالبة مرفوعة للمالية"))</f>
        <v/>
      </c>
      <c r="M88">
        <f t="shared" si="4"/>
        <v>0</v>
      </c>
      <c r="N88" t="str">
        <f>IF(B88="","",SUMIFS(DB_All!$N$2:$N$1000,DB_All!$G$2:$G$1000,B88,DB_All!$L$2:$L$1000,"تحت إجراءات التوريد"))</f>
        <v/>
      </c>
      <c r="O88" t="str">
        <f>IF(B88="","",COUNTIFS(DB_All!$G$2:$G$1000,B88,DB_All!$L$2:$L$1000,"تحت إجراءات التوريد"))</f>
        <v/>
      </c>
      <c r="P88" t="str">
        <f>IF(B88="","",SUMIFS(DB_All!$N$2:$N$1000,DB_All!$G$2:$G$1000,B88,DB_All!$L$2:$L$1000,"بانتظار سندات الاستلام \ شهادة الإنجاز"))</f>
        <v/>
      </c>
      <c r="Q88" t="str">
        <f>IF(B88="","",COUNTIFS(DB_All!$G$2:$G$1000,B88,DB_All!$L$2:$L$1000,"بانتظار سندات الاستلام \ شهادة الإنجاز"))</f>
        <v/>
      </c>
      <c r="R88" t="str">
        <f t="shared" si="5"/>
        <v/>
      </c>
    </row>
    <row r="89" spans="6:18" x14ac:dyDescent="0.3">
      <c r="F89" t="str">
        <f>IF(B89="","",SUMIFS(DB_All!$M$2:$M$1000,DB_All!$G$2:$G$1000,B89,DB_All!$L$2:$L$1000,"تحت إجراءات التعاقد"))</f>
        <v/>
      </c>
      <c r="G89" t="str">
        <f>IF(B89="","",COUNTIFS(DB_All!$G$2:$G$1000,B89,DB_All!$L$2:$L$1000,"تحت إجراءات التعاقد"))</f>
        <v/>
      </c>
      <c r="H89" t="str">
        <f>IF(B89="","",SUMIFS(DB_All!$N$2:$N$1000,DB_All!$G$2:$G$1000,B89,DB_All!$L$2:$L$1000,"تم التوقيع"))</f>
        <v/>
      </c>
      <c r="I89" t="str">
        <f>IF(B89="","",COUNTIFS(DB_All!$G$2:$G$1000,B89,DB_All!$L$2:$L$1000,"تم التوقيع"))</f>
        <v/>
      </c>
      <c r="J89">
        <f t="shared" si="3"/>
        <v>0</v>
      </c>
      <c r="K89" t="str">
        <f>IF(B89="","",SUMIFS('المطالبات 2026'!$J:$J,'المطالبات 2026'!$E:$E,B89,'المطالبات 2026'!$I:$I,"مطالبة مرفوعة للمالية") + SUMIFS('المطالبات 2025'!$J:$J,'المطالبات 2025'!$E:$E,B89,'المطالبات 2025'!$I:$I,"مطالبة مرفوعة للمالية"))</f>
        <v/>
      </c>
      <c r="L89" t="str">
        <f>IF(B89="","",COUNTIFS('المطالبات 2026'!$E:$E,B89,'المطالبات 2026'!$I:$I,"مطالبة مرفوعة للمالية") + COUNTIFS('المطالبات 2025'!$E:$E,B89,'المطالبات 2025'!$I:$I,"مطالبة مرفوعة للمالية"))</f>
        <v/>
      </c>
      <c r="M89">
        <f t="shared" si="4"/>
        <v>0</v>
      </c>
      <c r="N89" t="str">
        <f>IF(B89="","",SUMIFS(DB_All!$N$2:$N$1000,DB_All!$G$2:$G$1000,B89,DB_All!$L$2:$L$1000,"تحت إجراءات التوريد"))</f>
        <v/>
      </c>
      <c r="O89" t="str">
        <f>IF(B89="","",COUNTIFS(DB_All!$G$2:$G$1000,B89,DB_All!$L$2:$L$1000,"تحت إجراءات التوريد"))</f>
        <v/>
      </c>
      <c r="P89" t="str">
        <f>IF(B89="","",SUMIFS(DB_All!$N$2:$N$1000,DB_All!$G$2:$G$1000,B89,DB_All!$L$2:$L$1000,"بانتظار سندات الاستلام \ شهادة الإنجاز"))</f>
        <v/>
      </c>
      <c r="Q89" t="str">
        <f>IF(B89="","",COUNTIFS(DB_All!$G$2:$G$1000,B89,DB_All!$L$2:$L$1000,"بانتظار سندات الاستلام \ شهادة الإنجاز"))</f>
        <v/>
      </c>
      <c r="R89" t="str">
        <f t="shared" si="5"/>
        <v/>
      </c>
    </row>
    <row r="90" spans="6:18" x14ac:dyDescent="0.3">
      <c r="F90" t="str">
        <f>IF(B90="","",SUMIFS(DB_All!$M$2:$M$1000,DB_All!$G$2:$G$1000,B90,DB_All!$L$2:$L$1000,"تحت إجراءات التعاقد"))</f>
        <v/>
      </c>
      <c r="G90" t="str">
        <f>IF(B90="","",COUNTIFS(DB_All!$G$2:$G$1000,B90,DB_All!$L$2:$L$1000,"تحت إجراءات التعاقد"))</f>
        <v/>
      </c>
      <c r="H90" t="str">
        <f>IF(B90="","",SUMIFS(DB_All!$N$2:$N$1000,DB_All!$G$2:$G$1000,B90,DB_All!$L$2:$L$1000,"تم التوقيع"))</f>
        <v/>
      </c>
      <c r="I90" t="str">
        <f>IF(B90="","",COUNTIFS(DB_All!$G$2:$G$1000,B90,DB_All!$L$2:$L$1000,"تم التوقيع"))</f>
        <v/>
      </c>
      <c r="J90">
        <f t="shared" si="3"/>
        <v>0</v>
      </c>
      <c r="K90" t="str">
        <f>IF(B90="","",SUMIFS('المطالبات 2026'!$J:$J,'المطالبات 2026'!$E:$E,B90,'المطالبات 2026'!$I:$I,"مطالبة مرفوعة للمالية") + SUMIFS('المطالبات 2025'!$J:$J,'المطالبات 2025'!$E:$E,B90,'المطالبات 2025'!$I:$I,"مطالبة مرفوعة للمالية"))</f>
        <v/>
      </c>
      <c r="L90" t="str">
        <f>IF(B90="","",COUNTIFS('المطالبات 2026'!$E:$E,B90,'المطالبات 2026'!$I:$I,"مطالبة مرفوعة للمالية") + COUNTIFS('المطالبات 2025'!$E:$E,B90,'المطالبات 2025'!$I:$I,"مطالبة مرفوعة للمالية"))</f>
        <v/>
      </c>
      <c r="M90">
        <f t="shared" si="4"/>
        <v>0</v>
      </c>
      <c r="N90" t="str">
        <f>IF(B90="","",SUMIFS(DB_All!$N$2:$N$1000,DB_All!$G$2:$G$1000,B90,DB_All!$L$2:$L$1000,"تحت إجراءات التوريد"))</f>
        <v/>
      </c>
      <c r="O90" t="str">
        <f>IF(B90="","",COUNTIFS(DB_All!$G$2:$G$1000,B90,DB_All!$L$2:$L$1000,"تحت إجراءات التوريد"))</f>
        <v/>
      </c>
      <c r="P90" t="str">
        <f>IF(B90="","",SUMIFS(DB_All!$N$2:$N$1000,DB_All!$G$2:$G$1000,B90,DB_All!$L$2:$L$1000,"بانتظار سندات الاستلام \ شهادة الإنجاز"))</f>
        <v/>
      </c>
      <c r="Q90" t="str">
        <f>IF(B90="","",COUNTIFS(DB_All!$G$2:$G$1000,B90,DB_All!$L$2:$L$1000,"بانتظار سندات الاستلام \ شهادة الإنجاز"))</f>
        <v/>
      </c>
      <c r="R90" t="str">
        <f t="shared" si="5"/>
        <v/>
      </c>
    </row>
    <row r="91" spans="6:18" x14ac:dyDescent="0.3">
      <c r="F91" t="str">
        <f>IF(B91="","",SUMIFS(DB_All!$M$2:$M$1000,DB_All!$G$2:$G$1000,B91,DB_All!$L$2:$L$1000,"تحت إجراءات التعاقد"))</f>
        <v/>
      </c>
      <c r="G91" t="str">
        <f>IF(B91="","",COUNTIFS(DB_All!$G$2:$G$1000,B91,DB_All!$L$2:$L$1000,"تحت إجراءات التعاقد"))</f>
        <v/>
      </c>
      <c r="H91" t="str">
        <f>IF(B91="","",SUMIFS(DB_All!$N$2:$N$1000,DB_All!$G$2:$G$1000,B91,DB_All!$L$2:$L$1000,"تم التوقيع"))</f>
        <v/>
      </c>
      <c r="I91" t="str">
        <f>IF(B91="","",COUNTIFS(DB_All!$G$2:$G$1000,B91,DB_All!$L$2:$L$1000,"تم التوقيع"))</f>
        <v/>
      </c>
      <c r="J91">
        <f t="shared" si="3"/>
        <v>0</v>
      </c>
      <c r="K91" t="str">
        <f>IF(B91="","",SUMIFS('المطالبات 2026'!$J:$J,'المطالبات 2026'!$E:$E,B91,'المطالبات 2026'!$I:$I,"مطالبة مرفوعة للمالية") + SUMIFS('المطالبات 2025'!$J:$J,'المطالبات 2025'!$E:$E,B91,'المطالبات 2025'!$I:$I,"مطالبة مرفوعة للمالية"))</f>
        <v/>
      </c>
      <c r="L91" t="str">
        <f>IF(B91="","",COUNTIFS('المطالبات 2026'!$E:$E,B91,'المطالبات 2026'!$I:$I,"مطالبة مرفوعة للمالية") + COUNTIFS('المطالبات 2025'!$E:$E,B91,'المطالبات 2025'!$I:$I,"مطالبة مرفوعة للمالية"))</f>
        <v/>
      </c>
      <c r="M91">
        <f t="shared" si="4"/>
        <v>0</v>
      </c>
      <c r="N91" t="str">
        <f>IF(B91="","",SUMIFS(DB_All!$N$2:$N$1000,DB_All!$G$2:$G$1000,B91,DB_All!$L$2:$L$1000,"تحت إجراءات التوريد"))</f>
        <v/>
      </c>
      <c r="O91" t="str">
        <f>IF(B91="","",COUNTIFS(DB_All!$G$2:$G$1000,B91,DB_All!$L$2:$L$1000,"تحت إجراءات التوريد"))</f>
        <v/>
      </c>
      <c r="P91" t="str">
        <f>IF(B91="","",SUMIFS(DB_All!$N$2:$N$1000,DB_All!$G$2:$G$1000,B91,DB_All!$L$2:$L$1000,"بانتظار سندات الاستلام \ شهادة الإنجاز"))</f>
        <v/>
      </c>
      <c r="Q91" t="str">
        <f>IF(B91="","",COUNTIFS(DB_All!$G$2:$G$1000,B91,DB_All!$L$2:$L$1000,"بانتظار سندات الاستلام \ شهادة الإنجاز"))</f>
        <v/>
      </c>
      <c r="R91" t="str">
        <f t="shared" si="5"/>
        <v/>
      </c>
    </row>
    <row r="92" spans="6:18" x14ac:dyDescent="0.3">
      <c r="F92" t="str">
        <f>IF(B92="","",SUMIFS(DB_All!$M$2:$M$1000,DB_All!$G$2:$G$1000,B92,DB_All!$L$2:$L$1000,"تحت إجراءات التعاقد"))</f>
        <v/>
      </c>
      <c r="G92" t="str">
        <f>IF(B92="","",COUNTIFS(DB_All!$G$2:$G$1000,B92,DB_All!$L$2:$L$1000,"تحت إجراءات التعاقد"))</f>
        <v/>
      </c>
      <c r="H92" t="str">
        <f>IF(B92="","",SUMIFS(DB_All!$N$2:$N$1000,DB_All!$G$2:$G$1000,B92,DB_All!$L$2:$L$1000,"تم التوقيع"))</f>
        <v/>
      </c>
      <c r="I92" t="str">
        <f>IF(B92="","",COUNTIFS(DB_All!$G$2:$G$1000,B92,DB_All!$L$2:$L$1000,"تم التوقيع"))</f>
        <v/>
      </c>
      <c r="J92">
        <f t="shared" si="3"/>
        <v>0</v>
      </c>
      <c r="K92" t="str">
        <f>IF(B92="","",SUMIFS('المطالبات 2026'!$J:$J,'المطالبات 2026'!$E:$E,B92,'المطالبات 2026'!$I:$I,"مطالبة مرفوعة للمالية") + SUMIFS('المطالبات 2025'!$J:$J,'المطالبات 2025'!$E:$E,B92,'المطالبات 2025'!$I:$I,"مطالبة مرفوعة للمالية"))</f>
        <v/>
      </c>
      <c r="L92" t="str">
        <f>IF(B92="","",COUNTIFS('المطالبات 2026'!$E:$E,B92,'المطالبات 2026'!$I:$I,"مطالبة مرفوعة للمالية") + COUNTIFS('المطالبات 2025'!$E:$E,B92,'المطالبات 2025'!$I:$I,"مطالبة مرفوعة للمالية"))</f>
        <v/>
      </c>
      <c r="M92">
        <f t="shared" si="4"/>
        <v>0</v>
      </c>
      <c r="N92" t="str">
        <f>IF(B92="","",SUMIFS(DB_All!$N$2:$N$1000,DB_All!$G$2:$G$1000,B92,DB_All!$L$2:$L$1000,"تحت إجراءات التوريد"))</f>
        <v/>
      </c>
      <c r="O92" t="str">
        <f>IF(B92="","",COUNTIFS(DB_All!$G$2:$G$1000,B92,DB_All!$L$2:$L$1000,"تحت إجراءات التوريد"))</f>
        <v/>
      </c>
      <c r="P92" t="str">
        <f>IF(B92="","",SUMIFS(DB_All!$N$2:$N$1000,DB_All!$G$2:$G$1000,B92,DB_All!$L$2:$L$1000,"بانتظار سندات الاستلام \ شهادة الإنجاز"))</f>
        <v/>
      </c>
      <c r="Q92" t="str">
        <f>IF(B92="","",COUNTIFS(DB_All!$G$2:$G$1000,B92,DB_All!$L$2:$L$1000,"بانتظار سندات الاستلام \ شهادة الإنجاز"))</f>
        <v/>
      </c>
      <c r="R92" t="str">
        <f t="shared" si="5"/>
        <v/>
      </c>
    </row>
    <row r="93" spans="6:18" x14ac:dyDescent="0.3">
      <c r="F93" t="str">
        <f>IF(B93="","",SUMIFS(DB_All!$M$2:$M$1000,DB_All!$G$2:$G$1000,B93,DB_All!$L$2:$L$1000,"تحت إجراءات التعاقد"))</f>
        <v/>
      </c>
      <c r="G93" t="str">
        <f>IF(B93="","",COUNTIFS(DB_All!$G$2:$G$1000,B93,DB_All!$L$2:$L$1000,"تحت إجراءات التعاقد"))</f>
        <v/>
      </c>
      <c r="H93" t="str">
        <f>IF(B93="","",SUMIFS(DB_All!$N$2:$N$1000,DB_All!$G$2:$G$1000,B93,DB_All!$L$2:$L$1000,"تم التوقيع"))</f>
        <v/>
      </c>
      <c r="I93" t="str">
        <f>IF(B93="","",COUNTIFS(DB_All!$G$2:$G$1000,B93,DB_All!$L$2:$L$1000,"تم التوقيع"))</f>
        <v/>
      </c>
      <c r="J93">
        <f t="shared" si="3"/>
        <v>0</v>
      </c>
      <c r="K93" t="str">
        <f>IF(B93="","",SUMIFS('المطالبات 2026'!$J:$J,'المطالبات 2026'!$E:$E,B93,'المطالبات 2026'!$I:$I,"مطالبة مرفوعة للمالية") + SUMIFS('المطالبات 2025'!$J:$J,'المطالبات 2025'!$E:$E,B93,'المطالبات 2025'!$I:$I,"مطالبة مرفوعة للمالية"))</f>
        <v/>
      </c>
      <c r="L93" t="str">
        <f>IF(B93="","",COUNTIFS('المطالبات 2026'!$E:$E,B93,'المطالبات 2026'!$I:$I,"مطالبة مرفوعة للمالية") + COUNTIFS('المطالبات 2025'!$E:$E,B93,'المطالبات 2025'!$I:$I,"مطالبة مرفوعة للمالية"))</f>
        <v/>
      </c>
      <c r="M93">
        <f t="shared" si="4"/>
        <v>0</v>
      </c>
      <c r="N93" t="str">
        <f>IF(B93="","",SUMIFS(DB_All!$N$2:$N$1000,DB_All!$G$2:$G$1000,B93,DB_All!$L$2:$L$1000,"تحت إجراءات التوريد"))</f>
        <v/>
      </c>
      <c r="O93" t="str">
        <f>IF(B93="","",COUNTIFS(DB_All!$G$2:$G$1000,B93,DB_All!$L$2:$L$1000,"تحت إجراءات التوريد"))</f>
        <v/>
      </c>
      <c r="P93" t="str">
        <f>IF(B93="","",SUMIFS(DB_All!$N$2:$N$1000,DB_All!$G$2:$G$1000,B93,DB_All!$L$2:$L$1000,"بانتظار سندات الاستلام \ شهادة الإنجاز"))</f>
        <v/>
      </c>
      <c r="Q93" t="str">
        <f>IF(B93="","",COUNTIFS(DB_All!$G$2:$G$1000,B93,DB_All!$L$2:$L$1000,"بانتظار سندات الاستلام \ شهادة الإنجاز"))</f>
        <v/>
      </c>
      <c r="R93" t="str">
        <f t="shared" si="5"/>
        <v/>
      </c>
    </row>
    <row r="94" spans="6:18" x14ac:dyDescent="0.3">
      <c r="F94" t="str">
        <f>IF(B94="","",SUMIFS(DB_All!$M$2:$M$1000,DB_All!$G$2:$G$1000,B94,DB_All!$L$2:$L$1000,"تحت إجراءات التعاقد"))</f>
        <v/>
      </c>
      <c r="G94" t="str">
        <f>IF(B94="","",COUNTIFS(DB_All!$G$2:$G$1000,B94,DB_All!$L$2:$L$1000,"تحت إجراءات التعاقد"))</f>
        <v/>
      </c>
      <c r="H94" t="str">
        <f>IF(B94="","",SUMIFS(DB_All!$N$2:$N$1000,DB_All!$G$2:$G$1000,B94,DB_All!$L$2:$L$1000,"تم التوقيع"))</f>
        <v/>
      </c>
      <c r="I94" t="str">
        <f>IF(B94="","",COUNTIFS(DB_All!$G$2:$G$1000,B94,DB_All!$L$2:$L$1000,"تم التوقيع"))</f>
        <v/>
      </c>
      <c r="J94">
        <f t="shared" si="3"/>
        <v>0</v>
      </c>
      <c r="K94" t="str">
        <f>IF(B94="","",SUMIFS('المطالبات 2026'!$J:$J,'المطالبات 2026'!$E:$E,B94,'المطالبات 2026'!$I:$I,"مطالبة مرفوعة للمالية") + SUMIFS('المطالبات 2025'!$J:$J,'المطالبات 2025'!$E:$E,B94,'المطالبات 2025'!$I:$I,"مطالبة مرفوعة للمالية"))</f>
        <v/>
      </c>
      <c r="L94" t="str">
        <f>IF(B94="","",COUNTIFS('المطالبات 2026'!$E:$E,B94,'المطالبات 2026'!$I:$I,"مطالبة مرفوعة للمالية") + COUNTIFS('المطالبات 2025'!$E:$E,B94,'المطالبات 2025'!$I:$I,"مطالبة مرفوعة للمالية"))</f>
        <v/>
      </c>
      <c r="M94">
        <f t="shared" si="4"/>
        <v>0</v>
      </c>
      <c r="N94" t="str">
        <f>IF(B94="","",SUMIFS(DB_All!$N$2:$N$1000,DB_All!$G$2:$G$1000,B94,DB_All!$L$2:$L$1000,"تحت إجراءات التوريد"))</f>
        <v/>
      </c>
      <c r="O94" t="str">
        <f>IF(B94="","",COUNTIFS(DB_All!$G$2:$G$1000,B94,DB_All!$L$2:$L$1000,"تحت إجراءات التوريد"))</f>
        <v/>
      </c>
      <c r="P94" t="str">
        <f>IF(B94="","",SUMIFS(DB_All!$N$2:$N$1000,DB_All!$G$2:$G$1000,B94,DB_All!$L$2:$L$1000,"بانتظار سندات الاستلام \ شهادة الإنجاز"))</f>
        <v/>
      </c>
      <c r="Q94" t="str">
        <f>IF(B94="","",COUNTIFS(DB_All!$G$2:$G$1000,B94,DB_All!$L$2:$L$1000,"بانتظار سندات الاستلام \ شهادة الإنجاز"))</f>
        <v/>
      </c>
      <c r="R94" t="str">
        <f t="shared" si="5"/>
        <v/>
      </c>
    </row>
    <row r="95" spans="6:18" x14ac:dyDescent="0.3">
      <c r="F95" t="str">
        <f>IF(B95="","",SUMIFS(DB_All!$M$2:$M$1000,DB_All!$G$2:$G$1000,B95,DB_All!$L$2:$L$1000,"تحت إجراءات التعاقد"))</f>
        <v/>
      </c>
      <c r="G95" t="str">
        <f>IF(B95="","",COUNTIFS(DB_All!$G$2:$G$1000,B95,DB_All!$L$2:$L$1000,"تحت إجراءات التعاقد"))</f>
        <v/>
      </c>
      <c r="H95" t="str">
        <f>IF(B95="","",SUMIFS(DB_All!$N$2:$N$1000,DB_All!$G$2:$G$1000,B95,DB_All!$L$2:$L$1000,"تم التوقيع"))</f>
        <v/>
      </c>
      <c r="I95" t="str">
        <f>IF(B95="","",COUNTIFS(DB_All!$G$2:$G$1000,B95,DB_All!$L$2:$L$1000,"تم التوقيع"))</f>
        <v/>
      </c>
      <c r="J95">
        <f t="shared" si="3"/>
        <v>0</v>
      </c>
      <c r="K95" t="str">
        <f>IF(B95="","",SUMIFS('المطالبات 2026'!$J:$J,'المطالبات 2026'!$E:$E,B95,'المطالبات 2026'!$I:$I,"مطالبة مرفوعة للمالية") + SUMIFS('المطالبات 2025'!$J:$J,'المطالبات 2025'!$E:$E,B95,'المطالبات 2025'!$I:$I,"مطالبة مرفوعة للمالية"))</f>
        <v/>
      </c>
      <c r="L95" t="str">
        <f>IF(B95="","",COUNTIFS('المطالبات 2026'!$E:$E,B95,'المطالبات 2026'!$I:$I,"مطالبة مرفوعة للمالية") + COUNTIFS('المطالبات 2025'!$E:$E,B95,'المطالبات 2025'!$I:$I,"مطالبة مرفوعة للمالية"))</f>
        <v/>
      </c>
      <c r="M95">
        <f t="shared" si="4"/>
        <v>0</v>
      </c>
      <c r="N95" t="str">
        <f>IF(B95="","",SUMIFS(DB_All!$N$2:$N$1000,DB_All!$G$2:$G$1000,B95,DB_All!$L$2:$L$1000,"تحت إجراءات التوريد"))</f>
        <v/>
      </c>
      <c r="O95" t="str">
        <f>IF(B95="","",COUNTIFS(DB_All!$G$2:$G$1000,B95,DB_All!$L$2:$L$1000,"تحت إجراءات التوريد"))</f>
        <v/>
      </c>
      <c r="P95" t="str">
        <f>IF(B95="","",SUMIFS(DB_All!$N$2:$N$1000,DB_All!$G$2:$G$1000,B95,DB_All!$L$2:$L$1000,"بانتظار سندات الاستلام \ شهادة الإنجاز"))</f>
        <v/>
      </c>
      <c r="Q95" t="str">
        <f>IF(B95="","",COUNTIFS(DB_All!$G$2:$G$1000,B95,DB_All!$L$2:$L$1000,"بانتظار سندات الاستلام \ شهادة الإنجاز"))</f>
        <v/>
      </c>
      <c r="R95" t="str">
        <f t="shared" si="5"/>
        <v/>
      </c>
    </row>
    <row r="96" spans="6:18" x14ac:dyDescent="0.3">
      <c r="F96" t="str">
        <f>IF(B96="","",SUMIFS(DB_All!$M$2:$M$1000,DB_All!$G$2:$G$1000,B96,DB_All!$L$2:$L$1000,"تحت إجراءات التعاقد"))</f>
        <v/>
      </c>
      <c r="G96" t="str">
        <f>IF(B96="","",COUNTIFS(DB_All!$G$2:$G$1000,B96,DB_All!$L$2:$L$1000,"تحت إجراءات التعاقد"))</f>
        <v/>
      </c>
      <c r="H96" t="str">
        <f>IF(B96="","",SUMIFS(DB_All!$N$2:$N$1000,DB_All!$G$2:$G$1000,B96,DB_All!$L$2:$L$1000,"تم التوقيع"))</f>
        <v/>
      </c>
      <c r="I96" t="str">
        <f>IF(B96="","",COUNTIFS(DB_All!$G$2:$G$1000,B96,DB_All!$L$2:$L$1000,"تم التوقيع"))</f>
        <v/>
      </c>
      <c r="J96">
        <f t="shared" si="3"/>
        <v>0</v>
      </c>
      <c r="K96" t="str">
        <f>IF(B96="","",SUMIFS('المطالبات 2026'!$J:$J,'المطالبات 2026'!$E:$E,B96,'المطالبات 2026'!$I:$I,"مطالبة مرفوعة للمالية") + SUMIFS('المطالبات 2025'!$J:$J,'المطالبات 2025'!$E:$E,B96,'المطالبات 2025'!$I:$I,"مطالبة مرفوعة للمالية"))</f>
        <v/>
      </c>
      <c r="L96" t="str">
        <f>IF(B96="","",COUNTIFS('المطالبات 2026'!$E:$E,B96,'المطالبات 2026'!$I:$I,"مطالبة مرفوعة للمالية") + COUNTIFS('المطالبات 2025'!$E:$E,B96,'المطالبات 2025'!$I:$I,"مطالبة مرفوعة للمالية"))</f>
        <v/>
      </c>
      <c r="M96">
        <f t="shared" si="4"/>
        <v>0</v>
      </c>
      <c r="N96" t="str">
        <f>IF(B96="","",SUMIFS(DB_All!$N$2:$N$1000,DB_All!$G$2:$G$1000,B96,DB_All!$L$2:$L$1000,"تحت إجراءات التوريد"))</f>
        <v/>
      </c>
      <c r="O96" t="str">
        <f>IF(B96="","",COUNTIFS(DB_All!$G$2:$G$1000,B96,DB_All!$L$2:$L$1000,"تحت إجراءات التوريد"))</f>
        <v/>
      </c>
      <c r="P96" t="str">
        <f>IF(B96="","",SUMIFS(DB_All!$N$2:$N$1000,DB_All!$G$2:$G$1000,B96,DB_All!$L$2:$L$1000,"بانتظار سندات الاستلام \ شهادة الإنجاز"))</f>
        <v/>
      </c>
      <c r="Q96" t="str">
        <f>IF(B96="","",COUNTIFS(DB_All!$G$2:$G$1000,B96,DB_All!$L$2:$L$1000,"بانتظار سندات الاستلام \ شهادة الإنجاز"))</f>
        <v/>
      </c>
      <c r="R96" t="str">
        <f t="shared" si="5"/>
        <v/>
      </c>
    </row>
    <row r="97" spans="6:18" x14ac:dyDescent="0.3">
      <c r="F97" t="str">
        <f>IF(B97="","",SUMIFS(DB_All!$M$2:$M$1000,DB_All!$G$2:$G$1000,B97,DB_All!$L$2:$L$1000,"تحت إجراءات التعاقد"))</f>
        <v/>
      </c>
      <c r="G97" t="str">
        <f>IF(B97="","",COUNTIFS(DB_All!$G$2:$G$1000,B97,DB_All!$L$2:$L$1000,"تحت إجراءات التعاقد"))</f>
        <v/>
      </c>
      <c r="H97" t="str">
        <f>IF(B97="","",SUMIFS(DB_All!$N$2:$N$1000,DB_All!$G$2:$G$1000,B97,DB_All!$L$2:$L$1000,"تم التوقيع"))</f>
        <v/>
      </c>
      <c r="I97" t="str">
        <f>IF(B97="","",COUNTIFS(DB_All!$G$2:$G$1000,B97,DB_All!$L$2:$L$1000,"تم التوقيع"))</f>
        <v/>
      </c>
      <c r="J97">
        <f t="shared" si="3"/>
        <v>0</v>
      </c>
      <c r="K97" t="str">
        <f>IF(B97="","",SUMIFS('المطالبات 2026'!$J:$J,'المطالبات 2026'!$E:$E,B97,'المطالبات 2026'!$I:$I,"مطالبة مرفوعة للمالية") + SUMIFS('المطالبات 2025'!$J:$J,'المطالبات 2025'!$E:$E,B97,'المطالبات 2025'!$I:$I,"مطالبة مرفوعة للمالية"))</f>
        <v/>
      </c>
      <c r="L97" t="str">
        <f>IF(B97="","",COUNTIFS('المطالبات 2026'!$E:$E,B97,'المطالبات 2026'!$I:$I,"مطالبة مرفوعة للمالية") + COUNTIFS('المطالبات 2025'!$E:$E,B97,'المطالبات 2025'!$I:$I,"مطالبة مرفوعة للمالية"))</f>
        <v/>
      </c>
      <c r="M97">
        <f t="shared" si="4"/>
        <v>0</v>
      </c>
      <c r="N97" t="str">
        <f>IF(B97="","",SUMIFS(DB_All!$N$2:$N$1000,DB_All!$G$2:$G$1000,B97,DB_All!$L$2:$L$1000,"تحت إجراءات التوريد"))</f>
        <v/>
      </c>
      <c r="O97" t="str">
        <f>IF(B97="","",COUNTIFS(DB_All!$G$2:$G$1000,B97,DB_All!$L$2:$L$1000,"تحت إجراءات التوريد"))</f>
        <v/>
      </c>
      <c r="P97" t="str">
        <f>IF(B97="","",SUMIFS(DB_All!$N$2:$N$1000,DB_All!$G$2:$G$1000,B97,DB_All!$L$2:$L$1000,"بانتظار سندات الاستلام \ شهادة الإنجاز"))</f>
        <v/>
      </c>
      <c r="Q97" t="str">
        <f>IF(B97="","",COUNTIFS(DB_All!$G$2:$G$1000,B97,DB_All!$L$2:$L$1000,"بانتظار سندات الاستلام \ شهادة الإنجاز"))</f>
        <v/>
      </c>
      <c r="R97" t="str">
        <f t="shared" si="5"/>
        <v/>
      </c>
    </row>
    <row r="98" spans="6:18" x14ac:dyDescent="0.3">
      <c r="F98" t="str">
        <f>IF(B98="","",SUMIFS(DB_All!$M$2:$M$1000,DB_All!$G$2:$G$1000,B98,DB_All!$L$2:$L$1000,"تحت إجراءات التعاقد"))</f>
        <v/>
      </c>
      <c r="G98" t="str">
        <f>IF(B98="","",COUNTIFS(DB_All!$G$2:$G$1000,B98,DB_All!$L$2:$L$1000,"تحت إجراءات التعاقد"))</f>
        <v/>
      </c>
      <c r="H98" t="str">
        <f>IF(B98="","",SUMIFS(DB_All!$N$2:$N$1000,DB_All!$G$2:$G$1000,B98,DB_All!$L$2:$L$1000,"تم التوقيع"))</f>
        <v/>
      </c>
      <c r="I98" t="str">
        <f>IF(B98="","",COUNTIFS(DB_All!$G$2:$G$1000,B98,DB_All!$L$2:$L$1000,"تم التوقيع"))</f>
        <v/>
      </c>
      <c r="J98">
        <f t="shared" si="3"/>
        <v>0</v>
      </c>
      <c r="K98" t="str">
        <f>IF(B98="","",SUMIFS('المطالبات 2026'!$J:$J,'المطالبات 2026'!$E:$E,B98,'المطالبات 2026'!$I:$I,"مطالبة مرفوعة للمالية") + SUMIFS('المطالبات 2025'!$J:$J,'المطالبات 2025'!$E:$E,B98,'المطالبات 2025'!$I:$I,"مطالبة مرفوعة للمالية"))</f>
        <v/>
      </c>
      <c r="L98" t="str">
        <f>IF(B98="","",COUNTIFS('المطالبات 2026'!$E:$E,B98,'المطالبات 2026'!$I:$I,"مطالبة مرفوعة للمالية") + COUNTIFS('المطالبات 2025'!$E:$E,B98,'المطالبات 2025'!$I:$I,"مطالبة مرفوعة للمالية"))</f>
        <v/>
      </c>
      <c r="M98">
        <f t="shared" si="4"/>
        <v>0</v>
      </c>
      <c r="N98" t="str">
        <f>IF(B98="","",SUMIFS(DB_All!$N$2:$N$1000,DB_All!$G$2:$G$1000,B98,DB_All!$L$2:$L$1000,"تحت إجراءات التوريد"))</f>
        <v/>
      </c>
      <c r="O98" t="str">
        <f>IF(B98="","",COUNTIFS(DB_All!$G$2:$G$1000,B98,DB_All!$L$2:$L$1000,"تحت إجراءات التوريد"))</f>
        <v/>
      </c>
      <c r="P98" t="str">
        <f>IF(B98="","",SUMIFS(DB_All!$N$2:$N$1000,DB_All!$G$2:$G$1000,B98,DB_All!$L$2:$L$1000,"بانتظار سندات الاستلام \ شهادة الإنجاز"))</f>
        <v/>
      </c>
      <c r="Q98" t="str">
        <f>IF(B98="","",COUNTIFS(DB_All!$G$2:$G$1000,B98,DB_All!$L$2:$L$1000,"بانتظار سندات الاستلام \ شهادة الإنجاز"))</f>
        <v/>
      </c>
      <c r="R98" t="str">
        <f t="shared" si="5"/>
        <v/>
      </c>
    </row>
    <row r="99" spans="6:18" x14ac:dyDescent="0.3">
      <c r="F99" t="str">
        <f>IF(B99="","",SUMIFS(DB_All!$M$2:$M$1000,DB_All!$G$2:$G$1000,B99,DB_All!$L$2:$L$1000,"تحت إجراءات التعاقد"))</f>
        <v/>
      </c>
      <c r="G99" t="str">
        <f>IF(B99="","",COUNTIFS(DB_All!$G$2:$G$1000,B99,DB_All!$L$2:$L$1000,"تحت إجراءات التعاقد"))</f>
        <v/>
      </c>
      <c r="H99" t="str">
        <f>IF(B99="","",SUMIFS(DB_All!$N$2:$N$1000,DB_All!$G$2:$G$1000,B99,DB_All!$L$2:$L$1000,"تم التوقيع"))</f>
        <v/>
      </c>
      <c r="I99" t="str">
        <f>IF(B99="","",COUNTIFS(DB_All!$G$2:$G$1000,B99,DB_All!$L$2:$L$1000,"تم التوقيع"))</f>
        <v/>
      </c>
      <c r="J99">
        <f t="shared" si="3"/>
        <v>0</v>
      </c>
      <c r="K99" t="str">
        <f>IF(B99="","",SUMIFS('المطالبات 2026'!$J:$J,'المطالبات 2026'!$E:$E,B99,'المطالبات 2026'!$I:$I,"مطالبة مرفوعة للمالية") + SUMIFS('المطالبات 2025'!$J:$J,'المطالبات 2025'!$E:$E,B99,'المطالبات 2025'!$I:$I,"مطالبة مرفوعة للمالية"))</f>
        <v/>
      </c>
      <c r="L99" t="str">
        <f>IF(B99="","",COUNTIFS('المطالبات 2026'!$E:$E,B99,'المطالبات 2026'!$I:$I,"مطالبة مرفوعة للمالية") + COUNTIFS('المطالبات 2025'!$E:$E,B99,'المطالبات 2025'!$I:$I,"مطالبة مرفوعة للمالية"))</f>
        <v/>
      </c>
      <c r="M99">
        <f t="shared" si="4"/>
        <v>0</v>
      </c>
      <c r="N99" t="str">
        <f>IF(B99="","",SUMIFS(DB_All!$N$2:$N$1000,DB_All!$G$2:$G$1000,B99,DB_All!$L$2:$L$1000,"تحت إجراءات التوريد"))</f>
        <v/>
      </c>
      <c r="O99" t="str">
        <f>IF(B99="","",COUNTIFS(DB_All!$G$2:$G$1000,B99,DB_All!$L$2:$L$1000,"تحت إجراءات التوريد"))</f>
        <v/>
      </c>
      <c r="P99" t="str">
        <f>IF(B99="","",SUMIFS(DB_All!$N$2:$N$1000,DB_All!$G$2:$G$1000,B99,DB_All!$L$2:$L$1000,"بانتظار سندات الاستلام \ شهادة الإنجاز"))</f>
        <v/>
      </c>
      <c r="Q99" t="str">
        <f>IF(B99="","",COUNTIFS(DB_All!$G$2:$G$1000,B99,DB_All!$L$2:$L$1000,"بانتظار سندات الاستلام \ شهادة الإنجاز"))</f>
        <v/>
      </c>
      <c r="R99" t="str">
        <f t="shared" si="5"/>
        <v/>
      </c>
    </row>
    <row r="100" spans="6:18" x14ac:dyDescent="0.3">
      <c r="F100" t="str">
        <f>IF(B100="","",SUMIFS(DB_All!$M$2:$M$1000,DB_All!$G$2:$G$1000,B100,DB_All!$L$2:$L$1000,"تحت إجراءات التعاقد"))</f>
        <v/>
      </c>
      <c r="G100" t="str">
        <f>IF(B100="","",COUNTIFS(DB_All!$G$2:$G$1000,B100,DB_All!$L$2:$L$1000,"تحت إجراءات التعاقد"))</f>
        <v/>
      </c>
      <c r="H100" t="str">
        <f>IF(B100="","",SUMIFS(DB_All!$N$2:$N$1000,DB_All!$G$2:$G$1000,B100,DB_All!$L$2:$L$1000,"تم التوقيع"))</f>
        <v/>
      </c>
      <c r="I100" t="str">
        <f>IF(B100="","",COUNTIFS(DB_All!$G$2:$G$1000,B100,DB_All!$L$2:$L$1000,"تم التوقيع"))</f>
        <v/>
      </c>
      <c r="J100">
        <f t="shared" si="3"/>
        <v>0</v>
      </c>
      <c r="K100" t="str">
        <f>IF(B100="","",SUMIFS('المطالبات 2026'!$J:$J,'المطالبات 2026'!$E:$E,B100,'المطالبات 2026'!$I:$I,"مطالبة مرفوعة للمالية") + SUMIFS('المطالبات 2025'!$J:$J,'المطالبات 2025'!$E:$E,B100,'المطالبات 2025'!$I:$I,"مطالبة مرفوعة للمالية"))</f>
        <v/>
      </c>
      <c r="L100" t="str">
        <f>IF(B100="","",COUNTIFS('المطالبات 2026'!$E:$E,B100,'المطالبات 2026'!$I:$I,"مطالبة مرفوعة للمالية") + COUNTIFS('المطالبات 2025'!$E:$E,B100,'المطالبات 2025'!$I:$I,"مطالبة مرفوعة للمالية"))</f>
        <v/>
      </c>
      <c r="M100">
        <f t="shared" si="4"/>
        <v>0</v>
      </c>
      <c r="N100" t="str">
        <f>IF(B100="","",SUMIFS(DB_All!$N$2:$N$1000,DB_All!$G$2:$G$1000,B100,DB_All!$L$2:$L$1000,"تحت إجراءات التوريد"))</f>
        <v/>
      </c>
      <c r="O100" t="str">
        <f>IF(B100="","",COUNTIFS(DB_All!$G$2:$G$1000,B100,DB_All!$L$2:$L$1000,"تحت إجراءات التوريد"))</f>
        <v/>
      </c>
      <c r="P100" t="str">
        <f>IF(B100="","",SUMIFS(DB_All!$N$2:$N$1000,DB_All!$G$2:$G$1000,B100,DB_All!$L$2:$L$1000,"بانتظار سندات الاستلام \ شهادة الإنجاز"))</f>
        <v/>
      </c>
      <c r="Q100" t="str">
        <f>IF(B100="","",COUNTIFS(DB_All!$G$2:$G$1000,B100,DB_All!$L$2:$L$1000,"بانتظار سندات الاستلام \ شهادة الإنجاز"))</f>
        <v/>
      </c>
      <c r="R100" t="str">
        <f t="shared" si="5"/>
        <v/>
      </c>
    </row>
    <row r="101" spans="6:18" x14ac:dyDescent="0.3">
      <c r="F101" t="str">
        <f>IF(B101="","",SUMIFS(DB_All!$M$2:$M$1000,DB_All!$G$2:$G$1000,B101,DB_All!$L$2:$L$1000,"تحت إجراءات التعاقد"))</f>
        <v/>
      </c>
      <c r="G101" t="str">
        <f>IF(B101="","",COUNTIFS(DB_All!$G$2:$G$1000,B101,DB_All!$L$2:$L$1000,"تحت إجراءات التعاقد"))</f>
        <v/>
      </c>
      <c r="H101" t="str">
        <f>IF(B101="","",SUMIFS(DB_All!$N$2:$N$1000,DB_All!$G$2:$G$1000,B101,DB_All!$L$2:$L$1000,"تم التوقيع"))</f>
        <v/>
      </c>
      <c r="I101" t="str">
        <f>IF(B101="","",COUNTIFS(DB_All!$G$2:$G$1000,B101,DB_All!$L$2:$L$1000,"تم التوقيع"))</f>
        <v/>
      </c>
      <c r="J101">
        <f t="shared" si="3"/>
        <v>0</v>
      </c>
      <c r="K101" t="str">
        <f>IF(B101="","",SUMIFS('المطالبات 2026'!$J:$J,'المطالبات 2026'!$E:$E,B101,'المطالبات 2026'!$I:$I,"مطالبة مرفوعة للمالية") + SUMIFS('المطالبات 2025'!$J:$J,'المطالبات 2025'!$E:$E,B101,'المطالبات 2025'!$I:$I,"مطالبة مرفوعة للمالية"))</f>
        <v/>
      </c>
      <c r="L101" t="str">
        <f>IF(B101="","",COUNTIFS('المطالبات 2026'!$E:$E,B101,'المطالبات 2026'!$I:$I,"مطالبة مرفوعة للمالية") + COUNTIFS('المطالبات 2025'!$E:$E,B101,'المطالبات 2025'!$I:$I,"مطالبة مرفوعة للمالية"))</f>
        <v/>
      </c>
      <c r="M101">
        <f t="shared" si="4"/>
        <v>0</v>
      </c>
      <c r="N101" t="str">
        <f>IF(B101="","",SUMIFS(DB_All!$N$2:$N$1000,DB_All!$G$2:$G$1000,B101,DB_All!$L$2:$L$1000,"تحت إجراءات التوريد"))</f>
        <v/>
      </c>
      <c r="O101" t="str">
        <f>IF(B101="","",COUNTIFS(DB_All!$G$2:$G$1000,B101,DB_All!$L$2:$L$1000,"تحت إجراءات التوريد"))</f>
        <v/>
      </c>
      <c r="P101" t="str">
        <f>IF(B101="","",SUMIFS(DB_All!$N$2:$N$1000,DB_All!$G$2:$G$1000,B101,DB_All!$L$2:$L$1000,"بانتظار سندات الاستلام \ شهادة الإنجاز"))</f>
        <v/>
      </c>
      <c r="Q101" t="str">
        <f>IF(B101="","",COUNTIFS(DB_All!$G$2:$G$1000,B101,DB_All!$L$2:$L$1000,"بانتظار سندات الاستلام \ شهادة الإنجاز"))</f>
        <v/>
      </c>
      <c r="R101" t="str">
        <f t="shared" si="5"/>
        <v/>
      </c>
    </row>
    <row r="102" spans="6:18" x14ac:dyDescent="0.3">
      <c r="F102" t="str">
        <f>IF(B102="","",SUMIFS(DB_All!$M$2:$M$1000,DB_All!$G$2:$G$1000,B102,DB_All!$L$2:$L$1000,"تحت إجراءات التعاقد"))</f>
        <v/>
      </c>
      <c r="G102" t="str">
        <f>IF(B102="","",COUNTIFS(DB_All!$G$2:$G$1000,B102,DB_All!$L$2:$L$1000,"تحت إجراءات التعاقد"))</f>
        <v/>
      </c>
      <c r="H102" t="str">
        <f>IF(B102="","",SUMIFS(DB_All!$N$2:$N$1000,DB_All!$G$2:$G$1000,B102,DB_All!$L$2:$L$1000,"تم التوقيع"))</f>
        <v/>
      </c>
      <c r="I102" t="str">
        <f>IF(B102="","",COUNTIFS(DB_All!$G$2:$G$1000,B102,DB_All!$L$2:$L$1000,"تم التوقيع"))</f>
        <v/>
      </c>
      <c r="J102">
        <f t="shared" si="3"/>
        <v>0</v>
      </c>
      <c r="K102" t="str">
        <f>IF(B102="","",SUMIFS('المطالبات 2026'!$J:$J,'المطالبات 2026'!$E:$E,B102,'المطالبات 2026'!$I:$I,"مطالبة مرفوعة للمالية") + SUMIFS('المطالبات 2025'!$J:$J,'المطالبات 2025'!$E:$E,B102,'المطالبات 2025'!$I:$I,"مطالبة مرفوعة للمالية"))</f>
        <v/>
      </c>
      <c r="L102" t="str">
        <f>IF(B102="","",COUNTIFS('المطالبات 2026'!$E:$E,B102,'المطالبات 2026'!$I:$I,"مطالبة مرفوعة للمالية") + COUNTIFS('المطالبات 2025'!$E:$E,B102,'المطالبات 2025'!$I:$I,"مطالبة مرفوعة للمالية"))</f>
        <v/>
      </c>
      <c r="M102">
        <f t="shared" si="4"/>
        <v>0</v>
      </c>
      <c r="N102" t="str">
        <f>IF(B102="","",SUMIFS(DB_All!$N$2:$N$1000,DB_All!$G$2:$G$1000,B102,DB_All!$L$2:$L$1000,"تحت إجراءات التوريد"))</f>
        <v/>
      </c>
      <c r="O102" t="str">
        <f>IF(B102="","",COUNTIFS(DB_All!$G$2:$G$1000,B102,DB_All!$L$2:$L$1000,"تحت إجراءات التوريد"))</f>
        <v/>
      </c>
      <c r="P102" t="str">
        <f>IF(B102="","",SUMIFS(DB_All!$N$2:$N$1000,DB_All!$G$2:$G$1000,B102,DB_All!$L$2:$L$1000,"بانتظار سندات الاستلام \ شهادة الإنجاز"))</f>
        <v/>
      </c>
      <c r="Q102" t="str">
        <f>IF(B102="","",COUNTIFS(DB_All!$G$2:$G$1000,B102,DB_All!$L$2:$L$1000,"بانتظار سندات الاستلام \ شهادة الإنجاز"))</f>
        <v/>
      </c>
      <c r="R102" t="str">
        <f t="shared" si="5"/>
        <v/>
      </c>
    </row>
    <row r="103" spans="6:18" x14ac:dyDescent="0.3">
      <c r="F103" t="str">
        <f>IF(B103="","",SUMIFS(DB_All!$M$2:$M$1000,DB_All!$G$2:$G$1000,B103,DB_All!$L$2:$L$1000,"تحت إجراءات التعاقد"))</f>
        <v/>
      </c>
      <c r="G103" t="str">
        <f>IF(B103="","",COUNTIFS(DB_All!$G$2:$G$1000,B103,DB_All!$L$2:$L$1000,"تحت إجراءات التعاقد"))</f>
        <v/>
      </c>
      <c r="H103" t="str">
        <f>IF(B103="","",SUMIFS(DB_All!$N$2:$N$1000,DB_All!$G$2:$G$1000,B103,DB_All!$L$2:$L$1000,"تم التوقيع"))</f>
        <v/>
      </c>
      <c r="I103" t="str">
        <f>IF(B103="","",COUNTIFS(DB_All!$G$2:$G$1000,B103,DB_All!$L$2:$L$1000,"تم التوقيع"))</f>
        <v/>
      </c>
      <c r="J103">
        <f t="shared" si="3"/>
        <v>0</v>
      </c>
      <c r="K103" t="str">
        <f>IF(B103="","",SUMIFS('المطالبات 2026'!$J:$J,'المطالبات 2026'!$E:$E,B103,'المطالبات 2026'!$I:$I,"مطالبة مرفوعة للمالية") + SUMIFS('المطالبات 2025'!$J:$J,'المطالبات 2025'!$E:$E,B103,'المطالبات 2025'!$I:$I,"مطالبة مرفوعة للمالية"))</f>
        <v/>
      </c>
      <c r="L103" t="str">
        <f>IF(B103="","",COUNTIFS('المطالبات 2026'!$E:$E,B103,'المطالبات 2026'!$I:$I,"مطالبة مرفوعة للمالية") + COUNTIFS('المطالبات 2025'!$E:$E,B103,'المطالبات 2025'!$I:$I,"مطالبة مرفوعة للمالية"))</f>
        <v/>
      </c>
      <c r="M103">
        <f t="shared" si="4"/>
        <v>0</v>
      </c>
      <c r="N103" t="str">
        <f>IF(B103="","",SUMIFS(DB_All!$N$2:$N$1000,DB_All!$G$2:$G$1000,B103,DB_All!$L$2:$L$1000,"تحت إجراءات التوريد"))</f>
        <v/>
      </c>
      <c r="O103" t="str">
        <f>IF(B103="","",COUNTIFS(DB_All!$G$2:$G$1000,B103,DB_All!$L$2:$L$1000,"تحت إجراءات التوريد"))</f>
        <v/>
      </c>
      <c r="P103" t="str">
        <f>IF(B103="","",SUMIFS(DB_All!$N$2:$N$1000,DB_All!$G$2:$G$1000,B103,DB_All!$L$2:$L$1000,"بانتظار سندات الاستلام \ شهادة الإنجاز"))</f>
        <v/>
      </c>
      <c r="Q103" t="str">
        <f>IF(B103="","",COUNTIFS(DB_All!$G$2:$G$1000,B103,DB_All!$L$2:$L$1000,"بانتظار سندات الاستلام \ شهادة الإنجاز"))</f>
        <v/>
      </c>
      <c r="R103" t="str">
        <f t="shared" si="5"/>
        <v/>
      </c>
    </row>
    <row r="104" spans="6:18" x14ac:dyDescent="0.3">
      <c r="F104" t="str">
        <f>IF(B104="","",SUMIFS(DB_All!$M$2:$M$1000,DB_All!$G$2:$G$1000,B104,DB_All!$L$2:$L$1000,"تحت إجراءات التعاقد"))</f>
        <v/>
      </c>
      <c r="G104" t="str">
        <f>IF(B104="","",COUNTIFS(DB_All!$G$2:$G$1000,B104,DB_All!$L$2:$L$1000,"تحت إجراءات التعاقد"))</f>
        <v/>
      </c>
      <c r="H104" t="str">
        <f>IF(B104="","",SUMIFS(DB_All!$N$2:$N$1000,DB_All!$G$2:$G$1000,B104,DB_All!$L$2:$L$1000,"تم التوقيع"))</f>
        <v/>
      </c>
      <c r="I104" t="str">
        <f>IF(B104="","",COUNTIFS(DB_All!$G$2:$G$1000,B104,DB_All!$L$2:$L$1000,"تم التوقيع"))</f>
        <v/>
      </c>
      <c r="J104">
        <f t="shared" si="3"/>
        <v>0</v>
      </c>
      <c r="K104" t="str">
        <f>IF(B104="","",SUMIFS('المطالبات 2026'!$J:$J,'المطالبات 2026'!$E:$E,B104,'المطالبات 2026'!$I:$I,"مطالبة مرفوعة للمالية") + SUMIFS('المطالبات 2025'!$J:$J,'المطالبات 2025'!$E:$E,B104,'المطالبات 2025'!$I:$I,"مطالبة مرفوعة للمالية"))</f>
        <v/>
      </c>
      <c r="L104" t="str">
        <f>IF(B104="","",COUNTIFS('المطالبات 2026'!$E:$E,B104,'المطالبات 2026'!$I:$I,"مطالبة مرفوعة للمالية") + COUNTIFS('المطالبات 2025'!$E:$E,B104,'المطالبات 2025'!$I:$I,"مطالبة مرفوعة للمالية"))</f>
        <v/>
      </c>
      <c r="M104">
        <f t="shared" si="4"/>
        <v>0</v>
      </c>
      <c r="N104" t="str">
        <f>IF(B104="","",SUMIFS(DB_All!$N$2:$N$1000,DB_All!$G$2:$G$1000,B104,DB_All!$L$2:$L$1000,"تحت إجراءات التوريد"))</f>
        <v/>
      </c>
      <c r="O104" t="str">
        <f>IF(B104="","",COUNTIFS(DB_All!$G$2:$G$1000,B104,DB_All!$L$2:$L$1000,"تحت إجراءات التوريد"))</f>
        <v/>
      </c>
      <c r="P104" t="str">
        <f>IF(B104="","",SUMIFS(DB_All!$N$2:$N$1000,DB_All!$G$2:$G$1000,B104,DB_All!$L$2:$L$1000,"بانتظار سندات الاستلام \ شهادة الإنجاز"))</f>
        <v/>
      </c>
      <c r="Q104" t="str">
        <f>IF(B104="","",COUNTIFS(DB_All!$G$2:$G$1000,B104,DB_All!$L$2:$L$1000,"بانتظار سندات الاستلام \ شهادة الإنجاز"))</f>
        <v/>
      </c>
      <c r="R104" t="str">
        <f t="shared" si="5"/>
        <v/>
      </c>
    </row>
    <row r="105" spans="6:18" x14ac:dyDescent="0.3">
      <c r="F105" t="str">
        <f>IF(B105="","",SUMIFS(DB_All!$M$2:$M$1000,DB_All!$G$2:$G$1000,B105,DB_All!$L$2:$L$1000,"تحت إجراءات التعاقد"))</f>
        <v/>
      </c>
      <c r="G105" t="str">
        <f>IF(B105="","",COUNTIFS(DB_All!$G$2:$G$1000,B105,DB_All!$L$2:$L$1000,"تحت إجراءات التعاقد"))</f>
        <v/>
      </c>
      <c r="H105" t="str">
        <f>IF(B105="","",SUMIFS(DB_All!$N$2:$N$1000,DB_All!$G$2:$G$1000,B105,DB_All!$L$2:$L$1000,"تم التوقيع"))</f>
        <v/>
      </c>
      <c r="I105" t="str">
        <f>IF(B105="","",COUNTIFS(DB_All!$G$2:$G$1000,B105,DB_All!$L$2:$L$1000,"تم التوقيع"))</f>
        <v/>
      </c>
      <c r="J105">
        <f t="shared" si="3"/>
        <v>0</v>
      </c>
      <c r="K105" t="str">
        <f>IF(B105="","",SUMIFS('المطالبات 2026'!$J:$J,'المطالبات 2026'!$E:$E,B105,'المطالبات 2026'!$I:$I,"مطالبة مرفوعة للمالية") + SUMIFS('المطالبات 2025'!$J:$J,'المطالبات 2025'!$E:$E,B105,'المطالبات 2025'!$I:$I,"مطالبة مرفوعة للمالية"))</f>
        <v/>
      </c>
      <c r="L105" t="str">
        <f>IF(B105="","",COUNTIFS('المطالبات 2026'!$E:$E,B105,'المطالبات 2026'!$I:$I,"مطالبة مرفوعة للمالية") + COUNTIFS('المطالبات 2025'!$E:$E,B105,'المطالبات 2025'!$I:$I,"مطالبة مرفوعة للمالية"))</f>
        <v/>
      </c>
      <c r="M105">
        <f t="shared" si="4"/>
        <v>0</v>
      </c>
      <c r="N105" t="str">
        <f>IF(B105="","",SUMIFS(DB_All!$N$2:$N$1000,DB_All!$G$2:$G$1000,B105,DB_All!$L$2:$L$1000,"تحت إجراءات التوريد"))</f>
        <v/>
      </c>
      <c r="O105" t="str">
        <f>IF(B105="","",COUNTIFS(DB_All!$G$2:$G$1000,B105,DB_All!$L$2:$L$1000,"تحت إجراءات التوريد"))</f>
        <v/>
      </c>
      <c r="P105" t="str">
        <f>IF(B105="","",SUMIFS(DB_All!$N$2:$N$1000,DB_All!$G$2:$G$1000,B105,DB_All!$L$2:$L$1000,"بانتظار سندات الاستلام \ شهادة الإنجاز"))</f>
        <v/>
      </c>
      <c r="Q105" t="str">
        <f>IF(B105="","",COUNTIFS(DB_All!$G$2:$G$1000,B105,DB_All!$L$2:$L$1000,"بانتظار سندات الاستلام \ شهادة الإنجاز"))</f>
        <v/>
      </c>
      <c r="R105" t="str">
        <f t="shared" si="5"/>
        <v/>
      </c>
    </row>
    <row r="106" spans="6:18" x14ac:dyDescent="0.3">
      <c r="F106" t="str">
        <f>IF(B106="","",SUMIFS(DB_All!$M$2:$M$1000,DB_All!$G$2:$G$1000,B106,DB_All!$L$2:$L$1000,"تحت إجراءات التعاقد"))</f>
        <v/>
      </c>
      <c r="G106" t="str">
        <f>IF(B106="","",COUNTIFS(DB_All!$G$2:$G$1000,B106,DB_All!$L$2:$L$1000,"تحت إجراءات التعاقد"))</f>
        <v/>
      </c>
      <c r="H106" t="str">
        <f>IF(B106="","",SUMIFS(DB_All!$N$2:$N$1000,DB_All!$G$2:$G$1000,B106,DB_All!$L$2:$L$1000,"تم التوقيع"))</f>
        <v/>
      </c>
      <c r="I106" t="str">
        <f>IF(B106="","",COUNTIFS(DB_All!$G$2:$G$1000,B106,DB_All!$L$2:$L$1000,"تم التوقيع"))</f>
        <v/>
      </c>
      <c r="J106">
        <f t="shared" si="3"/>
        <v>0</v>
      </c>
      <c r="K106" t="str">
        <f>IF(B106="","",SUMIFS('المطالبات 2026'!$J:$J,'المطالبات 2026'!$E:$E,B106,'المطالبات 2026'!$I:$I,"مطالبة مرفوعة للمالية") + SUMIFS('المطالبات 2025'!$J:$J,'المطالبات 2025'!$E:$E,B106,'المطالبات 2025'!$I:$I,"مطالبة مرفوعة للمالية"))</f>
        <v/>
      </c>
      <c r="L106" t="str">
        <f>IF(B106="","",COUNTIFS('المطالبات 2026'!$E:$E,B106,'المطالبات 2026'!$I:$I,"مطالبة مرفوعة للمالية") + COUNTIFS('المطالبات 2025'!$E:$E,B106,'المطالبات 2025'!$I:$I,"مطالبة مرفوعة للمالية"))</f>
        <v/>
      </c>
      <c r="M106">
        <f t="shared" si="4"/>
        <v>0</v>
      </c>
      <c r="N106" t="str">
        <f>IF(B106="","",SUMIFS(DB_All!$N$2:$N$1000,DB_All!$G$2:$G$1000,B106,DB_All!$L$2:$L$1000,"تحت إجراءات التوريد"))</f>
        <v/>
      </c>
      <c r="O106" t="str">
        <f>IF(B106="","",COUNTIFS(DB_All!$G$2:$G$1000,B106,DB_All!$L$2:$L$1000,"تحت إجراءات التوريد"))</f>
        <v/>
      </c>
      <c r="P106" t="str">
        <f>IF(B106="","",SUMIFS(DB_All!$N$2:$N$1000,DB_All!$G$2:$G$1000,B106,DB_All!$L$2:$L$1000,"بانتظار سندات الاستلام \ شهادة الإنجاز"))</f>
        <v/>
      </c>
      <c r="Q106" t="str">
        <f>IF(B106="","",COUNTIFS(DB_All!$G$2:$G$1000,B106,DB_All!$L$2:$L$1000,"بانتظار سندات الاستلام \ شهادة الإنجاز"))</f>
        <v/>
      </c>
      <c r="R106" t="str">
        <f t="shared" si="5"/>
        <v/>
      </c>
    </row>
    <row r="107" spans="6:18" x14ac:dyDescent="0.3">
      <c r="F107" t="str">
        <f>IF(B107="","",SUMIFS(DB_All!$M$2:$M$1000,DB_All!$G$2:$G$1000,B107,DB_All!$L$2:$L$1000,"تحت إجراءات التعاقد"))</f>
        <v/>
      </c>
      <c r="G107" t="str">
        <f>IF(B107="","",COUNTIFS(DB_All!$G$2:$G$1000,B107,DB_All!$L$2:$L$1000,"تحت إجراءات التعاقد"))</f>
        <v/>
      </c>
      <c r="H107" t="str">
        <f>IF(B107="","",SUMIFS(DB_All!$N$2:$N$1000,DB_All!$G$2:$G$1000,B107,DB_All!$L$2:$L$1000,"تم التوقيع"))</f>
        <v/>
      </c>
      <c r="I107" t="str">
        <f>IF(B107="","",COUNTIFS(DB_All!$G$2:$G$1000,B107,DB_All!$L$2:$L$1000,"تم التوقيع"))</f>
        <v/>
      </c>
      <c r="J107">
        <f t="shared" si="3"/>
        <v>0</v>
      </c>
      <c r="K107" t="str">
        <f>IF(B107="","",SUMIFS('المطالبات 2026'!$J:$J,'المطالبات 2026'!$E:$E,B107,'المطالبات 2026'!$I:$I,"مطالبة مرفوعة للمالية") + SUMIFS('المطالبات 2025'!$J:$J,'المطالبات 2025'!$E:$E,B107,'المطالبات 2025'!$I:$I,"مطالبة مرفوعة للمالية"))</f>
        <v/>
      </c>
      <c r="L107" t="str">
        <f>IF(B107="","",COUNTIFS('المطالبات 2026'!$E:$E,B107,'المطالبات 2026'!$I:$I,"مطالبة مرفوعة للمالية") + COUNTIFS('المطالبات 2025'!$E:$E,B107,'المطالبات 2025'!$I:$I,"مطالبة مرفوعة للمالية"))</f>
        <v/>
      </c>
      <c r="M107">
        <f t="shared" si="4"/>
        <v>0</v>
      </c>
      <c r="N107" t="str">
        <f>IF(B107="","",SUMIFS(DB_All!$N$2:$N$1000,DB_All!$G$2:$G$1000,B107,DB_All!$L$2:$L$1000,"تحت إجراءات التوريد"))</f>
        <v/>
      </c>
      <c r="O107" t="str">
        <f>IF(B107="","",COUNTIFS(DB_All!$G$2:$G$1000,B107,DB_All!$L$2:$L$1000,"تحت إجراءات التوريد"))</f>
        <v/>
      </c>
      <c r="P107" t="str">
        <f>IF(B107="","",SUMIFS(DB_All!$N$2:$N$1000,DB_All!$G$2:$G$1000,B107,DB_All!$L$2:$L$1000,"بانتظار سندات الاستلام \ شهادة الإنجاز"))</f>
        <v/>
      </c>
      <c r="Q107" t="str">
        <f>IF(B107="","",COUNTIFS(DB_All!$G$2:$G$1000,B107,DB_All!$L$2:$L$1000,"بانتظار سندات الاستلام \ شهادة الإنجاز"))</f>
        <v/>
      </c>
      <c r="R107" t="str">
        <f t="shared" si="5"/>
        <v/>
      </c>
    </row>
    <row r="108" spans="6:18" x14ac:dyDescent="0.3">
      <c r="F108" t="str">
        <f>IF(B108="","",SUMIFS(DB_All!$M$2:$M$1000,DB_All!$G$2:$G$1000,B108,DB_All!$L$2:$L$1000,"تحت إجراءات التعاقد"))</f>
        <v/>
      </c>
      <c r="G108" t="str">
        <f>IF(B108="","",COUNTIFS(DB_All!$G$2:$G$1000,B108,DB_All!$L$2:$L$1000,"تحت إجراءات التعاقد"))</f>
        <v/>
      </c>
      <c r="H108" t="str">
        <f>IF(B108="","",SUMIFS(DB_All!$N$2:$N$1000,DB_All!$G$2:$G$1000,B108,DB_All!$L$2:$L$1000,"تم التوقيع"))</f>
        <v/>
      </c>
      <c r="I108" t="str">
        <f>IF(B108="","",COUNTIFS(DB_All!$G$2:$G$1000,B108,DB_All!$L$2:$L$1000,"تم التوقيع"))</f>
        <v/>
      </c>
      <c r="J108">
        <f t="shared" si="3"/>
        <v>0</v>
      </c>
      <c r="K108" t="str">
        <f>IF(B108="","",SUMIFS('المطالبات 2026'!$J:$J,'المطالبات 2026'!$E:$E,B108,'المطالبات 2026'!$I:$I,"مطالبة مرفوعة للمالية") + SUMIFS('المطالبات 2025'!$J:$J,'المطالبات 2025'!$E:$E,B108,'المطالبات 2025'!$I:$I,"مطالبة مرفوعة للمالية"))</f>
        <v/>
      </c>
      <c r="L108" t="str">
        <f>IF(B108="","",COUNTIFS('المطالبات 2026'!$E:$E,B108,'المطالبات 2026'!$I:$I,"مطالبة مرفوعة للمالية") + COUNTIFS('المطالبات 2025'!$E:$E,B108,'المطالبات 2025'!$I:$I,"مطالبة مرفوعة للمالية"))</f>
        <v/>
      </c>
      <c r="M108">
        <f t="shared" si="4"/>
        <v>0</v>
      </c>
      <c r="N108" t="str">
        <f>IF(B108="","",SUMIFS(DB_All!$N$2:$N$1000,DB_All!$G$2:$G$1000,B108,DB_All!$L$2:$L$1000,"تحت إجراءات التوريد"))</f>
        <v/>
      </c>
      <c r="O108" t="str">
        <f>IF(B108="","",COUNTIFS(DB_All!$G$2:$G$1000,B108,DB_All!$L$2:$L$1000,"تحت إجراءات التوريد"))</f>
        <v/>
      </c>
      <c r="P108" t="str">
        <f>IF(B108="","",SUMIFS(DB_All!$N$2:$N$1000,DB_All!$G$2:$G$1000,B108,DB_All!$L$2:$L$1000,"بانتظار سندات الاستلام \ شهادة الإنجاز"))</f>
        <v/>
      </c>
      <c r="Q108" t="str">
        <f>IF(B108="","",COUNTIFS(DB_All!$G$2:$G$1000,B108,DB_All!$L$2:$L$1000,"بانتظار سندات الاستلام \ شهادة الإنجاز"))</f>
        <v/>
      </c>
      <c r="R108" t="str">
        <f t="shared" si="5"/>
        <v/>
      </c>
    </row>
    <row r="109" spans="6:18" x14ac:dyDescent="0.3">
      <c r="F109" t="str">
        <f>IF(B109="","",SUMIFS(DB_All!$M$2:$M$1000,DB_All!$G$2:$G$1000,B109,DB_All!$L$2:$L$1000,"تحت إجراءات التعاقد"))</f>
        <v/>
      </c>
      <c r="G109" t="str">
        <f>IF(B109="","",COUNTIFS(DB_All!$G$2:$G$1000,B109,DB_All!$L$2:$L$1000,"تحت إجراءات التعاقد"))</f>
        <v/>
      </c>
      <c r="H109" t="str">
        <f>IF(B109="","",SUMIFS(DB_All!$N$2:$N$1000,DB_All!$G$2:$G$1000,B109,DB_All!$L$2:$L$1000,"تم التوقيع"))</f>
        <v/>
      </c>
      <c r="I109" t="str">
        <f>IF(B109="","",COUNTIFS(DB_All!$G$2:$G$1000,B109,DB_All!$L$2:$L$1000,"تم التوقيع"))</f>
        <v/>
      </c>
      <c r="J109">
        <f t="shared" si="3"/>
        <v>0</v>
      </c>
      <c r="K109" t="str">
        <f>IF(B109="","",SUMIFS('المطالبات 2026'!$J:$J,'المطالبات 2026'!$E:$E,B109,'المطالبات 2026'!$I:$I,"مطالبة مرفوعة للمالية") + SUMIFS('المطالبات 2025'!$J:$J,'المطالبات 2025'!$E:$E,B109,'المطالبات 2025'!$I:$I,"مطالبة مرفوعة للمالية"))</f>
        <v/>
      </c>
      <c r="L109" t="str">
        <f>IF(B109="","",COUNTIFS('المطالبات 2026'!$E:$E,B109,'المطالبات 2026'!$I:$I,"مطالبة مرفوعة للمالية") + COUNTIFS('المطالبات 2025'!$E:$E,B109,'المطالبات 2025'!$I:$I,"مطالبة مرفوعة للمالية"))</f>
        <v/>
      </c>
      <c r="M109">
        <f t="shared" si="4"/>
        <v>0</v>
      </c>
      <c r="N109" t="str">
        <f>IF(B109="","",SUMIFS(DB_All!$N$2:$N$1000,DB_All!$G$2:$G$1000,B109,DB_All!$L$2:$L$1000,"تحت إجراءات التوريد"))</f>
        <v/>
      </c>
      <c r="O109" t="str">
        <f>IF(B109="","",COUNTIFS(DB_All!$G$2:$G$1000,B109,DB_All!$L$2:$L$1000,"تحت إجراءات التوريد"))</f>
        <v/>
      </c>
      <c r="P109" t="str">
        <f>IF(B109="","",SUMIFS(DB_All!$N$2:$N$1000,DB_All!$G$2:$G$1000,B109,DB_All!$L$2:$L$1000,"بانتظار سندات الاستلام \ شهادة الإنجاز"))</f>
        <v/>
      </c>
      <c r="Q109" t="str">
        <f>IF(B109="","",COUNTIFS(DB_All!$G$2:$G$1000,B109,DB_All!$L$2:$L$1000,"بانتظار سندات الاستلام \ شهادة الإنجاز"))</f>
        <v/>
      </c>
      <c r="R109" t="str">
        <f t="shared" si="5"/>
        <v/>
      </c>
    </row>
    <row r="110" spans="6:18" x14ac:dyDescent="0.3">
      <c r="F110" t="str">
        <f>IF(B110="","",SUMIFS(DB_All!$M$2:$M$1000,DB_All!$G$2:$G$1000,B110,DB_All!$L$2:$L$1000,"تحت إجراءات التعاقد"))</f>
        <v/>
      </c>
      <c r="G110" t="str">
        <f>IF(B110="","",COUNTIFS(DB_All!$G$2:$G$1000,B110,DB_All!$L$2:$L$1000,"تحت إجراءات التعاقد"))</f>
        <v/>
      </c>
      <c r="H110" t="str">
        <f>IF(B110="","",SUMIFS(DB_All!$N$2:$N$1000,DB_All!$G$2:$G$1000,B110,DB_All!$L$2:$L$1000,"تم التوقيع"))</f>
        <v/>
      </c>
      <c r="I110" t="str">
        <f>IF(B110="","",COUNTIFS(DB_All!$G$2:$G$1000,B110,DB_All!$L$2:$L$1000,"تم التوقيع"))</f>
        <v/>
      </c>
      <c r="J110">
        <f t="shared" si="3"/>
        <v>0</v>
      </c>
      <c r="K110" t="str">
        <f>IF(B110="","",SUMIFS('المطالبات 2026'!$J:$J,'المطالبات 2026'!$E:$E,B110,'المطالبات 2026'!$I:$I,"مطالبة مرفوعة للمالية") + SUMIFS('المطالبات 2025'!$J:$J,'المطالبات 2025'!$E:$E,B110,'المطالبات 2025'!$I:$I,"مطالبة مرفوعة للمالية"))</f>
        <v/>
      </c>
      <c r="L110" t="str">
        <f>IF(B110="","",COUNTIFS('المطالبات 2026'!$E:$E,B110,'المطالبات 2026'!$I:$I,"مطالبة مرفوعة للمالية") + COUNTIFS('المطالبات 2025'!$E:$E,B110,'المطالبات 2025'!$I:$I,"مطالبة مرفوعة للمالية"))</f>
        <v/>
      </c>
      <c r="M110">
        <f t="shared" si="4"/>
        <v>0</v>
      </c>
      <c r="N110" t="str">
        <f>IF(B110="","",SUMIFS(DB_All!$N$2:$N$1000,DB_All!$G$2:$G$1000,B110,DB_All!$L$2:$L$1000,"تحت إجراءات التوريد"))</f>
        <v/>
      </c>
      <c r="O110" t="str">
        <f>IF(B110="","",COUNTIFS(DB_All!$G$2:$G$1000,B110,DB_All!$L$2:$L$1000,"تحت إجراءات التوريد"))</f>
        <v/>
      </c>
      <c r="P110" t="str">
        <f>IF(B110="","",SUMIFS(DB_All!$N$2:$N$1000,DB_All!$G$2:$G$1000,B110,DB_All!$L$2:$L$1000,"بانتظار سندات الاستلام \ شهادة الإنجاز"))</f>
        <v/>
      </c>
      <c r="Q110" t="str">
        <f>IF(B110="","",COUNTIFS(DB_All!$G$2:$G$1000,B110,DB_All!$L$2:$L$1000,"بانتظار سندات الاستلام \ شهادة الإنجاز"))</f>
        <v/>
      </c>
      <c r="R110" t="str">
        <f t="shared" si="5"/>
        <v/>
      </c>
    </row>
    <row r="111" spans="6:18" x14ac:dyDescent="0.3">
      <c r="F111" t="str">
        <f>IF(B111="","",SUMIFS(DB_All!$M$2:$M$1000,DB_All!$G$2:$G$1000,B111,DB_All!$L$2:$L$1000,"تحت إجراءات التعاقد"))</f>
        <v/>
      </c>
      <c r="G111" t="str">
        <f>IF(B111="","",COUNTIFS(DB_All!$G$2:$G$1000,B111,DB_All!$L$2:$L$1000,"تحت إجراءات التعاقد"))</f>
        <v/>
      </c>
      <c r="H111" t="str">
        <f>IF(B111="","",SUMIFS(DB_All!$N$2:$N$1000,DB_All!$G$2:$G$1000,B111,DB_All!$L$2:$L$1000,"تم التوقيع"))</f>
        <v/>
      </c>
      <c r="I111" t="str">
        <f>IF(B111="","",COUNTIFS(DB_All!$G$2:$G$1000,B111,DB_All!$L$2:$L$1000,"تم التوقيع"))</f>
        <v/>
      </c>
      <c r="J111">
        <f t="shared" si="3"/>
        <v>0</v>
      </c>
      <c r="K111" t="str">
        <f>IF(B111="","",SUMIFS('المطالبات 2026'!$J:$J,'المطالبات 2026'!$E:$E,B111,'المطالبات 2026'!$I:$I,"مطالبة مرفوعة للمالية") + SUMIFS('المطالبات 2025'!$J:$J,'المطالبات 2025'!$E:$E,B111,'المطالبات 2025'!$I:$I,"مطالبة مرفوعة للمالية"))</f>
        <v/>
      </c>
      <c r="L111" t="str">
        <f>IF(B111="","",COUNTIFS('المطالبات 2026'!$E:$E,B111,'المطالبات 2026'!$I:$I,"مطالبة مرفوعة للمالية") + COUNTIFS('المطالبات 2025'!$E:$E,B111,'المطالبات 2025'!$I:$I,"مطالبة مرفوعة للمالية"))</f>
        <v/>
      </c>
      <c r="M111">
        <f t="shared" si="4"/>
        <v>0</v>
      </c>
      <c r="N111" t="str">
        <f>IF(B111="","",SUMIFS(DB_All!$N$2:$N$1000,DB_All!$G$2:$G$1000,B111,DB_All!$L$2:$L$1000,"تحت إجراءات التوريد"))</f>
        <v/>
      </c>
      <c r="O111" t="str">
        <f>IF(B111="","",COUNTIFS(DB_All!$G$2:$G$1000,B111,DB_All!$L$2:$L$1000,"تحت إجراءات التوريد"))</f>
        <v/>
      </c>
      <c r="P111" t="str">
        <f>IF(B111="","",SUMIFS(DB_All!$N$2:$N$1000,DB_All!$G$2:$G$1000,B111,DB_All!$L$2:$L$1000,"بانتظار سندات الاستلام \ شهادة الإنجاز"))</f>
        <v/>
      </c>
      <c r="Q111" t="str">
        <f>IF(B111="","",COUNTIFS(DB_All!$G$2:$G$1000,B111,DB_All!$L$2:$L$1000,"بانتظار سندات الاستلام \ شهادة الإنجاز"))</f>
        <v/>
      </c>
      <c r="R111" t="str">
        <f t="shared" si="5"/>
        <v/>
      </c>
    </row>
    <row r="112" spans="6:18" x14ac:dyDescent="0.3">
      <c r="F112" t="str">
        <f>IF(B112="","",SUMIFS(DB_All!$M$2:$M$1000,DB_All!$G$2:$G$1000,B112,DB_All!$L$2:$L$1000,"تحت إجراءات التعاقد"))</f>
        <v/>
      </c>
      <c r="G112" t="str">
        <f>IF(B112="","",COUNTIFS(DB_All!$G$2:$G$1000,B112,DB_All!$L$2:$L$1000,"تحت إجراءات التعاقد"))</f>
        <v/>
      </c>
      <c r="H112" t="str">
        <f>IF(B112="","",SUMIFS(DB_All!$N$2:$N$1000,DB_All!$G$2:$G$1000,B112,DB_All!$L$2:$L$1000,"تم التوقيع"))</f>
        <v/>
      </c>
      <c r="I112" t="str">
        <f>IF(B112="","",COUNTIFS(DB_All!$G$2:$G$1000,B112,DB_All!$L$2:$L$1000,"تم التوقيع"))</f>
        <v/>
      </c>
      <c r="J112">
        <f t="shared" si="3"/>
        <v>0</v>
      </c>
      <c r="K112" t="str">
        <f>IF(B112="","",SUMIFS('المطالبات 2026'!$J:$J,'المطالبات 2026'!$E:$E,B112,'المطالبات 2026'!$I:$I,"مطالبة مرفوعة للمالية") + SUMIFS('المطالبات 2025'!$J:$J,'المطالبات 2025'!$E:$E,B112,'المطالبات 2025'!$I:$I,"مطالبة مرفوعة للمالية"))</f>
        <v/>
      </c>
      <c r="L112" t="str">
        <f>IF(B112="","",COUNTIFS('المطالبات 2026'!$E:$E,B112,'المطالبات 2026'!$I:$I,"مطالبة مرفوعة للمالية") + COUNTIFS('المطالبات 2025'!$E:$E,B112,'المطالبات 2025'!$I:$I,"مطالبة مرفوعة للمالية"))</f>
        <v/>
      </c>
      <c r="M112">
        <f t="shared" si="4"/>
        <v>0</v>
      </c>
      <c r="N112" t="str">
        <f>IF(B112="","",SUMIFS(DB_All!$N$2:$N$1000,DB_All!$G$2:$G$1000,B112,DB_All!$L$2:$L$1000,"تحت إجراءات التوريد"))</f>
        <v/>
      </c>
      <c r="O112" t="str">
        <f>IF(B112="","",COUNTIFS(DB_All!$G$2:$G$1000,B112,DB_All!$L$2:$L$1000,"تحت إجراءات التوريد"))</f>
        <v/>
      </c>
      <c r="P112" t="str">
        <f>IF(B112="","",SUMIFS(DB_All!$N$2:$N$1000,DB_All!$G$2:$G$1000,B112,DB_All!$L$2:$L$1000,"بانتظار سندات الاستلام \ شهادة الإنجاز"))</f>
        <v/>
      </c>
      <c r="Q112" t="str">
        <f>IF(B112="","",COUNTIFS(DB_All!$G$2:$G$1000,B112,DB_All!$L$2:$L$1000,"بانتظار سندات الاستلام \ شهادة الإنجاز"))</f>
        <v/>
      </c>
      <c r="R112" t="str">
        <f t="shared" si="5"/>
        <v/>
      </c>
    </row>
    <row r="113" spans="6:18" x14ac:dyDescent="0.3">
      <c r="F113" t="str">
        <f>IF(B113="","",SUMIFS(DB_All!$M$2:$M$1000,DB_All!$G$2:$G$1000,B113,DB_All!$L$2:$L$1000,"تحت إجراءات التعاقد"))</f>
        <v/>
      </c>
      <c r="G113" t="str">
        <f>IF(B113="","",COUNTIFS(DB_All!$G$2:$G$1000,B113,DB_All!$L$2:$L$1000,"تحت إجراءات التعاقد"))</f>
        <v/>
      </c>
      <c r="H113" t="str">
        <f>IF(B113="","",SUMIFS(DB_All!$N$2:$N$1000,DB_All!$G$2:$G$1000,B113,DB_All!$L$2:$L$1000,"تم التوقيع"))</f>
        <v/>
      </c>
      <c r="I113" t="str">
        <f>IF(B113="","",COUNTIFS(DB_All!$G$2:$G$1000,B113,DB_All!$L$2:$L$1000,"تم التوقيع"))</f>
        <v/>
      </c>
      <c r="J113">
        <f t="shared" si="3"/>
        <v>0</v>
      </c>
      <c r="K113" t="str">
        <f>IF(B113="","",SUMIFS('المطالبات 2026'!$J:$J,'المطالبات 2026'!$E:$E,B113,'المطالبات 2026'!$I:$I,"مطالبة مرفوعة للمالية") + SUMIFS('المطالبات 2025'!$J:$J,'المطالبات 2025'!$E:$E,B113,'المطالبات 2025'!$I:$I,"مطالبة مرفوعة للمالية"))</f>
        <v/>
      </c>
      <c r="L113" t="str">
        <f>IF(B113="","",COUNTIFS('المطالبات 2026'!$E:$E,B113,'المطالبات 2026'!$I:$I,"مطالبة مرفوعة للمالية") + COUNTIFS('المطالبات 2025'!$E:$E,B113,'المطالبات 2025'!$I:$I,"مطالبة مرفوعة للمالية"))</f>
        <v/>
      </c>
      <c r="M113">
        <f t="shared" si="4"/>
        <v>0</v>
      </c>
      <c r="N113" t="str">
        <f>IF(B113="","",SUMIFS(DB_All!$N$2:$N$1000,DB_All!$G$2:$G$1000,B113,DB_All!$L$2:$L$1000,"تحت إجراءات التوريد"))</f>
        <v/>
      </c>
      <c r="O113" t="str">
        <f>IF(B113="","",COUNTIFS(DB_All!$G$2:$G$1000,B113,DB_All!$L$2:$L$1000,"تحت إجراءات التوريد"))</f>
        <v/>
      </c>
      <c r="P113" t="str">
        <f>IF(B113="","",SUMIFS(DB_All!$N$2:$N$1000,DB_All!$G$2:$G$1000,B113,DB_All!$L$2:$L$1000,"بانتظار سندات الاستلام \ شهادة الإنجاز"))</f>
        <v/>
      </c>
      <c r="Q113" t="str">
        <f>IF(B113="","",COUNTIFS(DB_All!$G$2:$G$1000,B113,DB_All!$L$2:$L$1000,"بانتظار سندات الاستلام \ شهادة الإنجاز"))</f>
        <v/>
      </c>
      <c r="R113" t="str">
        <f t="shared" si="5"/>
        <v/>
      </c>
    </row>
    <row r="114" spans="6:18" x14ac:dyDescent="0.3">
      <c r="F114" t="str">
        <f>IF(B114="","",SUMIFS(DB_All!$M$2:$M$1000,DB_All!$G$2:$G$1000,B114,DB_All!$L$2:$L$1000,"تحت إجراءات التعاقد"))</f>
        <v/>
      </c>
      <c r="G114" t="str">
        <f>IF(B114="","",COUNTIFS(DB_All!$G$2:$G$1000,B114,DB_All!$L$2:$L$1000,"تحت إجراءات التعاقد"))</f>
        <v/>
      </c>
      <c r="H114" t="str">
        <f>IF(B114="","",SUMIFS(DB_All!$N$2:$N$1000,DB_All!$G$2:$G$1000,B114,DB_All!$L$2:$L$1000,"تم التوقيع"))</f>
        <v/>
      </c>
      <c r="I114" t="str">
        <f>IF(B114="","",COUNTIFS(DB_All!$G$2:$G$1000,B114,DB_All!$L$2:$L$1000,"تم التوقيع"))</f>
        <v/>
      </c>
      <c r="J114">
        <f t="shared" si="3"/>
        <v>0</v>
      </c>
      <c r="K114" t="str">
        <f>IF(B114="","",SUMIFS('المطالبات 2026'!$J:$J,'المطالبات 2026'!$E:$E,B114,'المطالبات 2026'!$I:$I,"مطالبة مرفوعة للمالية") + SUMIFS('المطالبات 2025'!$J:$J,'المطالبات 2025'!$E:$E,B114,'المطالبات 2025'!$I:$I,"مطالبة مرفوعة للمالية"))</f>
        <v/>
      </c>
      <c r="L114" t="str">
        <f>IF(B114="","",COUNTIFS('المطالبات 2026'!$E:$E,B114,'المطالبات 2026'!$I:$I,"مطالبة مرفوعة للمالية") + COUNTIFS('المطالبات 2025'!$E:$E,B114,'المطالبات 2025'!$I:$I,"مطالبة مرفوعة للمالية"))</f>
        <v/>
      </c>
      <c r="M114">
        <f t="shared" si="4"/>
        <v>0</v>
      </c>
      <c r="N114" t="str">
        <f>IF(B114="","",SUMIFS(DB_All!$N$2:$N$1000,DB_All!$G$2:$G$1000,B114,DB_All!$L$2:$L$1000,"تحت إجراءات التوريد"))</f>
        <v/>
      </c>
      <c r="O114" t="str">
        <f>IF(B114="","",COUNTIFS(DB_All!$G$2:$G$1000,B114,DB_All!$L$2:$L$1000,"تحت إجراءات التوريد"))</f>
        <v/>
      </c>
      <c r="P114" t="str">
        <f>IF(B114="","",SUMIFS(DB_All!$N$2:$N$1000,DB_All!$G$2:$G$1000,B114,DB_All!$L$2:$L$1000,"بانتظار سندات الاستلام \ شهادة الإنجاز"))</f>
        <v/>
      </c>
      <c r="Q114" t="str">
        <f>IF(B114="","",COUNTIFS(DB_All!$G$2:$G$1000,B114,DB_All!$L$2:$L$1000,"بانتظار سندات الاستلام \ شهادة الإنجاز"))</f>
        <v/>
      </c>
      <c r="R114" t="str">
        <f t="shared" si="5"/>
        <v/>
      </c>
    </row>
    <row r="115" spans="6:18" x14ac:dyDescent="0.3">
      <c r="F115" t="str">
        <f>IF(B115="","",SUMIFS(DB_All!$M$2:$M$1000,DB_All!$G$2:$G$1000,B115,DB_All!$L$2:$L$1000,"تحت إجراءات التعاقد"))</f>
        <v/>
      </c>
      <c r="G115" t="str">
        <f>IF(B115="","",COUNTIFS(DB_All!$G$2:$G$1000,B115,DB_All!$L$2:$L$1000,"تحت إجراءات التعاقد"))</f>
        <v/>
      </c>
      <c r="H115" t="str">
        <f>IF(B115="","",SUMIFS(DB_All!$N$2:$N$1000,DB_All!$G$2:$G$1000,B115,DB_All!$L$2:$L$1000,"تم التوقيع"))</f>
        <v/>
      </c>
      <c r="I115" t="str">
        <f>IF(B115="","",COUNTIFS(DB_All!$G$2:$G$1000,B115,DB_All!$L$2:$L$1000,"تم التوقيع"))</f>
        <v/>
      </c>
      <c r="J115">
        <f t="shared" si="3"/>
        <v>0</v>
      </c>
      <c r="K115" t="str">
        <f>IF(B115="","",SUMIFS('المطالبات 2026'!$J:$J,'المطالبات 2026'!$E:$E,B115,'المطالبات 2026'!$I:$I,"مطالبة مرفوعة للمالية") + SUMIFS('المطالبات 2025'!$J:$J,'المطالبات 2025'!$E:$E,B115,'المطالبات 2025'!$I:$I,"مطالبة مرفوعة للمالية"))</f>
        <v/>
      </c>
      <c r="L115" t="str">
        <f>IF(B115="","",COUNTIFS('المطالبات 2026'!$E:$E,B115,'المطالبات 2026'!$I:$I,"مطالبة مرفوعة للمالية") + COUNTIFS('المطالبات 2025'!$E:$E,B115,'المطالبات 2025'!$I:$I,"مطالبة مرفوعة للمالية"))</f>
        <v/>
      </c>
      <c r="M115">
        <f t="shared" si="4"/>
        <v>0</v>
      </c>
      <c r="N115" t="str">
        <f>IF(B115="","",SUMIFS(DB_All!$N$2:$N$1000,DB_All!$G$2:$G$1000,B115,DB_All!$L$2:$L$1000,"تحت إجراءات التوريد"))</f>
        <v/>
      </c>
      <c r="O115" t="str">
        <f>IF(B115="","",COUNTIFS(DB_All!$G$2:$G$1000,B115,DB_All!$L$2:$L$1000,"تحت إجراءات التوريد"))</f>
        <v/>
      </c>
      <c r="P115" t="str">
        <f>IF(B115="","",SUMIFS(DB_All!$N$2:$N$1000,DB_All!$G$2:$G$1000,B115,DB_All!$L$2:$L$1000,"بانتظار سندات الاستلام \ شهادة الإنجاز"))</f>
        <v/>
      </c>
      <c r="Q115" t="str">
        <f>IF(B115="","",COUNTIFS(DB_All!$G$2:$G$1000,B115,DB_All!$L$2:$L$1000,"بانتظار سندات الاستلام \ شهادة الإنجاز"))</f>
        <v/>
      </c>
      <c r="R115" t="str">
        <f t="shared" si="5"/>
        <v/>
      </c>
    </row>
    <row r="116" spans="6:18" x14ac:dyDescent="0.3">
      <c r="F116" t="str">
        <f>IF(B116="","",SUMIFS(DB_All!$M$2:$M$1000,DB_All!$G$2:$G$1000,B116,DB_All!$L$2:$L$1000,"تحت إجراءات التعاقد"))</f>
        <v/>
      </c>
      <c r="G116" t="str">
        <f>IF(B116="","",COUNTIFS(DB_All!$G$2:$G$1000,B116,DB_All!$L$2:$L$1000,"تحت إجراءات التعاقد"))</f>
        <v/>
      </c>
      <c r="H116" t="str">
        <f>IF(B116="","",SUMIFS(DB_All!$N$2:$N$1000,DB_All!$G$2:$G$1000,B116,DB_All!$L$2:$L$1000,"تم التوقيع"))</f>
        <v/>
      </c>
      <c r="I116" t="str">
        <f>IF(B116="","",COUNTIFS(DB_All!$G$2:$G$1000,B116,DB_All!$L$2:$L$1000,"تم التوقيع"))</f>
        <v/>
      </c>
      <c r="J116">
        <f t="shared" si="3"/>
        <v>0</v>
      </c>
      <c r="K116" t="str">
        <f>IF(B116="","",SUMIFS('المطالبات 2026'!$J:$J,'المطالبات 2026'!$E:$E,B116,'المطالبات 2026'!$I:$I,"مطالبة مرفوعة للمالية") + SUMIFS('المطالبات 2025'!$J:$J,'المطالبات 2025'!$E:$E,B116,'المطالبات 2025'!$I:$I,"مطالبة مرفوعة للمالية"))</f>
        <v/>
      </c>
      <c r="L116" t="str">
        <f>IF(B116="","",COUNTIFS('المطالبات 2026'!$E:$E,B116,'المطالبات 2026'!$I:$I,"مطالبة مرفوعة للمالية") + COUNTIFS('المطالبات 2025'!$E:$E,B116,'المطالبات 2025'!$I:$I,"مطالبة مرفوعة للمالية"))</f>
        <v/>
      </c>
      <c r="M116">
        <f t="shared" si="4"/>
        <v>0</v>
      </c>
      <c r="N116" t="str">
        <f>IF(B116="","",SUMIFS(DB_All!$N$2:$N$1000,DB_All!$G$2:$G$1000,B116,DB_All!$L$2:$L$1000,"تحت إجراءات التوريد"))</f>
        <v/>
      </c>
      <c r="O116" t="str">
        <f>IF(B116="","",COUNTIFS(DB_All!$G$2:$G$1000,B116,DB_All!$L$2:$L$1000,"تحت إجراءات التوريد"))</f>
        <v/>
      </c>
      <c r="P116" t="str">
        <f>IF(B116="","",SUMIFS(DB_All!$N$2:$N$1000,DB_All!$G$2:$G$1000,B116,DB_All!$L$2:$L$1000,"بانتظار سندات الاستلام \ شهادة الإنجاز"))</f>
        <v/>
      </c>
      <c r="Q116" t="str">
        <f>IF(B116="","",COUNTIFS(DB_All!$G$2:$G$1000,B116,DB_All!$L$2:$L$1000,"بانتظار سندات الاستلام \ شهادة الإنجاز"))</f>
        <v/>
      </c>
      <c r="R116" t="str">
        <f t="shared" si="5"/>
        <v/>
      </c>
    </row>
    <row r="117" spans="6:18" x14ac:dyDescent="0.3">
      <c r="F117" t="str">
        <f>IF(B117="","",SUMIFS(DB_All!$M$2:$M$1000,DB_All!$G$2:$G$1000,B117,DB_All!$L$2:$L$1000,"تحت إجراءات التعاقد"))</f>
        <v/>
      </c>
      <c r="G117" t="str">
        <f>IF(B117="","",COUNTIFS(DB_All!$G$2:$G$1000,B117,DB_All!$L$2:$L$1000,"تحت إجراءات التعاقد"))</f>
        <v/>
      </c>
      <c r="H117" t="str">
        <f>IF(B117="","",SUMIFS(DB_All!$N$2:$N$1000,DB_All!$G$2:$G$1000,B117,DB_All!$L$2:$L$1000,"تم التوقيع"))</f>
        <v/>
      </c>
      <c r="I117" t="str">
        <f>IF(B117="","",COUNTIFS(DB_All!$G$2:$G$1000,B117,DB_All!$L$2:$L$1000,"تم التوقيع"))</f>
        <v/>
      </c>
      <c r="J117">
        <f t="shared" si="3"/>
        <v>0</v>
      </c>
      <c r="K117" t="str">
        <f>IF(B117="","",SUMIFS('المطالبات 2026'!$J:$J,'المطالبات 2026'!$E:$E,B117,'المطالبات 2026'!$I:$I,"مطالبة مرفوعة للمالية") + SUMIFS('المطالبات 2025'!$J:$J,'المطالبات 2025'!$E:$E,B117,'المطالبات 2025'!$I:$I,"مطالبة مرفوعة للمالية"))</f>
        <v/>
      </c>
      <c r="L117" t="str">
        <f>IF(B117="","",COUNTIFS('المطالبات 2026'!$E:$E,B117,'المطالبات 2026'!$I:$I,"مطالبة مرفوعة للمالية") + COUNTIFS('المطالبات 2025'!$E:$E,B117,'المطالبات 2025'!$I:$I,"مطالبة مرفوعة للمالية"))</f>
        <v/>
      </c>
      <c r="M117">
        <f t="shared" si="4"/>
        <v>0</v>
      </c>
      <c r="N117" t="str">
        <f>IF(B117="","",SUMIFS(DB_All!$N$2:$N$1000,DB_All!$G$2:$G$1000,B117,DB_All!$L$2:$L$1000,"تحت إجراءات التوريد"))</f>
        <v/>
      </c>
      <c r="O117" t="str">
        <f>IF(B117="","",COUNTIFS(DB_All!$G$2:$G$1000,B117,DB_All!$L$2:$L$1000,"تحت إجراءات التوريد"))</f>
        <v/>
      </c>
      <c r="P117" t="str">
        <f>IF(B117="","",SUMIFS(DB_All!$N$2:$N$1000,DB_All!$G$2:$G$1000,B117,DB_All!$L$2:$L$1000,"بانتظار سندات الاستلام \ شهادة الإنجاز"))</f>
        <v/>
      </c>
      <c r="Q117" t="str">
        <f>IF(B117="","",COUNTIFS(DB_All!$G$2:$G$1000,B117,DB_All!$L$2:$L$1000,"بانتظار سندات الاستلام \ شهادة الإنجاز"))</f>
        <v/>
      </c>
      <c r="R117" t="str">
        <f t="shared" si="5"/>
        <v/>
      </c>
    </row>
    <row r="118" spans="6:18" x14ac:dyDescent="0.3">
      <c r="F118" t="str">
        <f>IF(B118="","",SUMIFS(DB_All!$M$2:$M$1000,DB_All!$G$2:$G$1000,B118,DB_All!$L$2:$L$1000,"تحت إجراءات التعاقد"))</f>
        <v/>
      </c>
      <c r="G118" t="str">
        <f>IF(B118="","",COUNTIFS(DB_All!$G$2:$G$1000,B118,DB_All!$L$2:$L$1000,"تحت إجراءات التعاقد"))</f>
        <v/>
      </c>
      <c r="H118" t="str">
        <f>IF(B118="","",SUMIFS(DB_All!$N$2:$N$1000,DB_All!$G$2:$G$1000,B118,DB_All!$L$2:$L$1000,"تم التوقيع"))</f>
        <v/>
      </c>
      <c r="I118" t="str">
        <f>IF(B118="","",COUNTIFS(DB_All!$G$2:$G$1000,B118,DB_All!$L$2:$L$1000,"تم التوقيع"))</f>
        <v/>
      </c>
      <c r="J118">
        <f t="shared" si="3"/>
        <v>0</v>
      </c>
      <c r="K118" t="str">
        <f>IF(B118="","",SUMIFS('المطالبات 2026'!$J:$J,'المطالبات 2026'!$E:$E,B118,'المطالبات 2026'!$I:$I,"مطالبة مرفوعة للمالية") + SUMIFS('المطالبات 2025'!$J:$J,'المطالبات 2025'!$E:$E,B118,'المطالبات 2025'!$I:$I,"مطالبة مرفوعة للمالية"))</f>
        <v/>
      </c>
      <c r="L118" t="str">
        <f>IF(B118="","",COUNTIFS('المطالبات 2026'!$E:$E,B118,'المطالبات 2026'!$I:$I,"مطالبة مرفوعة للمالية") + COUNTIFS('المطالبات 2025'!$E:$E,B118,'المطالبات 2025'!$I:$I,"مطالبة مرفوعة للمالية"))</f>
        <v/>
      </c>
      <c r="M118">
        <f t="shared" si="4"/>
        <v>0</v>
      </c>
      <c r="N118" t="str">
        <f>IF(B118="","",SUMIFS(DB_All!$N$2:$N$1000,DB_All!$G$2:$G$1000,B118,DB_All!$L$2:$L$1000,"تحت إجراءات التوريد"))</f>
        <v/>
      </c>
      <c r="O118" t="str">
        <f>IF(B118="","",COUNTIFS(DB_All!$G$2:$G$1000,B118,DB_All!$L$2:$L$1000,"تحت إجراءات التوريد"))</f>
        <v/>
      </c>
      <c r="P118" t="str">
        <f>IF(B118="","",SUMIFS(DB_All!$N$2:$N$1000,DB_All!$G$2:$G$1000,B118,DB_All!$L$2:$L$1000,"بانتظار سندات الاستلام \ شهادة الإنجاز"))</f>
        <v/>
      </c>
      <c r="Q118" t="str">
        <f>IF(B118="","",COUNTIFS(DB_All!$G$2:$G$1000,B118,DB_All!$L$2:$L$1000,"بانتظار سندات الاستلام \ شهادة الإنجاز"))</f>
        <v/>
      </c>
      <c r="R118" t="str">
        <f t="shared" si="5"/>
        <v/>
      </c>
    </row>
    <row r="119" spans="6:18" x14ac:dyDescent="0.3">
      <c r="F119" t="str">
        <f>IF(B119="","",SUMIFS(DB_All!$M$2:$M$1000,DB_All!$G$2:$G$1000,B119,DB_All!$L$2:$L$1000,"تحت إجراءات التعاقد"))</f>
        <v/>
      </c>
      <c r="G119" t="str">
        <f>IF(B119="","",COUNTIFS(DB_All!$G$2:$G$1000,B119,DB_All!$L$2:$L$1000,"تحت إجراءات التعاقد"))</f>
        <v/>
      </c>
      <c r="H119" t="str">
        <f>IF(B119="","",SUMIFS(DB_All!$N$2:$N$1000,DB_All!$G$2:$G$1000,B119,DB_All!$L$2:$L$1000,"تم التوقيع"))</f>
        <v/>
      </c>
      <c r="I119" t="str">
        <f>IF(B119="","",COUNTIFS(DB_All!$G$2:$G$1000,B119,DB_All!$L$2:$L$1000,"تم التوقيع"))</f>
        <v/>
      </c>
      <c r="J119">
        <f t="shared" si="3"/>
        <v>0</v>
      </c>
      <c r="K119" t="str">
        <f>IF(B119="","",SUMIFS('المطالبات 2026'!$J:$J,'المطالبات 2026'!$E:$E,B119,'المطالبات 2026'!$I:$I,"مطالبة مرفوعة للمالية") + SUMIFS('المطالبات 2025'!$J:$J,'المطالبات 2025'!$E:$E,B119,'المطالبات 2025'!$I:$I,"مطالبة مرفوعة للمالية"))</f>
        <v/>
      </c>
      <c r="L119" t="str">
        <f>IF(B119="","",COUNTIFS('المطالبات 2026'!$E:$E,B119,'المطالبات 2026'!$I:$I,"مطالبة مرفوعة للمالية") + COUNTIFS('المطالبات 2025'!$E:$E,B119,'المطالبات 2025'!$I:$I,"مطالبة مرفوعة للمالية"))</f>
        <v/>
      </c>
      <c r="M119">
        <f t="shared" si="4"/>
        <v>0</v>
      </c>
      <c r="N119" t="str">
        <f>IF(B119="","",SUMIFS(DB_All!$N$2:$N$1000,DB_All!$G$2:$G$1000,B119,DB_All!$L$2:$L$1000,"تحت إجراءات التوريد"))</f>
        <v/>
      </c>
      <c r="O119" t="str">
        <f>IF(B119="","",COUNTIFS(DB_All!$G$2:$G$1000,B119,DB_All!$L$2:$L$1000,"تحت إجراءات التوريد"))</f>
        <v/>
      </c>
      <c r="P119" t="str">
        <f>IF(B119="","",SUMIFS(DB_All!$N$2:$N$1000,DB_All!$G$2:$G$1000,B119,DB_All!$L$2:$L$1000,"بانتظار سندات الاستلام \ شهادة الإنجاز"))</f>
        <v/>
      </c>
      <c r="Q119" t="str">
        <f>IF(B119="","",COUNTIFS(DB_All!$G$2:$G$1000,B119,DB_All!$L$2:$L$1000,"بانتظار سندات الاستلام \ شهادة الإنجاز"))</f>
        <v/>
      </c>
      <c r="R119" t="str">
        <f t="shared" si="5"/>
        <v/>
      </c>
    </row>
    <row r="120" spans="6:18" x14ac:dyDescent="0.3">
      <c r="F120" t="str">
        <f>IF(B120="","",SUMIFS(DB_All!$M$2:$M$1000,DB_All!$G$2:$G$1000,B120,DB_All!$L$2:$L$1000,"تحت إجراءات التعاقد"))</f>
        <v/>
      </c>
      <c r="G120" t="str">
        <f>IF(B120="","",COUNTIFS(DB_All!$G$2:$G$1000,B120,DB_All!$L$2:$L$1000,"تحت إجراءات التعاقد"))</f>
        <v/>
      </c>
      <c r="H120" t="str">
        <f>IF(B120="","",SUMIFS(DB_All!$N$2:$N$1000,DB_All!$G$2:$G$1000,B120,DB_All!$L$2:$L$1000,"تم التوقيع"))</f>
        <v/>
      </c>
      <c r="I120" t="str">
        <f>IF(B120="","",COUNTIFS(DB_All!$G$2:$G$1000,B120,DB_All!$L$2:$L$1000,"تم التوقيع"))</f>
        <v/>
      </c>
      <c r="J120">
        <f t="shared" si="3"/>
        <v>0</v>
      </c>
      <c r="K120" t="str">
        <f>IF(B120="","",SUMIFS('المطالبات 2026'!$J:$J,'المطالبات 2026'!$E:$E,B120,'المطالبات 2026'!$I:$I,"مطالبة مرفوعة للمالية") + SUMIFS('المطالبات 2025'!$J:$J,'المطالبات 2025'!$E:$E,B120,'المطالبات 2025'!$I:$I,"مطالبة مرفوعة للمالية"))</f>
        <v/>
      </c>
      <c r="L120" t="str">
        <f>IF(B120="","",COUNTIFS('المطالبات 2026'!$E:$E,B120,'المطالبات 2026'!$I:$I,"مطالبة مرفوعة للمالية") + COUNTIFS('المطالبات 2025'!$E:$E,B120,'المطالبات 2025'!$I:$I,"مطالبة مرفوعة للمالية"))</f>
        <v/>
      </c>
      <c r="M120">
        <f t="shared" si="4"/>
        <v>0</v>
      </c>
      <c r="N120" t="str">
        <f>IF(B120="","",SUMIFS(DB_All!$N$2:$N$1000,DB_All!$G$2:$G$1000,B120,DB_All!$L$2:$L$1000,"تحت إجراءات التوريد"))</f>
        <v/>
      </c>
      <c r="O120" t="str">
        <f>IF(B120="","",COUNTIFS(DB_All!$G$2:$G$1000,B120,DB_All!$L$2:$L$1000,"تحت إجراءات التوريد"))</f>
        <v/>
      </c>
      <c r="P120" t="str">
        <f>IF(B120="","",SUMIFS(DB_All!$N$2:$N$1000,DB_All!$G$2:$G$1000,B120,DB_All!$L$2:$L$1000,"بانتظار سندات الاستلام \ شهادة الإنجاز"))</f>
        <v/>
      </c>
      <c r="Q120" t="str">
        <f>IF(B120="","",COUNTIFS(DB_All!$G$2:$G$1000,B120,DB_All!$L$2:$L$1000,"بانتظار سندات الاستلام \ شهادة الإنجاز"))</f>
        <v/>
      </c>
      <c r="R120" t="str">
        <f t="shared" si="5"/>
        <v/>
      </c>
    </row>
    <row r="121" spans="6:18" x14ac:dyDescent="0.3">
      <c r="F121" t="str">
        <f>IF(B121="","",SUMIFS(DB_All!$M$2:$M$1000,DB_All!$G$2:$G$1000,B121,DB_All!$L$2:$L$1000,"تحت إجراءات التعاقد"))</f>
        <v/>
      </c>
      <c r="G121" t="str">
        <f>IF(B121="","",COUNTIFS(DB_All!$G$2:$G$1000,B121,DB_All!$L$2:$L$1000,"تحت إجراءات التعاقد"))</f>
        <v/>
      </c>
      <c r="H121" t="str">
        <f>IF(B121="","",SUMIFS(DB_All!$N$2:$N$1000,DB_All!$G$2:$G$1000,B121,DB_All!$L$2:$L$1000,"تم التوقيع"))</f>
        <v/>
      </c>
      <c r="I121" t="str">
        <f>IF(B121="","",COUNTIFS(DB_All!$G$2:$G$1000,B121,DB_All!$L$2:$L$1000,"تم التوقيع"))</f>
        <v/>
      </c>
      <c r="J121">
        <f t="shared" si="3"/>
        <v>0</v>
      </c>
      <c r="K121" t="str">
        <f>IF(B121="","",SUMIFS('المطالبات 2026'!$J:$J,'المطالبات 2026'!$E:$E,B121,'المطالبات 2026'!$I:$I,"مطالبة مرفوعة للمالية") + SUMIFS('المطالبات 2025'!$J:$J,'المطالبات 2025'!$E:$E,B121,'المطالبات 2025'!$I:$I,"مطالبة مرفوعة للمالية"))</f>
        <v/>
      </c>
      <c r="L121" t="str">
        <f>IF(B121="","",COUNTIFS('المطالبات 2026'!$E:$E,B121,'المطالبات 2026'!$I:$I,"مطالبة مرفوعة للمالية") + COUNTIFS('المطالبات 2025'!$E:$E,B121,'المطالبات 2025'!$I:$I,"مطالبة مرفوعة للمالية"))</f>
        <v/>
      </c>
      <c r="M121">
        <f t="shared" si="4"/>
        <v>0</v>
      </c>
      <c r="N121" t="str">
        <f>IF(B121="","",SUMIFS(DB_All!$N$2:$N$1000,DB_All!$G$2:$G$1000,B121,DB_All!$L$2:$L$1000,"تحت إجراءات التوريد"))</f>
        <v/>
      </c>
      <c r="O121" t="str">
        <f>IF(B121="","",COUNTIFS(DB_All!$G$2:$G$1000,B121,DB_All!$L$2:$L$1000,"تحت إجراءات التوريد"))</f>
        <v/>
      </c>
      <c r="P121" t="str">
        <f>IF(B121="","",SUMIFS(DB_All!$N$2:$N$1000,DB_All!$G$2:$G$1000,B121,DB_All!$L$2:$L$1000,"بانتظار سندات الاستلام \ شهادة الإنجاز"))</f>
        <v/>
      </c>
      <c r="Q121" t="str">
        <f>IF(B121="","",COUNTIFS(DB_All!$G$2:$G$1000,B121,DB_All!$L$2:$L$1000,"بانتظار سندات الاستلام \ شهادة الإنجاز"))</f>
        <v/>
      </c>
      <c r="R121" t="str">
        <f t="shared" si="5"/>
        <v/>
      </c>
    </row>
    <row r="122" spans="6:18" x14ac:dyDescent="0.3">
      <c r="F122" t="str">
        <f>IF(B122="","",SUMIFS(DB_All!$M$2:$M$1000,DB_All!$G$2:$G$1000,B122,DB_All!$L$2:$L$1000,"تحت إجراءات التعاقد"))</f>
        <v/>
      </c>
      <c r="G122" t="str">
        <f>IF(B122="","",COUNTIFS(DB_All!$G$2:$G$1000,B122,DB_All!$L$2:$L$1000,"تحت إجراءات التعاقد"))</f>
        <v/>
      </c>
      <c r="H122" t="str">
        <f>IF(B122="","",SUMIFS(DB_All!$N$2:$N$1000,DB_All!$G$2:$G$1000,B122,DB_All!$L$2:$L$1000,"تم التوقيع"))</f>
        <v/>
      </c>
      <c r="I122" t="str">
        <f>IF(B122="","",COUNTIFS(DB_All!$G$2:$G$1000,B122,DB_All!$L$2:$L$1000,"تم التوقيع"))</f>
        <v/>
      </c>
      <c r="J122">
        <f t="shared" si="3"/>
        <v>0</v>
      </c>
      <c r="K122" t="str">
        <f>IF(B122="","",SUMIFS('المطالبات 2026'!$J:$J,'المطالبات 2026'!$E:$E,B122,'المطالبات 2026'!$I:$I,"مطالبة مرفوعة للمالية") + SUMIFS('المطالبات 2025'!$J:$J,'المطالبات 2025'!$E:$E,B122,'المطالبات 2025'!$I:$I,"مطالبة مرفوعة للمالية"))</f>
        <v/>
      </c>
      <c r="L122" t="str">
        <f>IF(B122="","",COUNTIFS('المطالبات 2026'!$E:$E,B122,'المطالبات 2026'!$I:$I,"مطالبة مرفوعة للمالية") + COUNTIFS('المطالبات 2025'!$E:$E,B122,'المطالبات 2025'!$I:$I,"مطالبة مرفوعة للمالية"))</f>
        <v/>
      </c>
      <c r="M122">
        <f t="shared" si="4"/>
        <v>0</v>
      </c>
      <c r="N122" t="str">
        <f>IF(B122="","",SUMIFS(DB_All!$N$2:$N$1000,DB_All!$G$2:$G$1000,B122,DB_All!$L$2:$L$1000,"تحت إجراءات التوريد"))</f>
        <v/>
      </c>
      <c r="O122" t="str">
        <f>IF(B122="","",COUNTIFS(DB_All!$G$2:$G$1000,B122,DB_All!$L$2:$L$1000,"تحت إجراءات التوريد"))</f>
        <v/>
      </c>
      <c r="P122" t="str">
        <f>IF(B122="","",SUMIFS(DB_All!$N$2:$N$1000,DB_All!$G$2:$G$1000,B122,DB_All!$L$2:$L$1000,"بانتظار سندات الاستلام \ شهادة الإنجاز"))</f>
        <v/>
      </c>
      <c r="Q122" t="str">
        <f>IF(B122="","",COUNTIFS(DB_All!$G$2:$G$1000,B122,DB_All!$L$2:$L$1000,"بانتظار سندات الاستلام \ شهادة الإنجاز"))</f>
        <v/>
      </c>
      <c r="R122" t="str">
        <f t="shared" si="5"/>
        <v/>
      </c>
    </row>
    <row r="123" spans="6:18" x14ac:dyDescent="0.3">
      <c r="F123" t="str">
        <f>IF(B123="","",SUMIFS(DB_All!$M$2:$M$1000,DB_All!$G$2:$G$1000,B123,DB_All!$L$2:$L$1000,"تحت إجراءات التعاقد"))</f>
        <v/>
      </c>
      <c r="G123" t="str">
        <f>IF(B123="","",COUNTIFS(DB_All!$G$2:$G$1000,B123,DB_All!$L$2:$L$1000,"تحت إجراءات التعاقد"))</f>
        <v/>
      </c>
      <c r="H123" t="str">
        <f>IF(B123="","",SUMIFS(DB_All!$N$2:$N$1000,DB_All!$G$2:$G$1000,B123,DB_All!$L$2:$L$1000,"تم التوقيع"))</f>
        <v/>
      </c>
      <c r="I123" t="str">
        <f>IF(B123="","",COUNTIFS(DB_All!$G$2:$G$1000,B123,DB_All!$L$2:$L$1000,"تم التوقيع"))</f>
        <v/>
      </c>
      <c r="J123">
        <f t="shared" si="3"/>
        <v>0</v>
      </c>
      <c r="K123" t="str">
        <f>IF(B123="","",SUMIFS('المطالبات 2026'!$J:$J,'المطالبات 2026'!$E:$E,B123,'المطالبات 2026'!$I:$I,"مطالبة مرفوعة للمالية") + SUMIFS('المطالبات 2025'!$J:$J,'المطالبات 2025'!$E:$E,B123,'المطالبات 2025'!$I:$I,"مطالبة مرفوعة للمالية"))</f>
        <v/>
      </c>
      <c r="L123" t="str">
        <f>IF(B123="","",COUNTIFS('المطالبات 2026'!$E:$E,B123,'المطالبات 2026'!$I:$I,"مطالبة مرفوعة للمالية") + COUNTIFS('المطالبات 2025'!$E:$E,B123,'المطالبات 2025'!$I:$I,"مطالبة مرفوعة للمالية"))</f>
        <v/>
      </c>
      <c r="M123">
        <f t="shared" si="4"/>
        <v>0</v>
      </c>
      <c r="N123" t="str">
        <f>IF(B123="","",SUMIFS(DB_All!$N$2:$N$1000,DB_All!$G$2:$G$1000,B123,DB_All!$L$2:$L$1000,"تحت إجراءات التوريد"))</f>
        <v/>
      </c>
      <c r="O123" t="str">
        <f>IF(B123="","",COUNTIFS(DB_All!$G$2:$G$1000,B123,DB_All!$L$2:$L$1000,"تحت إجراءات التوريد"))</f>
        <v/>
      </c>
      <c r="P123" t="str">
        <f>IF(B123="","",SUMIFS(DB_All!$N$2:$N$1000,DB_All!$G$2:$G$1000,B123,DB_All!$L$2:$L$1000,"بانتظار سندات الاستلام \ شهادة الإنجاز"))</f>
        <v/>
      </c>
      <c r="Q123" t="str">
        <f>IF(B123="","",COUNTIFS(DB_All!$G$2:$G$1000,B123,DB_All!$L$2:$L$1000,"بانتظار سندات الاستلام \ شهادة الإنجاز"))</f>
        <v/>
      </c>
      <c r="R123" t="str">
        <f t="shared" si="5"/>
        <v/>
      </c>
    </row>
    <row r="124" spans="6:18" x14ac:dyDescent="0.3">
      <c r="F124" t="str">
        <f>IF(B124="","",SUMIFS(DB_All!$M$2:$M$1000,DB_All!$G$2:$G$1000,B124,DB_All!$L$2:$L$1000,"تحت إجراءات التعاقد"))</f>
        <v/>
      </c>
      <c r="G124" t="str">
        <f>IF(B124="","",COUNTIFS(DB_All!$G$2:$G$1000,B124,DB_All!$L$2:$L$1000,"تحت إجراءات التعاقد"))</f>
        <v/>
      </c>
      <c r="H124" t="str">
        <f>IF(B124="","",SUMIFS(DB_All!$N$2:$N$1000,DB_All!$G$2:$G$1000,B124,DB_All!$L$2:$L$1000,"تم التوقيع"))</f>
        <v/>
      </c>
      <c r="I124" t="str">
        <f>IF(B124="","",COUNTIFS(DB_All!$G$2:$G$1000,B124,DB_All!$L$2:$L$1000,"تم التوقيع"))</f>
        <v/>
      </c>
      <c r="J124">
        <f t="shared" si="3"/>
        <v>0</v>
      </c>
      <c r="K124" t="str">
        <f>IF(B124="","",SUMIFS('المطالبات 2026'!$J:$J,'المطالبات 2026'!$E:$E,B124,'المطالبات 2026'!$I:$I,"مطالبة مرفوعة للمالية") + SUMIFS('المطالبات 2025'!$J:$J,'المطالبات 2025'!$E:$E,B124,'المطالبات 2025'!$I:$I,"مطالبة مرفوعة للمالية"))</f>
        <v/>
      </c>
      <c r="L124" t="str">
        <f>IF(B124="","",COUNTIFS('المطالبات 2026'!$E:$E,B124,'المطالبات 2026'!$I:$I,"مطالبة مرفوعة للمالية") + COUNTIFS('المطالبات 2025'!$E:$E,B124,'المطالبات 2025'!$I:$I,"مطالبة مرفوعة للمالية"))</f>
        <v/>
      </c>
      <c r="M124">
        <f t="shared" si="4"/>
        <v>0</v>
      </c>
      <c r="N124" t="str">
        <f>IF(B124="","",SUMIFS(DB_All!$N$2:$N$1000,DB_All!$G$2:$G$1000,B124,DB_All!$L$2:$L$1000,"تحت إجراءات التوريد"))</f>
        <v/>
      </c>
      <c r="O124" t="str">
        <f>IF(B124="","",COUNTIFS(DB_All!$G$2:$G$1000,B124,DB_All!$L$2:$L$1000,"تحت إجراءات التوريد"))</f>
        <v/>
      </c>
      <c r="P124" t="str">
        <f>IF(B124="","",SUMIFS(DB_All!$N$2:$N$1000,DB_All!$G$2:$G$1000,B124,DB_All!$L$2:$L$1000,"بانتظار سندات الاستلام \ شهادة الإنجاز"))</f>
        <v/>
      </c>
      <c r="Q124" t="str">
        <f>IF(B124="","",COUNTIFS(DB_All!$G$2:$G$1000,B124,DB_All!$L$2:$L$1000,"بانتظار سندات الاستلام \ شهادة الإنجاز"))</f>
        <v/>
      </c>
      <c r="R124" t="str">
        <f t="shared" si="5"/>
        <v/>
      </c>
    </row>
    <row r="125" spans="6:18" x14ac:dyDescent="0.3">
      <c r="F125" t="str">
        <f>IF(B125="","",SUMIFS(DB_All!$M$2:$M$1000,DB_All!$G$2:$G$1000,B125,DB_All!$L$2:$L$1000,"تحت إجراءات التعاقد"))</f>
        <v/>
      </c>
      <c r="G125" t="str">
        <f>IF(B125="","",COUNTIFS(DB_All!$G$2:$G$1000,B125,DB_All!$L$2:$L$1000,"تحت إجراءات التعاقد"))</f>
        <v/>
      </c>
      <c r="H125" t="str">
        <f>IF(B125="","",SUMIFS(DB_All!$N$2:$N$1000,DB_All!$G$2:$G$1000,B125,DB_All!$L$2:$L$1000,"تم التوقيع"))</f>
        <v/>
      </c>
      <c r="I125" t="str">
        <f>IF(B125="","",COUNTIFS(DB_All!$G$2:$G$1000,B125,DB_All!$L$2:$L$1000,"تم التوقيع"))</f>
        <v/>
      </c>
      <c r="J125">
        <f t="shared" si="3"/>
        <v>0</v>
      </c>
      <c r="K125" t="str">
        <f>IF(B125="","",SUMIFS('المطالبات 2026'!$J:$J,'المطالبات 2026'!$E:$E,B125,'المطالبات 2026'!$I:$I,"مطالبة مرفوعة للمالية") + SUMIFS('المطالبات 2025'!$J:$J,'المطالبات 2025'!$E:$E,B125,'المطالبات 2025'!$I:$I,"مطالبة مرفوعة للمالية"))</f>
        <v/>
      </c>
      <c r="L125" t="str">
        <f>IF(B125="","",COUNTIFS('المطالبات 2026'!$E:$E,B125,'المطالبات 2026'!$I:$I,"مطالبة مرفوعة للمالية") + COUNTIFS('المطالبات 2025'!$E:$E,B125,'المطالبات 2025'!$I:$I,"مطالبة مرفوعة للمالية"))</f>
        <v/>
      </c>
      <c r="M125">
        <f t="shared" si="4"/>
        <v>0</v>
      </c>
      <c r="N125" t="str">
        <f>IF(B125="","",SUMIFS(DB_All!$N$2:$N$1000,DB_All!$G$2:$G$1000,B125,DB_All!$L$2:$L$1000,"تحت إجراءات التوريد"))</f>
        <v/>
      </c>
      <c r="O125" t="str">
        <f>IF(B125="","",COUNTIFS(DB_All!$G$2:$G$1000,B125,DB_All!$L$2:$L$1000,"تحت إجراءات التوريد"))</f>
        <v/>
      </c>
      <c r="P125" t="str">
        <f>IF(B125="","",SUMIFS(DB_All!$N$2:$N$1000,DB_All!$G$2:$G$1000,B125,DB_All!$L$2:$L$1000,"بانتظار سندات الاستلام \ شهادة الإنجاز"))</f>
        <v/>
      </c>
      <c r="Q125" t="str">
        <f>IF(B125="","",COUNTIFS(DB_All!$G$2:$G$1000,B125,DB_All!$L$2:$L$1000,"بانتظار سندات الاستلام \ شهادة الإنجاز"))</f>
        <v/>
      </c>
      <c r="R125" t="str">
        <f t="shared" si="5"/>
        <v/>
      </c>
    </row>
    <row r="126" spans="6:18" x14ac:dyDescent="0.3">
      <c r="F126" t="str">
        <f>IF(B126="","",SUMIFS(DB_All!$M$2:$M$1000,DB_All!$G$2:$G$1000,B126,DB_All!$L$2:$L$1000,"تحت إجراءات التعاقد"))</f>
        <v/>
      </c>
      <c r="G126" t="str">
        <f>IF(B126="","",COUNTIFS(DB_All!$G$2:$G$1000,B126,DB_All!$L$2:$L$1000,"تحت إجراءات التعاقد"))</f>
        <v/>
      </c>
      <c r="H126" t="str">
        <f>IF(B126="","",SUMIFS(DB_All!$N$2:$N$1000,DB_All!$G$2:$G$1000,B126,DB_All!$L$2:$L$1000,"تم التوقيع"))</f>
        <v/>
      </c>
      <c r="I126" t="str">
        <f>IF(B126="","",COUNTIFS(DB_All!$G$2:$G$1000,B126,DB_All!$L$2:$L$1000,"تم التوقيع"))</f>
        <v/>
      </c>
      <c r="J126">
        <f t="shared" si="3"/>
        <v>0</v>
      </c>
      <c r="K126" t="str">
        <f>IF(B126="","",SUMIFS('المطالبات 2026'!$J:$J,'المطالبات 2026'!$E:$E,B126,'المطالبات 2026'!$I:$I,"مطالبة مرفوعة للمالية") + SUMIFS('المطالبات 2025'!$J:$J,'المطالبات 2025'!$E:$E,B126,'المطالبات 2025'!$I:$I,"مطالبة مرفوعة للمالية"))</f>
        <v/>
      </c>
      <c r="L126" t="str">
        <f>IF(B126="","",COUNTIFS('المطالبات 2026'!$E:$E,B126,'المطالبات 2026'!$I:$I,"مطالبة مرفوعة للمالية") + COUNTIFS('المطالبات 2025'!$E:$E,B126,'المطالبات 2025'!$I:$I,"مطالبة مرفوعة للمالية"))</f>
        <v/>
      </c>
      <c r="M126">
        <f t="shared" si="4"/>
        <v>0</v>
      </c>
      <c r="N126" t="str">
        <f>IF(B126="","",SUMIFS(DB_All!$N$2:$N$1000,DB_All!$G$2:$G$1000,B126,DB_All!$L$2:$L$1000,"تحت إجراءات التوريد"))</f>
        <v/>
      </c>
      <c r="O126" t="str">
        <f>IF(B126="","",COUNTIFS(DB_All!$G$2:$G$1000,B126,DB_All!$L$2:$L$1000,"تحت إجراءات التوريد"))</f>
        <v/>
      </c>
      <c r="P126" t="str">
        <f>IF(B126="","",SUMIFS(DB_All!$N$2:$N$1000,DB_All!$G$2:$G$1000,B126,DB_All!$L$2:$L$1000,"بانتظار سندات الاستلام \ شهادة الإنجاز"))</f>
        <v/>
      </c>
      <c r="Q126" t="str">
        <f>IF(B126="","",COUNTIFS(DB_All!$G$2:$G$1000,B126,DB_All!$L$2:$L$1000,"بانتظار سندات الاستلام \ شهادة الإنجاز"))</f>
        <v/>
      </c>
      <c r="R126" t="str">
        <f t="shared" si="5"/>
        <v/>
      </c>
    </row>
    <row r="127" spans="6:18" x14ac:dyDescent="0.3">
      <c r="F127" t="str">
        <f>IF(B127="","",SUMIFS(DB_All!$M$2:$M$1000,DB_All!$G$2:$G$1000,B127,DB_All!$L$2:$L$1000,"تحت إجراءات التعاقد"))</f>
        <v/>
      </c>
      <c r="G127" t="str">
        <f>IF(B127="","",COUNTIFS(DB_All!$G$2:$G$1000,B127,DB_All!$L$2:$L$1000,"تحت إجراءات التعاقد"))</f>
        <v/>
      </c>
      <c r="H127" t="str">
        <f>IF(B127="","",SUMIFS(DB_All!$N$2:$N$1000,DB_All!$G$2:$G$1000,B127,DB_All!$L$2:$L$1000,"تم التوقيع"))</f>
        <v/>
      </c>
      <c r="I127" t="str">
        <f>IF(B127="","",COUNTIFS(DB_All!$G$2:$G$1000,B127,DB_All!$L$2:$L$1000,"تم التوقيع"))</f>
        <v/>
      </c>
      <c r="J127">
        <f t="shared" si="3"/>
        <v>0</v>
      </c>
      <c r="K127" t="str">
        <f>IF(B127="","",SUMIFS('المطالبات 2026'!$J:$J,'المطالبات 2026'!$E:$E,B127,'المطالبات 2026'!$I:$I,"مطالبة مرفوعة للمالية") + SUMIFS('المطالبات 2025'!$J:$J,'المطالبات 2025'!$E:$E,B127,'المطالبات 2025'!$I:$I,"مطالبة مرفوعة للمالية"))</f>
        <v/>
      </c>
      <c r="L127" t="str">
        <f>IF(B127="","",COUNTIFS('المطالبات 2026'!$E:$E,B127,'المطالبات 2026'!$I:$I,"مطالبة مرفوعة للمالية") + COUNTIFS('المطالبات 2025'!$E:$E,B127,'المطالبات 2025'!$I:$I,"مطالبة مرفوعة للمالية"))</f>
        <v/>
      </c>
      <c r="M127">
        <f t="shared" si="4"/>
        <v>0</v>
      </c>
      <c r="N127" t="str">
        <f>IF(B127="","",SUMIFS(DB_All!$N$2:$N$1000,DB_All!$G$2:$G$1000,B127,DB_All!$L$2:$L$1000,"تحت إجراءات التوريد"))</f>
        <v/>
      </c>
      <c r="O127" t="str">
        <f>IF(B127="","",COUNTIFS(DB_All!$G$2:$G$1000,B127,DB_All!$L$2:$L$1000,"تحت إجراءات التوريد"))</f>
        <v/>
      </c>
      <c r="P127" t="str">
        <f>IF(B127="","",SUMIFS(DB_All!$N$2:$N$1000,DB_All!$G$2:$G$1000,B127,DB_All!$L$2:$L$1000,"بانتظار سندات الاستلام \ شهادة الإنجاز"))</f>
        <v/>
      </c>
      <c r="Q127" t="str">
        <f>IF(B127="","",COUNTIFS(DB_All!$G$2:$G$1000,B127,DB_All!$L$2:$L$1000,"بانتظار سندات الاستلام \ شهادة الإنجاز"))</f>
        <v/>
      </c>
      <c r="R127" t="str">
        <f t="shared" si="5"/>
        <v/>
      </c>
    </row>
    <row r="128" spans="6:18" x14ac:dyDescent="0.3">
      <c r="F128" t="str">
        <f>IF(B128="","",SUMIFS(DB_All!$M$2:$M$1000,DB_All!$G$2:$G$1000,B128,DB_All!$L$2:$L$1000,"تحت إجراءات التعاقد"))</f>
        <v/>
      </c>
      <c r="G128" t="str">
        <f>IF(B128="","",COUNTIFS(DB_All!$G$2:$G$1000,B128,DB_All!$L$2:$L$1000,"تحت إجراءات التعاقد"))</f>
        <v/>
      </c>
      <c r="H128" t="str">
        <f>IF(B128="","",SUMIFS(DB_All!$N$2:$N$1000,DB_All!$G$2:$G$1000,B128,DB_All!$L$2:$L$1000,"تم التوقيع"))</f>
        <v/>
      </c>
      <c r="I128" t="str">
        <f>IF(B128="","",COUNTIFS(DB_All!$G$2:$G$1000,B128,DB_All!$L$2:$L$1000,"تم التوقيع"))</f>
        <v/>
      </c>
      <c r="J128">
        <f t="shared" si="3"/>
        <v>0</v>
      </c>
      <c r="K128" t="str">
        <f>IF(B128="","",SUMIFS('المطالبات 2026'!$J:$J,'المطالبات 2026'!$E:$E,B128,'المطالبات 2026'!$I:$I,"مطالبة مرفوعة للمالية") + SUMIFS('المطالبات 2025'!$J:$J,'المطالبات 2025'!$E:$E,B128,'المطالبات 2025'!$I:$I,"مطالبة مرفوعة للمالية"))</f>
        <v/>
      </c>
      <c r="L128" t="str">
        <f>IF(B128="","",COUNTIFS('المطالبات 2026'!$E:$E,B128,'المطالبات 2026'!$I:$I,"مطالبة مرفوعة للمالية") + COUNTIFS('المطالبات 2025'!$E:$E,B128,'المطالبات 2025'!$I:$I,"مطالبة مرفوعة للمالية"))</f>
        <v/>
      </c>
      <c r="M128">
        <f t="shared" si="4"/>
        <v>0</v>
      </c>
      <c r="N128" t="str">
        <f>IF(B128="","",SUMIFS(DB_All!$N$2:$N$1000,DB_All!$G$2:$G$1000,B128,DB_All!$L$2:$L$1000,"تحت إجراءات التوريد"))</f>
        <v/>
      </c>
      <c r="O128" t="str">
        <f>IF(B128="","",COUNTIFS(DB_All!$G$2:$G$1000,B128,DB_All!$L$2:$L$1000,"تحت إجراءات التوريد"))</f>
        <v/>
      </c>
      <c r="P128" t="str">
        <f>IF(B128="","",SUMIFS(DB_All!$N$2:$N$1000,DB_All!$G$2:$G$1000,B128,DB_All!$L$2:$L$1000,"بانتظار سندات الاستلام \ شهادة الإنجاز"))</f>
        <v/>
      </c>
      <c r="Q128" t="str">
        <f>IF(B128="","",COUNTIFS(DB_All!$G$2:$G$1000,B128,DB_All!$L$2:$L$1000,"بانتظار سندات الاستلام \ شهادة الإنجاز"))</f>
        <v/>
      </c>
      <c r="R128" t="str">
        <f t="shared" si="5"/>
        <v/>
      </c>
    </row>
    <row r="129" spans="6:18" x14ac:dyDescent="0.3">
      <c r="F129" t="str">
        <f>IF(B129="","",SUMIFS(DB_All!$M$2:$M$1000,DB_All!$G$2:$G$1000,B129,DB_All!$L$2:$L$1000,"تحت إجراءات التعاقد"))</f>
        <v/>
      </c>
      <c r="G129" t="str">
        <f>IF(B129="","",COUNTIFS(DB_All!$G$2:$G$1000,B129,DB_All!$L$2:$L$1000,"تحت إجراءات التعاقد"))</f>
        <v/>
      </c>
      <c r="H129" t="str">
        <f>IF(B129="","",SUMIFS(DB_All!$N$2:$N$1000,DB_All!$G$2:$G$1000,B129,DB_All!$L$2:$L$1000,"تم التوقيع"))</f>
        <v/>
      </c>
      <c r="I129" t="str">
        <f>IF(B129="","",COUNTIFS(DB_All!$G$2:$G$1000,B129,DB_All!$L$2:$L$1000,"تم التوقيع"))</f>
        <v/>
      </c>
      <c r="J129">
        <f t="shared" si="3"/>
        <v>0</v>
      </c>
      <c r="K129" t="str">
        <f>IF(B129="","",SUMIFS('المطالبات 2026'!$J:$J,'المطالبات 2026'!$E:$E,B129,'المطالبات 2026'!$I:$I,"مطالبة مرفوعة للمالية") + SUMIFS('المطالبات 2025'!$J:$J,'المطالبات 2025'!$E:$E,B129,'المطالبات 2025'!$I:$I,"مطالبة مرفوعة للمالية"))</f>
        <v/>
      </c>
      <c r="L129" t="str">
        <f>IF(B129="","",COUNTIFS('المطالبات 2026'!$E:$E,B129,'المطالبات 2026'!$I:$I,"مطالبة مرفوعة للمالية") + COUNTIFS('المطالبات 2025'!$E:$E,B129,'المطالبات 2025'!$I:$I,"مطالبة مرفوعة للمالية"))</f>
        <v/>
      </c>
      <c r="M129">
        <f t="shared" si="4"/>
        <v>0</v>
      </c>
      <c r="N129" t="str">
        <f>IF(B129="","",SUMIFS(DB_All!$N$2:$N$1000,DB_All!$G$2:$G$1000,B129,DB_All!$L$2:$L$1000,"تحت إجراءات التوريد"))</f>
        <v/>
      </c>
      <c r="O129" t="str">
        <f>IF(B129="","",COUNTIFS(DB_All!$G$2:$G$1000,B129,DB_All!$L$2:$L$1000,"تحت إجراءات التوريد"))</f>
        <v/>
      </c>
      <c r="P129" t="str">
        <f>IF(B129="","",SUMIFS(DB_All!$N$2:$N$1000,DB_All!$G$2:$G$1000,B129,DB_All!$L$2:$L$1000,"بانتظار سندات الاستلام \ شهادة الإنجاز"))</f>
        <v/>
      </c>
      <c r="Q129" t="str">
        <f>IF(B129="","",COUNTIFS(DB_All!$G$2:$G$1000,B129,DB_All!$L$2:$L$1000,"بانتظار سندات الاستلام \ شهادة الإنجاز"))</f>
        <v/>
      </c>
      <c r="R129" t="str">
        <f t="shared" si="5"/>
        <v/>
      </c>
    </row>
    <row r="130" spans="6:18" x14ac:dyDescent="0.3">
      <c r="F130" t="str">
        <f>IF(B130="","",SUMIFS(DB_All!$M$2:$M$1000,DB_All!$G$2:$G$1000,B130,DB_All!$L$2:$L$1000,"تحت إجراءات التعاقد"))</f>
        <v/>
      </c>
      <c r="G130" t="str">
        <f>IF(B130="","",COUNTIFS(DB_All!$G$2:$G$1000,B130,DB_All!$L$2:$L$1000,"تحت إجراءات التعاقد"))</f>
        <v/>
      </c>
      <c r="H130" t="str">
        <f>IF(B130="","",SUMIFS(DB_All!$N$2:$N$1000,DB_All!$G$2:$G$1000,B130,DB_All!$L$2:$L$1000,"تم التوقيع"))</f>
        <v/>
      </c>
      <c r="I130" t="str">
        <f>IF(B130="","",COUNTIFS(DB_All!$G$2:$G$1000,B130,DB_All!$L$2:$L$1000,"تم التوقيع"))</f>
        <v/>
      </c>
      <c r="J130">
        <f t="shared" ref="J130:J193" si="6">IFERROR(H130/D130,0)</f>
        <v>0</v>
      </c>
      <c r="K130" t="str">
        <f>IF(B130="","",SUMIFS('المطالبات 2026'!$J:$J,'المطالبات 2026'!$E:$E,B130,'المطالبات 2026'!$I:$I,"مطالبة مرفوعة للمالية") + SUMIFS('المطالبات 2025'!$J:$J,'المطالبات 2025'!$E:$E,B130,'المطالبات 2025'!$I:$I,"مطالبة مرفوعة للمالية"))</f>
        <v/>
      </c>
      <c r="L130" t="str">
        <f>IF(B130="","",COUNTIFS('المطالبات 2026'!$E:$E,B130,'المطالبات 2026'!$I:$I,"مطالبة مرفوعة للمالية") + COUNTIFS('المطالبات 2025'!$E:$E,B130,'المطالبات 2025'!$I:$I,"مطالبة مرفوعة للمالية"))</f>
        <v/>
      </c>
      <c r="M130">
        <f t="shared" ref="M130:M193" si="7">IFERROR(K130/D130,0)</f>
        <v>0</v>
      </c>
      <c r="N130" t="str">
        <f>IF(B130="","",SUMIFS(DB_All!$N$2:$N$1000,DB_All!$G$2:$G$1000,B130,DB_All!$L$2:$L$1000,"تحت إجراءات التوريد"))</f>
        <v/>
      </c>
      <c r="O130" t="str">
        <f>IF(B130="","",COUNTIFS(DB_All!$G$2:$G$1000,B130,DB_All!$L$2:$L$1000,"تحت إجراءات التوريد"))</f>
        <v/>
      </c>
      <c r="P130" t="str">
        <f>IF(B130="","",SUMIFS(DB_All!$N$2:$N$1000,DB_All!$G$2:$G$1000,B130,DB_All!$L$2:$L$1000,"بانتظار سندات الاستلام \ شهادة الإنجاز"))</f>
        <v/>
      </c>
      <c r="Q130" t="str">
        <f>IF(B130="","",COUNTIFS(DB_All!$G$2:$G$1000,B130,DB_All!$L$2:$L$1000,"بانتظار سندات الاستلام \ شهادة الإنجاز"))</f>
        <v/>
      </c>
      <c r="R130" t="str">
        <f t="shared" ref="R130:R193" si="8">IF(B130="","",F130+H130)</f>
        <v/>
      </c>
    </row>
    <row r="131" spans="6:18" x14ac:dyDescent="0.3">
      <c r="F131" t="str">
        <f>IF(B131="","",SUMIFS(DB_All!$M$2:$M$1000,DB_All!$G$2:$G$1000,B131,DB_All!$L$2:$L$1000,"تحت إجراءات التعاقد"))</f>
        <v/>
      </c>
      <c r="G131" t="str">
        <f>IF(B131="","",COUNTIFS(DB_All!$G$2:$G$1000,B131,DB_All!$L$2:$L$1000,"تحت إجراءات التعاقد"))</f>
        <v/>
      </c>
      <c r="H131" t="str">
        <f>IF(B131="","",SUMIFS(DB_All!$N$2:$N$1000,DB_All!$G$2:$G$1000,B131,DB_All!$L$2:$L$1000,"تم التوقيع"))</f>
        <v/>
      </c>
      <c r="I131" t="str">
        <f>IF(B131="","",COUNTIFS(DB_All!$G$2:$G$1000,B131,DB_All!$L$2:$L$1000,"تم التوقيع"))</f>
        <v/>
      </c>
      <c r="J131">
        <f t="shared" si="6"/>
        <v>0</v>
      </c>
      <c r="K131" t="str">
        <f>IF(B131="","",SUMIFS('المطالبات 2026'!$J:$J,'المطالبات 2026'!$E:$E,B131,'المطالبات 2026'!$I:$I,"مطالبة مرفوعة للمالية") + SUMIFS('المطالبات 2025'!$J:$J,'المطالبات 2025'!$E:$E,B131,'المطالبات 2025'!$I:$I,"مطالبة مرفوعة للمالية"))</f>
        <v/>
      </c>
      <c r="L131" t="str">
        <f>IF(B131="","",COUNTIFS('المطالبات 2026'!$E:$E,B131,'المطالبات 2026'!$I:$I,"مطالبة مرفوعة للمالية") + COUNTIFS('المطالبات 2025'!$E:$E,B131,'المطالبات 2025'!$I:$I,"مطالبة مرفوعة للمالية"))</f>
        <v/>
      </c>
      <c r="M131">
        <f t="shared" si="7"/>
        <v>0</v>
      </c>
      <c r="N131" t="str">
        <f>IF(B131="","",SUMIFS(DB_All!$N$2:$N$1000,DB_All!$G$2:$G$1000,B131,DB_All!$L$2:$L$1000,"تحت إجراءات التوريد"))</f>
        <v/>
      </c>
      <c r="O131" t="str">
        <f>IF(B131="","",COUNTIFS(DB_All!$G$2:$G$1000,B131,DB_All!$L$2:$L$1000,"تحت إجراءات التوريد"))</f>
        <v/>
      </c>
      <c r="P131" t="str">
        <f>IF(B131="","",SUMIFS(DB_All!$N$2:$N$1000,DB_All!$G$2:$G$1000,B131,DB_All!$L$2:$L$1000,"بانتظار سندات الاستلام \ شهادة الإنجاز"))</f>
        <v/>
      </c>
      <c r="Q131" t="str">
        <f>IF(B131="","",COUNTIFS(DB_All!$G$2:$G$1000,B131,DB_All!$L$2:$L$1000,"بانتظار سندات الاستلام \ شهادة الإنجاز"))</f>
        <v/>
      </c>
      <c r="R131" t="str">
        <f t="shared" si="8"/>
        <v/>
      </c>
    </row>
    <row r="132" spans="6:18" x14ac:dyDescent="0.3">
      <c r="F132" t="str">
        <f>IF(B132="","",SUMIFS(DB_All!$M$2:$M$1000,DB_All!$G$2:$G$1000,B132,DB_All!$L$2:$L$1000,"تحت إجراءات التعاقد"))</f>
        <v/>
      </c>
      <c r="G132" t="str">
        <f>IF(B132="","",COUNTIFS(DB_All!$G$2:$G$1000,B132,DB_All!$L$2:$L$1000,"تحت إجراءات التعاقد"))</f>
        <v/>
      </c>
      <c r="H132" t="str">
        <f>IF(B132="","",SUMIFS(DB_All!$N$2:$N$1000,DB_All!$G$2:$G$1000,B132,DB_All!$L$2:$L$1000,"تم التوقيع"))</f>
        <v/>
      </c>
      <c r="I132" t="str">
        <f>IF(B132="","",COUNTIFS(DB_All!$G$2:$G$1000,B132,DB_All!$L$2:$L$1000,"تم التوقيع"))</f>
        <v/>
      </c>
      <c r="J132">
        <f t="shared" si="6"/>
        <v>0</v>
      </c>
      <c r="K132" t="str">
        <f>IF(B132="","",SUMIFS('المطالبات 2026'!$J:$J,'المطالبات 2026'!$E:$E,B132,'المطالبات 2026'!$I:$I,"مطالبة مرفوعة للمالية") + SUMIFS('المطالبات 2025'!$J:$J,'المطالبات 2025'!$E:$E,B132,'المطالبات 2025'!$I:$I,"مطالبة مرفوعة للمالية"))</f>
        <v/>
      </c>
      <c r="L132" t="str">
        <f>IF(B132="","",COUNTIFS('المطالبات 2026'!$E:$E,B132,'المطالبات 2026'!$I:$I,"مطالبة مرفوعة للمالية") + COUNTIFS('المطالبات 2025'!$E:$E,B132,'المطالبات 2025'!$I:$I,"مطالبة مرفوعة للمالية"))</f>
        <v/>
      </c>
      <c r="M132">
        <f t="shared" si="7"/>
        <v>0</v>
      </c>
      <c r="N132" t="str">
        <f>IF(B132="","",SUMIFS(DB_All!$N$2:$N$1000,DB_All!$G$2:$G$1000,B132,DB_All!$L$2:$L$1000,"تحت إجراءات التوريد"))</f>
        <v/>
      </c>
      <c r="O132" t="str">
        <f>IF(B132="","",COUNTIFS(DB_All!$G$2:$G$1000,B132,DB_All!$L$2:$L$1000,"تحت إجراءات التوريد"))</f>
        <v/>
      </c>
      <c r="P132" t="str">
        <f>IF(B132="","",SUMIFS(DB_All!$N$2:$N$1000,DB_All!$G$2:$G$1000,B132,DB_All!$L$2:$L$1000,"بانتظار سندات الاستلام \ شهادة الإنجاز"))</f>
        <v/>
      </c>
      <c r="Q132" t="str">
        <f>IF(B132="","",COUNTIFS(DB_All!$G$2:$G$1000,B132,DB_All!$L$2:$L$1000,"بانتظار سندات الاستلام \ شهادة الإنجاز"))</f>
        <v/>
      </c>
      <c r="R132" t="str">
        <f t="shared" si="8"/>
        <v/>
      </c>
    </row>
    <row r="133" spans="6:18" x14ac:dyDescent="0.3">
      <c r="F133" t="str">
        <f>IF(B133="","",SUMIFS(DB_All!$M$2:$M$1000,DB_All!$G$2:$G$1000,B133,DB_All!$L$2:$L$1000,"تحت إجراءات التعاقد"))</f>
        <v/>
      </c>
      <c r="G133" t="str">
        <f>IF(B133="","",COUNTIFS(DB_All!$G$2:$G$1000,B133,DB_All!$L$2:$L$1000,"تحت إجراءات التعاقد"))</f>
        <v/>
      </c>
      <c r="H133" t="str">
        <f>IF(B133="","",SUMIFS(DB_All!$N$2:$N$1000,DB_All!$G$2:$G$1000,B133,DB_All!$L$2:$L$1000,"تم التوقيع"))</f>
        <v/>
      </c>
      <c r="I133" t="str">
        <f>IF(B133="","",COUNTIFS(DB_All!$G$2:$G$1000,B133,DB_All!$L$2:$L$1000,"تم التوقيع"))</f>
        <v/>
      </c>
      <c r="J133">
        <f t="shared" si="6"/>
        <v>0</v>
      </c>
      <c r="K133" t="str">
        <f>IF(B133="","",SUMIFS('المطالبات 2026'!$J:$J,'المطالبات 2026'!$E:$E,B133,'المطالبات 2026'!$I:$I,"مطالبة مرفوعة للمالية") + SUMIFS('المطالبات 2025'!$J:$J,'المطالبات 2025'!$E:$E,B133,'المطالبات 2025'!$I:$I,"مطالبة مرفوعة للمالية"))</f>
        <v/>
      </c>
      <c r="L133" t="str">
        <f>IF(B133="","",COUNTIFS('المطالبات 2026'!$E:$E,B133,'المطالبات 2026'!$I:$I,"مطالبة مرفوعة للمالية") + COUNTIFS('المطالبات 2025'!$E:$E,B133,'المطالبات 2025'!$I:$I,"مطالبة مرفوعة للمالية"))</f>
        <v/>
      </c>
      <c r="M133">
        <f t="shared" si="7"/>
        <v>0</v>
      </c>
      <c r="N133" t="str">
        <f>IF(B133="","",SUMIFS(DB_All!$N$2:$N$1000,DB_All!$G$2:$G$1000,B133,DB_All!$L$2:$L$1000,"تحت إجراءات التوريد"))</f>
        <v/>
      </c>
      <c r="O133" t="str">
        <f>IF(B133="","",COUNTIFS(DB_All!$G$2:$G$1000,B133,DB_All!$L$2:$L$1000,"تحت إجراءات التوريد"))</f>
        <v/>
      </c>
      <c r="P133" t="str">
        <f>IF(B133="","",SUMIFS(DB_All!$N$2:$N$1000,DB_All!$G$2:$G$1000,B133,DB_All!$L$2:$L$1000,"بانتظار سندات الاستلام \ شهادة الإنجاز"))</f>
        <v/>
      </c>
      <c r="Q133" t="str">
        <f>IF(B133="","",COUNTIFS(DB_All!$G$2:$G$1000,B133,DB_All!$L$2:$L$1000,"بانتظار سندات الاستلام \ شهادة الإنجاز"))</f>
        <v/>
      </c>
      <c r="R133" t="str">
        <f t="shared" si="8"/>
        <v/>
      </c>
    </row>
    <row r="134" spans="6:18" x14ac:dyDescent="0.3">
      <c r="F134" t="str">
        <f>IF(B134="","",SUMIFS(DB_All!$M$2:$M$1000,DB_All!$G$2:$G$1000,B134,DB_All!$L$2:$L$1000,"تحت إجراءات التعاقد"))</f>
        <v/>
      </c>
      <c r="G134" t="str">
        <f>IF(B134="","",COUNTIFS(DB_All!$G$2:$G$1000,B134,DB_All!$L$2:$L$1000,"تحت إجراءات التعاقد"))</f>
        <v/>
      </c>
      <c r="H134" t="str">
        <f>IF(B134="","",SUMIFS(DB_All!$N$2:$N$1000,DB_All!$G$2:$G$1000,B134,DB_All!$L$2:$L$1000,"تم التوقيع"))</f>
        <v/>
      </c>
      <c r="I134" t="str">
        <f>IF(B134="","",COUNTIFS(DB_All!$G$2:$G$1000,B134,DB_All!$L$2:$L$1000,"تم التوقيع"))</f>
        <v/>
      </c>
      <c r="J134">
        <f t="shared" si="6"/>
        <v>0</v>
      </c>
      <c r="K134" t="str">
        <f>IF(B134="","",SUMIFS('المطالبات 2026'!$J:$J,'المطالبات 2026'!$E:$E,B134,'المطالبات 2026'!$I:$I,"مطالبة مرفوعة للمالية") + SUMIFS('المطالبات 2025'!$J:$J,'المطالبات 2025'!$E:$E,B134,'المطالبات 2025'!$I:$I,"مطالبة مرفوعة للمالية"))</f>
        <v/>
      </c>
      <c r="L134" t="str">
        <f>IF(B134="","",COUNTIFS('المطالبات 2026'!$E:$E,B134,'المطالبات 2026'!$I:$I,"مطالبة مرفوعة للمالية") + COUNTIFS('المطالبات 2025'!$E:$E,B134,'المطالبات 2025'!$I:$I,"مطالبة مرفوعة للمالية"))</f>
        <v/>
      </c>
      <c r="M134">
        <f t="shared" si="7"/>
        <v>0</v>
      </c>
      <c r="N134" t="str">
        <f>IF(B134="","",SUMIFS(DB_All!$N$2:$N$1000,DB_All!$G$2:$G$1000,B134,DB_All!$L$2:$L$1000,"تحت إجراءات التوريد"))</f>
        <v/>
      </c>
      <c r="O134" t="str">
        <f>IF(B134="","",COUNTIFS(DB_All!$G$2:$G$1000,B134,DB_All!$L$2:$L$1000,"تحت إجراءات التوريد"))</f>
        <v/>
      </c>
      <c r="P134" t="str">
        <f>IF(B134="","",SUMIFS(DB_All!$N$2:$N$1000,DB_All!$G$2:$G$1000,B134,DB_All!$L$2:$L$1000,"بانتظار سندات الاستلام \ شهادة الإنجاز"))</f>
        <v/>
      </c>
      <c r="Q134" t="str">
        <f>IF(B134="","",COUNTIFS(DB_All!$G$2:$G$1000,B134,DB_All!$L$2:$L$1000,"بانتظار سندات الاستلام \ شهادة الإنجاز"))</f>
        <v/>
      </c>
      <c r="R134" t="str">
        <f t="shared" si="8"/>
        <v/>
      </c>
    </row>
    <row r="135" spans="6:18" x14ac:dyDescent="0.3">
      <c r="F135" t="str">
        <f>IF(B135="","",SUMIFS(DB_All!$M$2:$M$1000,DB_All!$G$2:$G$1000,B135,DB_All!$L$2:$L$1000,"تحت إجراءات التعاقد"))</f>
        <v/>
      </c>
      <c r="G135" t="str">
        <f>IF(B135="","",COUNTIFS(DB_All!$G$2:$G$1000,B135,DB_All!$L$2:$L$1000,"تحت إجراءات التعاقد"))</f>
        <v/>
      </c>
      <c r="H135" t="str">
        <f>IF(B135="","",SUMIFS(DB_All!$N$2:$N$1000,DB_All!$G$2:$G$1000,B135,DB_All!$L$2:$L$1000,"تم التوقيع"))</f>
        <v/>
      </c>
      <c r="I135" t="str">
        <f>IF(B135="","",COUNTIFS(DB_All!$G$2:$G$1000,B135,DB_All!$L$2:$L$1000,"تم التوقيع"))</f>
        <v/>
      </c>
      <c r="J135">
        <f t="shared" si="6"/>
        <v>0</v>
      </c>
      <c r="K135" t="str">
        <f>IF(B135="","",SUMIFS('المطالبات 2026'!$J:$J,'المطالبات 2026'!$E:$E,B135,'المطالبات 2026'!$I:$I,"مطالبة مرفوعة للمالية") + SUMIFS('المطالبات 2025'!$J:$J,'المطالبات 2025'!$E:$E,B135,'المطالبات 2025'!$I:$I,"مطالبة مرفوعة للمالية"))</f>
        <v/>
      </c>
      <c r="L135" t="str">
        <f>IF(B135="","",COUNTIFS('المطالبات 2026'!$E:$E,B135,'المطالبات 2026'!$I:$I,"مطالبة مرفوعة للمالية") + COUNTIFS('المطالبات 2025'!$E:$E,B135,'المطالبات 2025'!$I:$I,"مطالبة مرفوعة للمالية"))</f>
        <v/>
      </c>
      <c r="M135">
        <f t="shared" si="7"/>
        <v>0</v>
      </c>
      <c r="N135" t="str">
        <f>IF(B135="","",SUMIFS(DB_All!$N$2:$N$1000,DB_All!$G$2:$G$1000,B135,DB_All!$L$2:$L$1000,"تحت إجراءات التوريد"))</f>
        <v/>
      </c>
      <c r="O135" t="str">
        <f>IF(B135="","",COUNTIFS(DB_All!$G$2:$G$1000,B135,DB_All!$L$2:$L$1000,"تحت إجراءات التوريد"))</f>
        <v/>
      </c>
      <c r="P135" t="str">
        <f>IF(B135="","",SUMIFS(DB_All!$N$2:$N$1000,DB_All!$G$2:$G$1000,B135,DB_All!$L$2:$L$1000,"بانتظار سندات الاستلام \ شهادة الإنجاز"))</f>
        <v/>
      </c>
      <c r="Q135" t="str">
        <f>IF(B135="","",COUNTIFS(DB_All!$G$2:$G$1000,B135,DB_All!$L$2:$L$1000,"بانتظار سندات الاستلام \ شهادة الإنجاز"))</f>
        <v/>
      </c>
      <c r="R135" t="str">
        <f t="shared" si="8"/>
        <v/>
      </c>
    </row>
    <row r="136" spans="6:18" x14ac:dyDescent="0.3">
      <c r="F136" t="str">
        <f>IF(B136="","",SUMIFS(DB_All!$M$2:$M$1000,DB_All!$G$2:$G$1000,B136,DB_All!$L$2:$L$1000,"تحت إجراءات التعاقد"))</f>
        <v/>
      </c>
      <c r="G136" t="str">
        <f>IF(B136="","",COUNTIFS(DB_All!$G$2:$G$1000,B136,DB_All!$L$2:$L$1000,"تحت إجراءات التعاقد"))</f>
        <v/>
      </c>
      <c r="H136" t="str">
        <f>IF(B136="","",SUMIFS(DB_All!$N$2:$N$1000,DB_All!$G$2:$G$1000,B136,DB_All!$L$2:$L$1000,"تم التوقيع"))</f>
        <v/>
      </c>
      <c r="I136" t="str">
        <f>IF(B136="","",COUNTIFS(DB_All!$G$2:$G$1000,B136,DB_All!$L$2:$L$1000,"تم التوقيع"))</f>
        <v/>
      </c>
      <c r="J136">
        <f t="shared" si="6"/>
        <v>0</v>
      </c>
      <c r="K136" t="str">
        <f>IF(B136="","",SUMIFS('المطالبات 2026'!$J:$J,'المطالبات 2026'!$E:$E,B136,'المطالبات 2026'!$I:$I,"مطالبة مرفوعة للمالية") + SUMIFS('المطالبات 2025'!$J:$J,'المطالبات 2025'!$E:$E,B136,'المطالبات 2025'!$I:$I,"مطالبة مرفوعة للمالية"))</f>
        <v/>
      </c>
      <c r="L136" t="str">
        <f>IF(B136="","",COUNTIFS('المطالبات 2026'!$E:$E,B136,'المطالبات 2026'!$I:$I,"مطالبة مرفوعة للمالية") + COUNTIFS('المطالبات 2025'!$E:$E,B136,'المطالبات 2025'!$I:$I,"مطالبة مرفوعة للمالية"))</f>
        <v/>
      </c>
      <c r="M136">
        <f t="shared" si="7"/>
        <v>0</v>
      </c>
      <c r="N136" t="str">
        <f>IF(B136="","",SUMIFS(DB_All!$N$2:$N$1000,DB_All!$G$2:$G$1000,B136,DB_All!$L$2:$L$1000,"تحت إجراءات التوريد"))</f>
        <v/>
      </c>
      <c r="O136" t="str">
        <f>IF(B136="","",COUNTIFS(DB_All!$G$2:$G$1000,B136,DB_All!$L$2:$L$1000,"تحت إجراءات التوريد"))</f>
        <v/>
      </c>
      <c r="P136" t="str">
        <f>IF(B136="","",SUMIFS(DB_All!$N$2:$N$1000,DB_All!$G$2:$G$1000,B136,DB_All!$L$2:$L$1000,"بانتظار سندات الاستلام \ شهادة الإنجاز"))</f>
        <v/>
      </c>
      <c r="Q136" t="str">
        <f>IF(B136="","",COUNTIFS(DB_All!$G$2:$G$1000,B136,DB_All!$L$2:$L$1000,"بانتظار سندات الاستلام \ شهادة الإنجاز"))</f>
        <v/>
      </c>
      <c r="R136" t="str">
        <f t="shared" si="8"/>
        <v/>
      </c>
    </row>
    <row r="137" spans="6:18" x14ac:dyDescent="0.3">
      <c r="F137" t="str">
        <f>IF(B137="","",SUMIFS(DB_All!$M$2:$M$1000,DB_All!$G$2:$G$1000,B137,DB_All!$L$2:$L$1000,"تحت إجراءات التعاقد"))</f>
        <v/>
      </c>
      <c r="G137" t="str">
        <f>IF(B137="","",COUNTIFS(DB_All!$G$2:$G$1000,B137,DB_All!$L$2:$L$1000,"تحت إجراءات التعاقد"))</f>
        <v/>
      </c>
      <c r="H137" t="str">
        <f>IF(B137="","",SUMIFS(DB_All!$N$2:$N$1000,DB_All!$G$2:$G$1000,B137,DB_All!$L$2:$L$1000,"تم التوقيع"))</f>
        <v/>
      </c>
      <c r="I137" t="str">
        <f>IF(B137="","",COUNTIFS(DB_All!$G$2:$G$1000,B137,DB_All!$L$2:$L$1000,"تم التوقيع"))</f>
        <v/>
      </c>
      <c r="J137">
        <f t="shared" si="6"/>
        <v>0</v>
      </c>
      <c r="K137" t="str">
        <f>IF(B137="","",SUMIFS('المطالبات 2026'!$J:$J,'المطالبات 2026'!$E:$E,B137,'المطالبات 2026'!$I:$I,"مطالبة مرفوعة للمالية") + SUMIFS('المطالبات 2025'!$J:$J,'المطالبات 2025'!$E:$E,B137,'المطالبات 2025'!$I:$I,"مطالبة مرفوعة للمالية"))</f>
        <v/>
      </c>
      <c r="L137" t="str">
        <f>IF(B137="","",COUNTIFS('المطالبات 2026'!$E:$E,B137,'المطالبات 2026'!$I:$I,"مطالبة مرفوعة للمالية") + COUNTIFS('المطالبات 2025'!$E:$E,B137,'المطالبات 2025'!$I:$I,"مطالبة مرفوعة للمالية"))</f>
        <v/>
      </c>
      <c r="M137">
        <f t="shared" si="7"/>
        <v>0</v>
      </c>
      <c r="N137" t="str">
        <f>IF(B137="","",SUMIFS(DB_All!$N$2:$N$1000,DB_All!$G$2:$G$1000,B137,DB_All!$L$2:$L$1000,"تحت إجراءات التوريد"))</f>
        <v/>
      </c>
      <c r="O137" t="str">
        <f>IF(B137="","",COUNTIFS(DB_All!$G$2:$G$1000,B137,DB_All!$L$2:$L$1000,"تحت إجراءات التوريد"))</f>
        <v/>
      </c>
      <c r="P137" t="str">
        <f>IF(B137="","",SUMIFS(DB_All!$N$2:$N$1000,DB_All!$G$2:$G$1000,B137,DB_All!$L$2:$L$1000,"بانتظار سندات الاستلام \ شهادة الإنجاز"))</f>
        <v/>
      </c>
      <c r="Q137" t="str">
        <f>IF(B137="","",COUNTIFS(DB_All!$G$2:$G$1000,B137,DB_All!$L$2:$L$1000,"بانتظار سندات الاستلام \ شهادة الإنجاز"))</f>
        <v/>
      </c>
      <c r="R137" t="str">
        <f t="shared" si="8"/>
        <v/>
      </c>
    </row>
    <row r="138" spans="6:18" x14ac:dyDescent="0.3">
      <c r="F138" t="str">
        <f>IF(B138="","",SUMIFS(DB_All!$M$2:$M$1000,DB_All!$G$2:$G$1000,B138,DB_All!$L$2:$L$1000,"تحت إجراءات التعاقد"))</f>
        <v/>
      </c>
      <c r="G138" t="str">
        <f>IF(B138="","",COUNTIFS(DB_All!$G$2:$G$1000,B138,DB_All!$L$2:$L$1000,"تحت إجراءات التعاقد"))</f>
        <v/>
      </c>
      <c r="H138" t="str">
        <f>IF(B138="","",SUMIFS(DB_All!$N$2:$N$1000,DB_All!$G$2:$G$1000,B138,DB_All!$L$2:$L$1000,"تم التوقيع"))</f>
        <v/>
      </c>
      <c r="I138" t="str">
        <f>IF(B138="","",COUNTIFS(DB_All!$G$2:$G$1000,B138,DB_All!$L$2:$L$1000,"تم التوقيع"))</f>
        <v/>
      </c>
      <c r="J138">
        <f t="shared" si="6"/>
        <v>0</v>
      </c>
      <c r="K138" t="str">
        <f>IF(B138="","",SUMIFS('المطالبات 2026'!$J:$J,'المطالبات 2026'!$E:$E,B138,'المطالبات 2026'!$I:$I,"مطالبة مرفوعة للمالية") + SUMIFS('المطالبات 2025'!$J:$J,'المطالبات 2025'!$E:$E,B138,'المطالبات 2025'!$I:$I,"مطالبة مرفوعة للمالية"))</f>
        <v/>
      </c>
      <c r="L138" t="str">
        <f>IF(B138="","",COUNTIFS('المطالبات 2026'!$E:$E,B138,'المطالبات 2026'!$I:$I,"مطالبة مرفوعة للمالية") + COUNTIFS('المطالبات 2025'!$E:$E,B138,'المطالبات 2025'!$I:$I,"مطالبة مرفوعة للمالية"))</f>
        <v/>
      </c>
      <c r="M138">
        <f t="shared" si="7"/>
        <v>0</v>
      </c>
      <c r="N138" t="str">
        <f>IF(B138="","",SUMIFS(DB_All!$N$2:$N$1000,DB_All!$G$2:$G$1000,B138,DB_All!$L$2:$L$1000,"تحت إجراءات التوريد"))</f>
        <v/>
      </c>
      <c r="O138" t="str">
        <f>IF(B138="","",COUNTIFS(DB_All!$G$2:$G$1000,B138,DB_All!$L$2:$L$1000,"تحت إجراءات التوريد"))</f>
        <v/>
      </c>
      <c r="P138" t="str">
        <f>IF(B138="","",SUMIFS(DB_All!$N$2:$N$1000,DB_All!$G$2:$G$1000,B138,DB_All!$L$2:$L$1000,"بانتظار سندات الاستلام \ شهادة الإنجاز"))</f>
        <v/>
      </c>
      <c r="Q138" t="str">
        <f>IF(B138="","",COUNTIFS(DB_All!$G$2:$G$1000,B138,DB_All!$L$2:$L$1000,"بانتظار سندات الاستلام \ شهادة الإنجاز"))</f>
        <v/>
      </c>
      <c r="R138" t="str">
        <f t="shared" si="8"/>
        <v/>
      </c>
    </row>
    <row r="139" spans="6:18" x14ac:dyDescent="0.3">
      <c r="F139" t="str">
        <f>IF(B139="","",SUMIFS(DB_All!$M$2:$M$1000,DB_All!$G$2:$G$1000,B139,DB_All!$L$2:$L$1000,"تحت إجراءات التعاقد"))</f>
        <v/>
      </c>
      <c r="G139" t="str">
        <f>IF(B139="","",COUNTIFS(DB_All!$G$2:$G$1000,B139,DB_All!$L$2:$L$1000,"تحت إجراءات التعاقد"))</f>
        <v/>
      </c>
      <c r="H139" t="str">
        <f>IF(B139="","",SUMIFS(DB_All!$N$2:$N$1000,DB_All!$G$2:$G$1000,B139,DB_All!$L$2:$L$1000,"تم التوقيع"))</f>
        <v/>
      </c>
      <c r="I139" t="str">
        <f>IF(B139="","",COUNTIFS(DB_All!$G$2:$G$1000,B139,DB_All!$L$2:$L$1000,"تم التوقيع"))</f>
        <v/>
      </c>
      <c r="J139">
        <f t="shared" si="6"/>
        <v>0</v>
      </c>
      <c r="K139" t="str">
        <f>IF(B139="","",SUMIFS('المطالبات 2026'!$J:$J,'المطالبات 2026'!$E:$E,B139,'المطالبات 2026'!$I:$I,"مطالبة مرفوعة للمالية") + SUMIFS('المطالبات 2025'!$J:$J,'المطالبات 2025'!$E:$E,B139,'المطالبات 2025'!$I:$I,"مطالبة مرفوعة للمالية"))</f>
        <v/>
      </c>
      <c r="L139" t="str">
        <f>IF(B139="","",COUNTIFS('المطالبات 2026'!$E:$E,B139,'المطالبات 2026'!$I:$I,"مطالبة مرفوعة للمالية") + COUNTIFS('المطالبات 2025'!$E:$E,B139,'المطالبات 2025'!$I:$I,"مطالبة مرفوعة للمالية"))</f>
        <v/>
      </c>
      <c r="M139">
        <f t="shared" si="7"/>
        <v>0</v>
      </c>
      <c r="N139" t="str">
        <f>IF(B139="","",SUMIFS(DB_All!$N$2:$N$1000,DB_All!$G$2:$G$1000,B139,DB_All!$L$2:$L$1000,"تحت إجراءات التوريد"))</f>
        <v/>
      </c>
      <c r="O139" t="str">
        <f>IF(B139="","",COUNTIFS(DB_All!$G$2:$G$1000,B139,DB_All!$L$2:$L$1000,"تحت إجراءات التوريد"))</f>
        <v/>
      </c>
      <c r="P139" t="str">
        <f>IF(B139="","",SUMIFS(DB_All!$N$2:$N$1000,DB_All!$G$2:$G$1000,B139,DB_All!$L$2:$L$1000,"بانتظار سندات الاستلام \ شهادة الإنجاز"))</f>
        <v/>
      </c>
      <c r="Q139" t="str">
        <f>IF(B139="","",COUNTIFS(DB_All!$G$2:$G$1000,B139,DB_All!$L$2:$L$1000,"بانتظار سندات الاستلام \ شهادة الإنجاز"))</f>
        <v/>
      </c>
      <c r="R139" t="str">
        <f t="shared" si="8"/>
        <v/>
      </c>
    </row>
    <row r="140" spans="6:18" x14ac:dyDescent="0.3">
      <c r="F140" t="str">
        <f>IF(B140="","",SUMIFS(DB_All!$M$2:$M$1000,DB_All!$G$2:$G$1000,B140,DB_All!$L$2:$L$1000,"تحت إجراءات التعاقد"))</f>
        <v/>
      </c>
      <c r="G140" t="str">
        <f>IF(B140="","",COUNTIFS(DB_All!$G$2:$G$1000,B140,DB_All!$L$2:$L$1000,"تحت إجراءات التعاقد"))</f>
        <v/>
      </c>
      <c r="H140" t="str">
        <f>IF(B140="","",SUMIFS(DB_All!$N$2:$N$1000,DB_All!$G$2:$G$1000,B140,DB_All!$L$2:$L$1000,"تم التوقيع"))</f>
        <v/>
      </c>
      <c r="I140" t="str">
        <f>IF(B140="","",COUNTIFS(DB_All!$G$2:$G$1000,B140,DB_All!$L$2:$L$1000,"تم التوقيع"))</f>
        <v/>
      </c>
      <c r="J140">
        <f t="shared" si="6"/>
        <v>0</v>
      </c>
      <c r="K140" t="str">
        <f>IF(B140="","",SUMIFS('المطالبات 2026'!$J:$J,'المطالبات 2026'!$E:$E,B140,'المطالبات 2026'!$I:$I,"مطالبة مرفوعة للمالية") + SUMIFS('المطالبات 2025'!$J:$J,'المطالبات 2025'!$E:$E,B140,'المطالبات 2025'!$I:$I,"مطالبة مرفوعة للمالية"))</f>
        <v/>
      </c>
      <c r="L140" t="str">
        <f>IF(B140="","",COUNTIFS('المطالبات 2026'!$E:$E,B140,'المطالبات 2026'!$I:$I,"مطالبة مرفوعة للمالية") + COUNTIFS('المطالبات 2025'!$E:$E,B140,'المطالبات 2025'!$I:$I,"مطالبة مرفوعة للمالية"))</f>
        <v/>
      </c>
      <c r="M140">
        <f t="shared" si="7"/>
        <v>0</v>
      </c>
      <c r="N140" t="str">
        <f>IF(B140="","",SUMIFS(DB_All!$N$2:$N$1000,DB_All!$G$2:$G$1000,B140,DB_All!$L$2:$L$1000,"تحت إجراءات التوريد"))</f>
        <v/>
      </c>
      <c r="O140" t="str">
        <f>IF(B140="","",COUNTIFS(DB_All!$G$2:$G$1000,B140,DB_All!$L$2:$L$1000,"تحت إجراءات التوريد"))</f>
        <v/>
      </c>
      <c r="P140" t="str">
        <f>IF(B140="","",SUMIFS(DB_All!$N$2:$N$1000,DB_All!$G$2:$G$1000,B140,DB_All!$L$2:$L$1000,"بانتظار سندات الاستلام \ شهادة الإنجاز"))</f>
        <v/>
      </c>
      <c r="Q140" t="str">
        <f>IF(B140="","",COUNTIFS(DB_All!$G$2:$G$1000,B140,DB_All!$L$2:$L$1000,"بانتظار سندات الاستلام \ شهادة الإنجاز"))</f>
        <v/>
      </c>
      <c r="R140" t="str">
        <f t="shared" si="8"/>
        <v/>
      </c>
    </row>
    <row r="141" spans="6:18" x14ac:dyDescent="0.3">
      <c r="F141" t="str">
        <f>IF(B141="","",SUMIFS(DB_All!$M$2:$M$1000,DB_All!$G$2:$G$1000,B141,DB_All!$L$2:$L$1000,"تحت إجراءات التعاقد"))</f>
        <v/>
      </c>
      <c r="G141" t="str">
        <f>IF(B141="","",COUNTIFS(DB_All!$G$2:$G$1000,B141,DB_All!$L$2:$L$1000,"تحت إجراءات التعاقد"))</f>
        <v/>
      </c>
      <c r="H141" t="str">
        <f>IF(B141="","",SUMIFS(DB_All!$N$2:$N$1000,DB_All!$G$2:$G$1000,B141,DB_All!$L$2:$L$1000,"تم التوقيع"))</f>
        <v/>
      </c>
      <c r="I141" t="str">
        <f>IF(B141="","",COUNTIFS(DB_All!$G$2:$G$1000,B141,DB_All!$L$2:$L$1000,"تم التوقيع"))</f>
        <v/>
      </c>
      <c r="J141">
        <f t="shared" si="6"/>
        <v>0</v>
      </c>
      <c r="K141" t="str">
        <f>IF(B141="","",SUMIFS('المطالبات 2026'!$J:$J,'المطالبات 2026'!$E:$E,B141,'المطالبات 2026'!$I:$I,"مطالبة مرفوعة للمالية") + SUMIFS('المطالبات 2025'!$J:$J,'المطالبات 2025'!$E:$E,B141,'المطالبات 2025'!$I:$I,"مطالبة مرفوعة للمالية"))</f>
        <v/>
      </c>
      <c r="L141" t="str">
        <f>IF(B141="","",COUNTIFS('المطالبات 2026'!$E:$E,B141,'المطالبات 2026'!$I:$I,"مطالبة مرفوعة للمالية") + COUNTIFS('المطالبات 2025'!$E:$E,B141,'المطالبات 2025'!$I:$I,"مطالبة مرفوعة للمالية"))</f>
        <v/>
      </c>
      <c r="M141">
        <f t="shared" si="7"/>
        <v>0</v>
      </c>
      <c r="N141" t="str">
        <f>IF(B141="","",SUMIFS(DB_All!$N$2:$N$1000,DB_All!$G$2:$G$1000,B141,DB_All!$L$2:$L$1000,"تحت إجراءات التوريد"))</f>
        <v/>
      </c>
      <c r="O141" t="str">
        <f>IF(B141="","",COUNTIFS(DB_All!$G$2:$G$1000,B141,DB_All!$L$2:$L$1000,"تحت إجراءات التوريد"))</f>
        <v/>
      </c>
      <c r="P141" t="str">
        <f>IF(B141="","",SUMIFS(DB_All!$N$2:$N$1000,DB_All!$G$2:$G$1000,B141,DB_All!$L$2:$L$1000,"بانتظار سندات الاستلام \ شهادة الإنجاز"))</f>
        <v/>
      </c>
      <c r="Q141" t="str">
        <f>IF(B141="","",COUNTIFS(DB_All!$G$2:$G$1000,B141,DB_All!$L$2:$L$1000,"بانتظار سندات الاستلام \ شهادة الإنجاز"))</f>
        <v/>
      </c>
      <c r="R141" t="str">
        <f t="shared" si="8"/>
        <v/>
      </c>
    </row>
    <row r="142" spans="6:18" x14ac:dyDescent="0.3">
      <c r="F142" t="str">
        <f>IF(B142="","",SUMIFS(DB_All!$M$2:$M$1000,DB_All!$G$2:$G$1000,B142,DB_All!$L$2:$L$1000,"تحت إجراءات التعاقد"))</f>
        <v/>
      </c>
      <c r="G142" t="str">
        <f>IF(B142="","",COUNTIFS(DB_All!$G$2:$G$1000,B142,DB_All!$L$2:$L$1000,"تحت إجراءات التعاقد"))</f>
        <v/>
      </c>
      <c r="H142" t="str">
        <f>IF(B142="","",SUMIFS(DB_All!$N$2:$N$1000,DB_All!$G$2:$G$1000,B142,DB_All!$L$2:$L$1000,"تم التوقيع"))</f>
        <v/>
      </c>
      <c r="I142" t="str">
        <f>IF(B142="","",COUNTIFS(DB_All!$G$2:$G$1000,B142,DB_All!$L$2:$L$1000,"تم التوقيع"))</f>
        <v/>
      </c>
      <c r="J142">
        <f t="shared" si="6"/>
        <v>0</v>
      </c>
      <c r="K142" t="str">
        <f>IF(B142="","",SUMIFS('المطالبات 2026'!$J:$J,'المطالبات 2026'!$E:$E,B142,'المطالبات 2026'!$I:$I,"مطالبة مرفوعة للمالية") + SUMIFS('المطالبات 2025'!$J:$J,'المطالبات 2025'!$E:$E,B142,'المطالبات 2025'!$I:$I,"مطالبة مرفوعة للمالية"))</f>
        <v/>
      </c>
      <c r="L142" t="str">
        <f>IF(B142="","",COUNTIFS('المطالبات 2026'!$E:$E,B142,'المطالبات 2026'!$I:$I,"مطالبة مرفوعة للمالية") + COUNTIFS('المطالبات 2025'!$E:$E,B142,'المطالبات 2025'!$I:$I,"مطالبة مرفوعة للمالية"))</f>
        <v/>
      </c>
      <c r="M142">
        <f t="shared" si="7"/>
        <v>0</v>
      </c>
      <c r="N142" t="str">
        <f>IF(B142="","",SUMIFS(DB_All!$N$2:$N$1000,DB_All!$G$2:$G$1000,B142,DB_All!$L$2:$L$1000,"تحت إجراءات التوريد"))</f>
        <v/>
      </c>
      <c r="O142" t="str">
        <f>IF(B142="","",COUNTIFS(DB_All!$G$2:$G$1000,B142,DB_All!$L$2:$L$1000,"تحت إجراءات التوريد"))</f>
        <v/>
      </c>
      <c r="P142" t="str">
        <f>IF(B142="","",SUMIFS(DB_All!$N$2:$N$1000,DB_All!$G$2:$G$1000,B142,DB_All!$L$2:$L$1000,"بانتظار سندات الاستلام \ شهادة الإنجاز"))</f>
        <v/>
      </c>
      <c r="Q142" t="str">
        <f>IF(B142="","",COUNTIFS(DB_All!$G$2:$G$1000,B142,DB_All!$L$2:$L$1000,"بانتظار سندات الاستلام \ شهادة الإنجاز"))</f>
        <v/>
      </c>
      <c r="R142" t="str">
        <f t="shared" si="8"/>
        <v/>
      </c>
    </row>
    <row r="143" spans="6:18" x14ac:dyDescent="0.3">
      <c r="F143" t="str">
        <f>IF(B143="","",SUMIFS(DB_All!$M$2:$M$1000,DB_All!$G$2:$G$1000,B143,DB_All!$L$2:$L$1000,"تحت إجراءات التعاقد"))</f>
        <v/>
      </c>
      <c r="G143" t="str">
        <f>IF(B143="","",COUNTIFS(DB_All!$G$2:$G$1000,B143,DB_All!$L$2:$L$1000,"تحت إجراءات التعاقد"))</f>
        <v/>
      </c>
      <c r="H143" t="str">
        <f>IF(B143="","",SUMIFS(DB_All!$N$2:$N$1000,DB_All!$G$2:$G$1000,B143,DB_All!$L$2:$L$1000,"تم التوقيع"))</f>
        <v/>
      </c>
      <c r="I143" t="str">
        <f>IF(B143="","",COUNTIFS(DB_All!$G$2:$G$1000,B143,DB_All!$L$2:$L$1000,"تم التوقيع"))</f>
        <v/>
      </c>
      <c r="J143">
        <f t="shared" si="6"/>
        <v>0</v>
      </c>
      <c r="K143" t="str">
        <f>IF(B143="","",SUMIFS('المطالبات 2026'!$J:$J,'المطالبات 2026'!$E:$E,B143,'المطالبات 2026'!$I:$I,"مطالبة مرفوعة للمالية") + SUMIFS('المطالبات 2025'!$J:$J,'المطالبات 2025'!$E:$E,B143,'المطالبات 2025'!$I:$I,"مطالبة مرفوعة للمالية"))</f>
        <v/>
      </c>
      <c r="L143" t="str">
        <f>IF(B143="","",COUNTIFS('المطالبات 2026'!$E:$E,B143,'المطالبات 2026'!$I:$I,"مطالبة مرفوعة للمالية") + COUNTIFS('المطالبات 2025'!$E:$E,B143,'المطالبات 2025'!$I:$I,"مطالبة مرفوعة للمالية"))</f>
        <v/>
      </c>
      <c r="M143">
        <f t="shared" si="7"/>
        <v>0</v>
      </c>
      <c r="N143" t="str">
        <f>IF(B143="","",SUMIFS(DB_All!$N$2:$N$1000,DB_All!$G$2:$G$1000,B143,DB_All!$L$2:$L$1000,"تحت إجراءات التوريد"))</f>
        <v/>
      </c>
      <c r="O143" t="str">
        <f>IF(B143="","",COUNTIFS(DB_All!$G$2:$G$1000,B143,DB_All!$L$2:$L$1000,"تحت إجراءات التوريد"))</f>
        <v/>
      </c>
      <c r="P143" t="str">
        <f>IF(B143="","",SUMIFS(DB_All!$N$2:$N$1000,DB_All!$G$2:$G$1000,B143,DB_All!$L$2:$L$1000,"بانتظار سندات الاستلام \ شهادة الإنجاز"))</f>
        <v/>
      </c>
      <c r="Q143" t="str">
        <f>IF(B143="","",COUNTIFS(DB_All!$G$2:$G$1000,B143,DB_All!$L$2:$L$1000,"بانتظار سندات الاستلام \ شهادة الإنجاز"))</f>
        <v/>
      </c>
      <c r="R143" t="str">
        <f t="shared" si="8"/>
        <v/>
      </c>
    </row>
    <row r="144" spans="6:18" x14ac:dyDescent="0.3">
      <c r="F144" t="str">
        <f>IF(B144="","",SUMIFS(DB_All!$M$2:$M$1000,DB_All!$G$2:$G$1000,B144,DB_All!$L$2:$L$1000,"تحت إجراءات التعاقد"))</f>
        <v/>
      </c>
      <c r="G144" t="str">
        <f>IF(B144="","",COUNTIFS(DB_All!$G$2:$G$1000,B144,DB_All!$L$2:$L$1000,"تحت إجراءات التعاقد"))</f>
        <v/>
      </c>
      <c r="H144" t="str">
        <f>IF(B144="","",SUMIFS(DB_All!$N$2:$N$1000,DB_All!$G$2:$G$1000,B144,DB_All!$L$2:$L$1000,"تم التوقيع"))</f>
        <v/>
      </c>
      <c r="I144" t="str">
        <f>IF(B144="","",COUNTIFS(DB_All!$G$2:$G$1000,B144,DB_All!$L$2:$L$1000,"تم التوقيع"))</f>
        <v/>
      </c>
      <c r="J144">
        <f t="shared" si="6"/>
        <v>0</v>
      </c>
      <c r="K144" t="str">
        <f>IF(B144="","",SUMIFS('المطالبات 2026'!$J:$J,'المطالبات 2026'!$E:$E,B144,'المطالبات 2026'!$I:$I,"مطالبة مرفوعة للمالية") + SUMIFS('المطالبات 2025'!$J:$J,'المطالبات 2025'!$E:$E,B144,'المطالبات 2025'!$I:$I,"مطالبة مرفوعة للمالية"))</f>
        <v/>
      </c>
      <c r="L144" t="str">
        <f>IF(B144="","",COUNTIFS('المطالبات 2026'!$E:$E,B144,'المطالبات 2026'!$I:$I,"مطالبة مرفوعة للمالية") + COUNTIFS('المطالبات 2025'!$E:$E,B144,'المطالبات 2025'!$I:$I,"مطالبة مرفوعة للمالية"))</f>
        <v/>
      </c>
      <c r="M144">
        <f t="shared" si="7"/>
        <v>0</v>
      </c>
      <c r="N144" t="str">
        <f>IF(B144="","",SUMIFS(DB_All!$N$2:$N$1000,DB_All!$G$2:$G$1000,B144,DB_All!$L$2:$L$1000,"تحت إجراءات التوريد"))</f>
        <v/>
      </c>
      <c r="O144" t="str">
        <f>IF(B144="","",COUNTIFS(DB_All!$G$2:$G$1000,B144,DB_All!$L$2:$L$1000,"تحت إجراءات التوريد"))</f>
        <v/>
      </c>
      <c r="P144" t="str">
        <f>IF(B144="","",SUMIFS(DB_All!$N$2:$N$1000,DB_All!$G$2:$G$1000,B144,DB_All!$L$2:$L$1000,"بانتظار سندات الاستلام \ شهادة الإنجاز"))</f>
        <v/>
      </c>
      <c r="Q144" t="str">
        <f>IF(B144="","",COUNTIFS(DB_All!$G$2:$G$1000,B144,DB_All!$L$2:$L$1000,"بانتظار سندات الاستلام \ شهادة الإنجاز"))</f>
        <v/>
      </c>
      <c r="R144" t="str">
        <f t="shared" si="8"/>
        <v/>
      </c>
    </row>
    <row r="145" spans="6:18" x14ac:dyDescent="0.3">
      <c r="F145" t="str">
        <f>IF(B145="","",SUMIFS(DB_All!$M$2:$M$1000,DB_All!$G$2:$G$1000,B145,DB_All!$L$2:$L$1000,"تحت إجراءات التعاقد"))</f>
        <v/>
      </c>
      <c r="G145" t="str">
        <f>IF(B145="","",COUNTIFS(DB_All!$G$2:$G$1000,B145,DB_All!$L$2:$L$1000,"تحت إجراءات التعاقد"))</f>
        <v/>
      </c>
      <c r="H145" t="str">
        <f>IF(B145="","",SUMIFS(DB_All!$N$2:$N$1000,DB_All!$G$2:$G$1000,B145,DB_All!$L$2:$L$1000,"تم التوقيع"))</f>
        <v/>
      </c>
      <c r="I145" t="str">
        <f>IF(B145="","",COUNTIFS(DB_All!$G$2:$G$1000,B145,DB_All!$L$2:$L$1000,"تم التوقيع"))</f>
        <v/>
      </c>
      <c r="J145">
        <f t="shared" si="6"/>
        <v>0</v>
      </c>
      <c r="K145" t="str">
        <f>IF(B145="","",SUMIFS('المطالبات 2026'!$J:$J,'المطالبات 2026'!$E:$E,B145,'المطالبات 2026'!$I:$I,"مطالبة مرفوعة للمالية") + SUMIFS('المطالبات 2025'!$J:$J,'المطالبات 2025'!$E:$E,B145,'المطالبات 2025'!$I:$I,"مطالبة مرفوعة للمالية"))</f>
        <v/>
      </c>
      <c r="L145" t="str">
        <f>IF(B145="","",COUNTIFS('المطالبات 2026'!$E:$E,B145,'المطالبات 2026'!$I:$I,"مطالبة مرفوعة للمالية") + COUNTIFS('المطالبات 2025'!$E:$E,B145,'المطالبات 2025'!$I:$I,"مطالبة مرفوعة للمالية"))</f>
        <v/>
      </c>
      <c r="M145">
        <f t="shared" si="7"/>
        <v>0</v>
      </c>
      <c r="N145" t="str">
        <f>IF(B145="","",SUMIFS(DB_All!$N$2:$N$1000,DB_All!$G$2:$G$1000,B145,DB_All!$L$2:$L$1000,"تحت إجراءات التوريد"))</f>
        <v/>
      </c>
      <c r="O145" t="str">
        <f>IF(B145="","",COUNTIFS(DB_All!$G$2:$G$1000,B145,DB_All!$L$2:$L$1000,"تحت إجراءات التوريد"))</f>
        <v/>
      </c>
      <c r="P145" t="str">
        <f>IF(B145="","",SUMIFS(DB_All!$N$2:$N$1000,DB_All!$G$2:$G$1000,B145,DB_All!$L$2:$L$1000,"بانتظار سندات الاستلام \ شهادة الإنجاز"))</f>
        <v/>
      </c>
      <c r="Q145" t="str">
        <f>IF(B145="","",COUNTIFS(DB_All!$G$2:$G$1000,B145,DB_All!$L$2:$L$1000,"بانتظار سندات الاستلام \ شهادة الإنجاز"))</f>
        <v/>
      </c>
      <c r="R145" t="str">
        <f t="shared" si="8"/>
        <v/>
      </c>
    </row>
    <row r="146" spans="6:18" x14ac:dyDescent="0.3">
      <c r="F146" t="str">
        <f>IF(B146="","",SUMIFS(DB_All!$M$2:$M$1000,DB_All!$G$2:$G$1000,B146,DB_All!$L$2:$L$1000,"تحت إجراءات التعاقد"))</f>
        <v/>
      </c>
      <c r="G146" t="str">
        <f>IF(B146="","",COUNTIFS(DB_All!$G$2:$G$1000,B146,DB_All!$L$2:$L$1000,"تحت إجراءات التعاقد"))</f>
        <v/>
      </c>
      <c r="H146" t="str">
        <f>IF(B146="","",SUMIFS(DB_All!$N$2:$N$1000,DB_All!$G$2:$G$1000,B146,DB_All!$L$2:$L$1000,"تم التوقيع"))</f>
        <v/>
      </c>
      <c r="I146" t="str">
        <f>IF(B146="","",COUNTIFS(DB_All!$G$2:$G$1000,B146,DB_All!$L$2:$L$1000,"تم التوقيع"))</f>
        <v/>
      </c>
      <c r="J146">
        <f t="shared" si="6"/>
        <v>0</v>
      </c>
      <c r="K146" t="str">
        <f>IF(B146="","",SUMIFS('المطالبات 2026'!$J:$J,'المطالبات 2026'!$E:$E,B146,'المطالبات 2026'!$I:$I,"مطالبة مرفوعة للمالية") + SUMIFS('المطالبات 2025'!$J:$J,'المطالبات 2025'!$E:$E,B146,'المطالبات 2025'!$I:$I,"مطالبة مرفوعة للمالية"))</f>
        <v/>
      </c>
      <c r="L146" t="str">
        <f>IF(B146="","",COUNTIFS('المطالبات 2026'!$E:$E,B146,'المطالبات 2026'!$I:$I,"مطالبة مرفوعة للمالية") + COUNTIFS('المطالبات 2025'!$E:$E,B146,'المطالبات 2025'!$I:$I,"مطالبة مرفوعة للمالية"))</f>
        <v/>
      </c>
      <c r="M146">
        <f t="shared" si="7"/>
        <v>0</v>
      </c>
      <c r="N146" t="str">
        <f>IF(B146="","",SUMIFS(DB_All!$N$2:$N$1000,DB_All!$G$2:$G$1000,B146,DB_All!$L$2:$L$1000,"تحت إجراءات التوريد"))</f>
        <v/>
      </c>
      <c r="O146" t="str">
        <f>IF(B146="","",COUNTIFS(DB_All!$G$2:$G$1000,B146,DB_All!$L$2:$L$1000,"تحت إجراءات التوريد"))</f>
        <v/>
      </c>
      <c r="P146" t="str">
        <f>IF(B146="","",SUMIFS(DB_All!$N$2:$N$1000,DB_All!$G$2:$G$1000,B146,DB_All!$L$2:$L$1000,"بانتظار سندات الاستلام \ شهادة الإنجاز"))</f>
        <v/>
      </c>
      <c r="Q146" t="str">
        <f>IF(B146="","",COUNTIFS(DB_All!$G$2:$G$1000,B146,DB_All!$L$2:$L$1000,"بانتظار سندات الاستلام \ شهادة الإنجاز"))</f>
        <v/>
      </c>
      <c r="R146" t="str">
        <f t="shared" si="8"/>
        <v/>
      </c>
    </row>
    <row r="147" spans="6:18" x14ac:dyDescent="0.3">
      <c r="F147" t="str">
        <f>IF(B147="","",SUMIFS(DB_All!$M$2:$M$1000,DB_All!$G$2:$G$1000,B147,DB_All!$L$2:$L$1000,"تحت إجراءات التعاقد"))</f>
        <v/>
      </c>
      <c r="G147" t="str">
        <f>IF(B147="","",COUNTIFS(DB_All!$G$2:$G$1000,B147,DB_All!$L$2:$L$1000,"تحت إجراءات التعاقد"))</f>
        <v/>
      </c>
      <c r="H147" t="str">
        <f>IF(B147="","",SUMIFS(DB_All!$N$2:$N$1000,DB_All!$G$2:$G$1000,B147,DB_All!$L$2:$L$1000,"تم التوقيع"))</f>
        <v/>
      </c>
      <c r="I147" t="str">
        <f>IF(B147="","",COUNTIFS(DB_All!$G$2:$G$1000,B147,DB_All!$L$2:$L$1000,"تم التوقيع"))</f>
        <v/>
      </c>
      <c r="J147">
        <f t="shared" si="6"/>
        <v>0</v>
      </c>
      <c r="K147" t="str">
        <f>IF(B147="","",SUMIFS('المطالبات 2026'!$J:$J,'المطالبات 2026'!$E:$E,B147,'المطالبات 2026'!$I:$I,"مطالبة مرفوعة للمالية") + SUMIFS('المطالبات 2025'!$J:$J,'المطالبات 2025'!$E:$E,B147,'المطالبات 2025'!$I:$I,"مطالبة مرفوعة للمالية"))</f>
        <v/>
      </c>
      <c r="L147" t="str">
        <f>IF(B147="","",COUNTIFS('المطالبات 2026'!$E:$E,B147,'المطالبات 2026'!$I:$I,"مطالبة مرفوعة للمالية") + COUNTIFS('المطالبات 2025'!$E:$E,B147,'المطالبات 2025'!$I:$I,"مطالبة مرفوعة للمالية"))</f>
        <v/>
      </c>
      <c r="M147">
        <f t="shared" si="7"/>
        <v>0</v>
      </c>
      <c r="N147" t="str">
        <f>IF(B147="","",SUMIFS(DB_All!$N$2:$N$1000,DB_All!$G$2:$G$1000,B147,DB_All!$L$2:$L$1000,"تحت إجراءات التوريد"))</f>
        <v/>
      </c>
      <c r="O147" t="str">
        <f>IF(B147="","",COUNTIFS(DB_All!$G$2:$G$1000,B147,DB_All!$L$2:$L$1000,"تحت إجراءات التوريد"))</f>
        <v/>
      </c>
      <c r="P147" t="str">
        <f>IF(B147="","",SUMIFS(DB_All!$N$2:$N$1000,DB_All!$G$2:$G$1000,B147,DB_All!$L$2:$L$1000,"بانتظار سندات الاستلام \ شهادة الإنجاز"))</f>
        <v/>
      </c>
      <c r="Q147" t="str">
        <f>IF(B147="","",COUNTIFS(DB_All!$G$2:$G$1000,B147,DB_All!$L$2:$L$1000,"بانتظار سندات الاستلام \ شهادة الإنجاز"))</f>
        <v/>
      </c>
      <c r="R147" t="str">
        <f t="shared" si="8"/>
        <v/>
      </c>
    </row>
    <row r="148" spans="6:18" x14ac:dyDescent="0.3">
      <c r="F148" t="str">
        <f>IF(B148="","",SUMIFS(DB_All!$M$2:$M$1000,DB_All!$G$2:$G$1000,B148,DB_All!$L$2:$L$1000,"تحت إجراءات التعاقد"))</f>
        <v/>
      </c>
      <c r="G148" t="str">
        <f>IF(B148="","",COUNTIFS(DB_All!$G$2:$G$1000,B148,DB_All!$L$2:$L$1000,"تحت إجراءات التعاقد"))</f>
        <v/>
      </c>
      <c r="H148" t="str">
        <f>IF(B148="","",SUMIFS(DB_All!$N$2:$N$1000,DB_All!$G$2:$G$1000,B148,DB_All!$L$2:$L$1000,"تم التوقيع"))</f>
        <v/>
      </c>
      <c r="I148" t="str">
        <f>IF(B148="","",COUNTIFS(DB_All!$G$2:$G$1000,B148,DB_All!$L$2:$L$1000,"تم التوقيع"))</f>
        <v/>
      </c>
      <c r="J148">
        <f t="shared" si="6"/>
        <v>0</v>
      </c>
      <c r="K148" t="str">
        <f>IF(B148="","",SUMIFS('المطالبات 2026'!$J:$J,'المطالبات 2026'!$E:$E,B148,'المطالبات 2026'!$I:$I,"مطالبة مرفوعة للمالية") + SUMIFS('المطالبات 2025'!$J:$J,'المطالبات 2025'!$E:$E,B148,'المطالبات 2025'!$I:$I,"مطالبة مرفوعة للمالية"))</f>
        <v/>
      </c>
      <c r="L148" t="str">
        <f>IF(B148="","",COUNTIFS('المطالبات 2026'!$E:$E,B148,'المطالبات 2026'!$I:$I,"مطالبة مرفوعة للمالية") + COUNTIFS('المطالبات 2025'!$E:$E,B148,'المطالبات 2025'!$I:$I,"مطالبة مرفوعة للمالية"))</f>
        <v/>
      </c>
      <c r="M148">
        <f t="shared" si="7"/>
        <v>0</v>
      </c>
      <c r="N148" t="str">
        <f>IF(B148="","",SUMIFS(DB_All!$N$2:$N$1000,DB_All!$G$2:$G$1000,B148,DB_All!$L$2:$L$1000,"تحت إجراءات التوريد"))</f>
        <v/>
      </c>
      <c r="O148" t="str">
        <f>IF(B148="","",COUNTIFS(DB_All!$G$2:$G$1000,B148,DB_All!$L$2:$L$1000,"تحت إجراءات التوريد"))</f>
        <v/>
      </c>
      <c r="P148" t="str">
        <f>IF(B148="","",SUMIFS(DB_All!$N$2:$N$1000,DB_All!$G$2:$G$1000,B148,DB_All!$L$2:$L$1000,"بانتظار سندات الاستلام \ شهادة الإنجاز"))</f>
        <v/>
      </c>
      <c r="Q148" t="str">
        <f>IF(B148="","",COUNTIFS(DB_All!$G$2:$G$1000,B148,DB_All!$L$2:$L$1000,"بانتظار سندات الاستلام \ شهادة الإنجاز"))</f>
        <v/>
      </c>
      <c r="R148" t="str">
        <f t="shared" si="8"/>
        <v/>
      </c>
    </row>
    <row r="149" spans="6:18" x14ac:dyDescent="0.3">
      <c r="F149" t="str">
        <f>IF(B149="","",SUMIFS(DB_All!$M$2:$M$1000,DB_All!$G$2:$G$1000,B149,DB_All!$L$2:$L$1000,"تحت إجراءات التعاقد"))</f>
        <v/>
      </c>
      <c r="G149" t="str">
        <f>IF(B149="","",COUNTIFS(DB_All!$G$2:$G$1000,B149,DB_All!$L$2:$L$1000,"تحت إجراءات التعاقد"))</f>
        <v/>
      </c>
      <c r="H149" t="str">
        <f>IF(B149="","",SUMIFS(DB_All!$N$2:$N$1000,DB_All!$G$2:$G$1000,B149,DB_All!$L$2:$L$1000,"تم التوقيع"))</f>
        <v/>
      </c>
      <c r="I149" t="str">
        <f>IF(B149="","",COUNTIFS(DB_All!$G$2:$G$1000,B149,DB_All!$L$2:$L$1000,"تم التوقيع"))</f>
        <v/>
      </c>
      <c r="J149">
        <f t="shared" si="6"/>
        <v>0</v>
      </c>
      <c r="K149" t="str">
        <f>IF(B149="","",SUMIFS('المطالبات 2026'!$J:$J,'المطالبات 2026'!$E:$E,B149,'المطالبات 2026'!$I:$I,"مطالبة مرفوعة للمالية") + SUMIFS('المطالبات 2025'!$J:$J,'المطالبات 2025'!$E:$E,B149,'المطالبات 2025'!$I:$I,"مطالبة مرفوعة للمالية"))</f>
        <v/>
      </c>
      <c r="L149" t="str">
        <f>IF(B149="","",COUNTIFS('المطالبات 2026'!$E:$E,B149,'المطالبات 2026'!$I:$I,"مطالبة مرفوعة للمالية") + COUNTIFS('المطالبات 2025'!$E:$E,B149,'المطالبات 2025'!$I:$I,"مطالبة مرفوعة للمالية"))</f>
        <v/>
      </c>
      <c r="M149">
        <f t="shared" si="7"/>
        <v>0</v>
      </c>
      <c r="N149" t="str">
        <f>IF(B149="","",SUMIFS(DB_All!$N$2:$N$1000,DB_All!$G$2:$G$1000,B149,DB_All!$L$2:$L$1000,"تحت إجراءات التوريد"))</f>
        <v/>
      </c>
      <c r="O149" t="str">
        <f>IF(B149="","",COUNTIFS(DB_All!$G$2:$G$1000,B149,DB_All!$L$2:$L$1000,"تحت إجراءات التوريد"))</f>
        <v/>
      </c>
      <c r="P149" t="str">
        <f>IF(B149="","",SUMIFS(DB_All!$N$2:$N$1000,DB_All!$G$2:$G$1000,B149,DB_All!$L$2:$L$1000,"بانتظار سندات الاستلام \ شهادة الإنجاز"))</f>
        <v/>
      </c>
      <c r="Q149" t="str">
        <f>IF(B149="","",COUNTIFS(DB_All!$G$2:$G$1000,B149,DB_All!$L$2:$L$1000,"بانتظار سندات الاستلام \ شهادة الإنجاز"))</f>
        <v/>
      </c>
      <c r="R149" t="str">
        <f t="shared" si="8"/>
        <v/>
      </c>
    </row>
    <row r="150" spans="6:18" x14ac:dyDescent="0.3">
      <c r="F150" t="str">
        <f>IF(B150="","",SUMIFS(DB_All!$M$2:$M$1000,DB_All!$G$2:$G$1000,B150,DB_All!$L$2:$L$1000,"تحت إجراءات التعاقد"))</f>
        <v/>
      </c>
      <c r="G150" t="str">
        <f>IF(B150="","",COUNTIFS(DB_All!$G$2:$G$1000,B150,DB_All!$L$2:$L$1000,"تحت إجراءات التعاقد"))</f>
        <v/>
      </c>
      <c r="H150" t="str">
        <f>IF(B150="","",SUMIFS(DB_All!$N$2:$N$1000,DB_All!$G$2:$G$1000,B150,DB_All!$L$2:$L$1000,"تم التوقيع"))</f>
        <v/>
      </c>
      <c r="I150" t="str">
        <f>IF(B150="","",COUNTIFS(DB_All!$G$2:$G$1000,B150,DB_All!$L$2:$L$1000,"تم التوقيع"))</f>
        <v/>
      </c>
      <c r="J150">
        <f t="shared" si="6"/>
        <v>0</v>
      </c>
      <c r="K150" t="str">
        <f>IF(B150="","",SUMIFS('المطالبات 2026'!$J:$J,'المطالبات 2026'!$E:$E,B150,'المطالبات 2026'!$I:$I,"مطالبة مرفوعة للمالية") + SUMIFS('المطالبات 2025'!$J:$J,'المطالبات 2025'!$E:$E,B150,'المطالبات 2025'!$I:$I,"مطالبة مرفوعة للمالية"))</f>
        <v/>
      </c>
      <c r="L150" t="str">
        <f>IF(B150="","",COUNTIFS('المطالبات 2026'!$E:$E,B150,'المطالبات 2026'!$I:$I,"مطالبة مرفوعة للمالية") + COUNTIFS('المطالبات 2025'!$E:$E,B150,'المطالبات 2025'!$I:$I,"مطالبة مرفوعة للمالية"))</f>
        <v/>
      </c>
      <c r="M150">
        <f t="shared" si="7"/>
        <v>0</v>
      </c>
      <c r="N150" t="str">
        <f>IF(B150="","",SUMIFS(DB_All!$N$2:$N$1000,DB_All!$G$2:$G$1000,B150,DB_All!$L$2:$L$1000,"تحت إجراءات التوريد"))</f>
        <v/>
      </c>
      <c r="O150" t="str">
        <f>IF(B150="","",COUNTIFS(DB_All!$G$2:$G$1000,B150,DB_All!$L$2:$L$1000,"تحت إجراءات التوريد"))</f>
        <v/>
      </c>
      <c r="P150" t="str">
        <f>IF(B150="","",SUMIFS(DB_All!$N$2:$N$1000,DB_All!$G$2:$G$1000,B150,DB_All!$L$2:$L$1000,"بانتظار سندات الاستلام \ شهادة الإنجاز"))</f>
        <v/>
      </c>
      <c r="Q150" t="str">
        <f>IF(B150="","",COUNTIFS(DB_All!$G$2:$G$1000,B150,DB_All!$L$2:$L$1000,"بانتظار سندات الاستلام \ شهادة الإنجاز"))</f>
        <v/>
      </c>
      <c r="R150" t="str">
        <f t="shared" si="8"/>
        <v/>
      </c>
    </row>
    <row r="151" spans="6:18" x14ac:dyDescent="0.3">
      <c r="F151" t="str">
        <f>IF(B151="","",SUMIFS(DB_All!$M$2:$M$1000,DB_All!$G$2:$G$1000,B151,DB_All!$L$2:$L$1000,"تحت إجراءات التعاقد"))</f>
        <v/>
      </c>
      <c r="G151" t="str">
        <f>IF(B151="","",COUNTIFS(DB_All!$G$2:$G$1000,B151,DB_All!$L$2:$L$1000,"تحت إجراءات التعاقد"))</f>
        <v/>
      </c>
      <c r="H151" t="str">
        <f>IF(B151="","",SUMIFS(DB_All!$N$2:$N$1000,DB_All!$G$2:$G$1000,B151,DB_All!$L$2:$L$1000,"تم التوقيع"))</f>
        <v/>
      </c>
      <c r="I151" t="str">
        <f>IF(B151="","",COUNTIFS(DB_All!$G$2:$G$1000,B151,DB_All!$L$2:$L$1000,"تم التوقيع"))</f>
        <v/>
      </c>
      <c r="J151">
        <f t="shared" si="6"/>
        <v>0</v>
      </c>
      <c r="K151" t="str">
        <f>IF(B151="","",SUMIFS('المطالبات 2026'!$J:$J,'المطالبات 2026'!$E:$E,B151,'المطالبات 2026'!$I:$I,"مطالبة مرفوعة للمالية") + SUMIFS('المطالبات 2025'!$J:$J,'المطالبات 2025'!$E:$E,B151,'المطالبات 2025'!$I:$I,"مطالبة مرفوعة للمالية"))</f>
        <v/>
      </c>
      <c r="L151" t="str">
        <f>IF(B151="","",COUNTIFS('المطالبات 2026'!$E:$E,B151,'المطالبات 2026'!$I:$I,"مطالبة مرفوعة للمالية") + COUNTIFS('المطالبات 2025'!$E:$E,B151,'المطالبات 2025'!$I:$I,"مطالبة مرفوعة للمالية"))</f>
        <v/>
      </c>
      <c r="M151">
        <f t="shared" si="7"/>
        <v>0</v>
      </c>
      <c r="N151" t="str">
        <f>IF(B151="","",SUMIFS(DB_All!$N$2:$N$1000,DB_All!$G$2:$G$1000,B151,DB_All!$L$2:$L$1000,"تحت إجراءات التوريد"))</f>
        <v/>
      </c>
      <c r="O151" t="str">
        <f>IF(B151="","",COUNTIFS(DB_All!$G$2:$G$1000,B151,DB_All!$L$2:$L$1000,"تحت إجراءات التوريد"))</f>
        <v/>
      </c>
      <c r="P151" t="str">
        <f>IF(B151="","",SUMIFS(DB_All!$N$2:$N$1000,DB_All!$G$2:$G$1000,B151,DB_All!$L$2:$L$1000,"بانتظار سندات الاستلام \ شهادة الإنجاز"))</f>
        <v/>
      </c>
      <c r="Q151" t="str">
        <f>IF(B151="","",COUNTIFS(DB_All!$G$2:$G$1000,B151,DB_All!$L$2:$L$1000,"بانتظار سندات الاستلام \ شهادة الإنجاز"))</f>
        <v/>
      </c>
      <c r="R151" t="str">
        <f t="shared" si="8"/>
        <v/>
      </c>
    </row>
    <row r="152" spans="6:18" x14ac:dyDescent="0.3">
      <c r="F152" t="str">
        <f>IF(B152="","",SUMIFS(DB_All!$M$2:$M$1000,DB_All!$G$2:$G$1000,B152,DB_All!$L$2:$L$1000,"تحت إجراءات التعاقد"))</f>
        <v/>
      </c>
      <c r="G152" t="str">
        <f>IF(B152="","",COUNTIFS(DB_All!$G$2:$G$1000,B152,DB_All!$L$2:$L$1000,"تحت إجراءات التعاقد"))</f>
        <v/>
      </c>
      <c r="H152" t="str">
        <f>IF(B152="","",SUMIFS(DB_All!$N$2:$N$1000,DB_All!$G$2:$G$1000,B152,DB_All!$L$2:$L$1000,"تم التوقيع"))</f>
        <v/>
      </c>
      <c r="I152" t="str">
        <f>IF(B152="","",COUNTIFS(DB_All!$G$2:$G$1000,B152,DB_All!$L$2:$L$1000,"تم التوقيع"))</f>
        <v/>
      </c>
      <c r="J152">
        <f t="shared" si="6"/>
        <v>0</v>
      </c>
      <c r="K152" t="str">
        <f>IF(B152="","",SUMIFS('المطالبات 2026'!$J:$J,'المطالبات 2026'!$E:$E,B152,'المطالبات 2026'!$I:$I,"مطالبة مرفوعة للمالية") + SUMIFS('المطالبات 2025'!$J:$J,'المطالبات 2025'!$E:$E,B152,'المطالبات 2025'!$I:$I,"مطالبة مرفوعة للمالية"))</f>
        <v/>
      </c>
      <c r="L152" t="str">
        <f>IF(B152="","",COUNTIFS('المطالبات 2026'!$E:$E,B152,'المطالبات 2026'!$I:$I,"مطالبة مرفوعة للمالية") + COUNTIFS('المطالبات 2025'!$E:$E,B152,'المطالبات 2025'!$I:$I,"مطالبة مرفوعة للمالية"))</f>
        <v/>
      </c>
      <c r="M152">
        <f t="shared" si="7"/>
        <v>0</v>
      </c>
      <c r="N152" t="str">
        <f>IF(B152="","",SUMIFS(DB_All!$N$2:$N$1000,DB_All!$G$2:$G$1000,B152,DB_All!$L$2:$L$1000,"تحت إجراءات التوريد"))</f>
        <v/>
      </c>
      <c r="O152" t="str">
        <f>IF(B152="","",COUNTIFS(DB_All!$G$2:$G$1000,B152,DB_All!$L$2:$L$1000,"تحت إجراءات التوريد"))</f>
        <v/>
      </c>
      <c r="P152" t="str">
        <f>IF(B152="","",SUMIFS(DB_All!$N$2:$N$1000,DB_All!$G$2:$G$1000,B152,DB_All!$L$2:$L$1000,"بانتظار سندات الاستلام \ شهادة الإنجاز"))</f>
        <v/>
      </c>
      <c r="Q152" t="str">
        <f>IF(B152="","",COUNTIFS(DB_All!$G$2:$G$1000,B152,DB_All!$L$2:$L$1000,"بانتظار سندات الاستلام \ شهادة الإنجاز"))</f>
        <v/>
      </c>
      <c r="R152" t="str">
        <f t="shared" si="8"/>
        <v/>
      </c>
    </row>
    <row r="153" spans="6:18" x14ac:dyDescent="0.3">
      <c r="F153" t="str">
        <f>IF(B153="","",SUMIFS(DB_All!$M$2:$M$1000,DB_All!$G$2:$G$1000,B153,DB_All!$L$2:$L$1000,"تحت إجراءات التعاقد"))</f>
        <v/>
      </c>
      <c r="G153" t="str">
        <f>IF(B153="","",COUNTIFS(DB_All!$G$2:$G$1000,B153,DB_All!$L$2:$L$1000,"تحت إجراءات التعاقد"))</f>
        <v/>
      </c>
      <c r="H153" t="str">
        <f>IF(B153="","",SUMIFS(DB_All!$N$2:$N$1000,DB_All!$G$2:$G$1000,B153,DB_All!$L$2:$L$1000,"تم التوقيع"))</f>
        <v/>
      </c>
      <c r="I153" t="str">
        <f>IF(B153="","",COUNTIFS(DB_All!$G$2:$G$1000,B153,DB_All!$L$2:$L$1000,"تم التوقيع"))</f>
        <v/>
      </c>
      <c r="J153">
        <f t="shared" si="6"/>
        <v>0</v>
      </c>
      <c r="K153" t="str">
        <f>IF(B153="","",SUMIFS('المطالبات 2026'!$J:$J,'المطالبات 2026'!$E:$E,B153,'المطالبات 2026'!$I:$I,"مطالبة مرفوعة للمالية") + SUMIFS('المطالبات 2025'!$J:$J,'المطالبات 2025'!$E:$E,B153,'المطالبات 2025'!$I:$I,"مطالبة مرفوعة للمالية"))</f>
        <v/>
      </c>
      <c r="L153" t="str">
        <f>IF(B153="","",COUNTIFS('المطالبات 2026'!$E:$E,B153,'المطالبات 2026'!$I:$I,"مطالبة مرفوعة للمالية") + COUNTIFS('المطالبات 2025'!$E:$E,B153,'المطالبات 2025'!$I:$I,"مطالبة مرفوعة للمالية"))</f>
        <v/>
      </c>
      <c r="M153">
        <f t="shared" si="7"/>
        <v>0</v>
      </c>
      <c r="N153" t="str">
        <f>IF(B153="","",SUMIFS(DB_All!$N$2:$N$1000,DB_All!$G$2:$G$1000,B153,DB_All!$L$2:$L$1000,"تحت إجراءات التوريد"))</f>
        <v/>
      </c>
      <c r="O153" t="str">
        <f>IF(B153="","",COUNTIFS(DB_All!$G$2:$G$1000,B153,DB_All!$L$2:$L$1000,"تحت إجراءات التوريد"))</f>
        <v/>
      </c>
      <c r="P153" t="str">
        <f>IF(B153="","",SUMIFS(DB_All!$N$2:$N$1000,DB_All!$G$2:$G$1000,B153,DB_All!$L$2:$L$1000,"بانتظار سندات الاستلام \ شهادة الإنجاز"))</f>
        <v/>
      </c>
      <c r="Q153" t="str">
        <f>IF(B153="","",COUNTIFS(DB_All!$G$2:$G$1000,B153,DB_All!$L$2:$L$1000,"بانتظار سندات الاستلام \ شهادة الإنجاز"))</f>
        <v/>
      </c>
      <c r="R153" t="str">
        <f t="shared" si="8"/>
        <v/>
      </c>
    </row>
    <row r="154" spans="6:18" x14ac:dyDescent="0.3">
      <c r="F154" t="str">
        <f>IF(B154="","",SUMIFS(DB_All!$M$2:$M$1000,DB_All!$G$2:$G$1000,B154,DB_All!$L$2:$L$1000,"تحت إجراءات التعاقد"))</f>
        <v/>
      </c>
      <c r="G154" t="str">
        <f>IF(B154="","",COUNTIFS(DB_All!$G$2:$G$1000,B154,DB_All!$L$2:$L$1000,"تحت إجراءات التعاقد"))</f>
        <v/>
      </c>
      <c r="H154" t="str">
        <f>IF(B154="","",SUMIFS(DB_All!$N$2:$N$1000,DB_All!$G$2:$G$1000,B154,DB_All!$L$2:$L$1000,"تم التوقيع"))</f>
        <v/>
      </c>
      <c r="I154" t="str">
        <f>IF(B154="","",COUNTIFS(DB_All!$G$2:$G$1000,B154,DB_All!$L$2:$L$1000,"تم التوقيع"))</f>
        <v/>
      </c>
      <c r="J154">
        <f t="shared" si="6"/>
        <v>0</v>
      </c>
      <c r="K154" t="str">
        <f>IF(B154="","",SUMIFS('المطالبات 2026'!$J:$J,'المطالبات 2026'!$E:$E,B154,'المطالبات 2026'!$I:$I,"مطالبة مرفوعة للمالية") + SUMIFS('المطالبات 2025'!$J:$J,'المطالبات 2025'!$E:$E,B154,'المطالبات 2025'!$I:$I,"مطالبة مرفوعة للمالية"))</f>
        <v/>
      </c>
      <c r="L154" t="str">
        <f>IF(B154="","",COUNTIFS('المطالبات 2026'!$E:$E,B154,'المطالبات 2026'!$I:$I,"مطالبة مرفوعة للمالية") + COUNTIFS('المطالبات 2025'!$E:$E,B154,'المطالبات 2025'!$I:$I,"مطالبة مرفوعة للمالية"))</f>
        <v/>
      </c>
      <c r="M154">
        <f t="shared" si="7"/>
        <v>0</v>
      </c>
      <c r="N154" t="str">
        <f>IF(B154="","",SUMIFS(DB_All!$N$2:$N$1000,DB_All!$G$2:$G$1000,B154,DB_All!$L$2:$L$1000,"تحت إجراءات التوريد"))</f>
        <v/>
      </c>
      <c r="O154" t="str">
        <f>IF(B154="","",COUNTIFS(DB_All!$G$2:$G$1000,B154,DB_All!$L$2:$L$1000,"تحت إجراءات التوريد"))</f>
        <v/>
      </c>
      <c r="P154" t="str">
        <f>IF(B154="","",SUMIFS(DB_All!$N$2:$N$1000,DB_All!$G$2:$G$1000,B154,DB_All!$L$2:$L$1000,"بانتظار سندات الاستلام \ شهادة الإنجاز"))</f>
        <v/>
      </c>
      <c r="Q154" t="str">
        <f>IF(B154="","",COUNTIFS(DB_All!$G$2:$G$1000,B154,DB_All!$L$2:$L$1000,"بانتظار سندات الاستلام \ شهادة الإنجاز"))</f>
        <v/>
      </c>
      <c r="R154" t="str">
        <f t="shared" si="8"/>
        <v/>
      </c>
    </row>
    <row r="155" spans="6:18" x14ac:dyDescent="0.3">
      <c r="F155" t="str">
        <f>IF(B155="","",SUMIFS(DB_All!$M$2:$M$1000,DB_All!$G$2:$G$1000,B155,DB_All!$L$2:$L$1000,"تحت إجراءات التعاقد"))</f>
        <v/>
      </c>
      <c r="G155" t="str">
        <f>IF(B155="","",COUNTIFS(DB_All!$G$2:$G$1000,B155,DB_All!$L$2:$L$1000,"تحت إجراءات التعاقد"))</f>
        <v/>
      </c>
      <c r="H155" t="str">
        <f>IF(B155="","",SUMIFS(DB_All!$N$2:$N$1000,DB_All!$G$2:$G$1000,B155,DB_All!$L$2:$L$1000,"تم التوقيع"))</f>
        <v/>
      </c>
      <c r="I155" t="str">
        <f>IF(B155="","",COUNTIFS(DB_All!$G$2:$G$1000,B155,DB_All!$L$2:$L$1000,"تم التوقيع"))</f>
        <v/>
      </c>
      <c r="J155">
        <f t="shared" si="6"/>
        <v>0</v>
      </c>
      <c r="K155" t="str">
        <f>IF(B155="","",SUMIFS('المطالبات 2026'!$J:$J,'المطالبات 2026'!$E:$E,B155,'المطالبات 2026'!$I:$I,"مطالبة مرفوعة للمالية") + SUMIFS('المطالبات 2025'!$J:$J,'المطالبات 2025'!$E:$E,B155,'المطالبات 2025'!$I:$I,"مطالبة مرفوعة للمالية"))</f>
        <v/>
      </c>
      <c r="L155" t="str">
        <f>IF(B155="","",COUNTIFS('المطالبات 2026'!$E:$E,B155,'المطالبات 2026'!$I:$I,"مطالبة مرفوعة للمالية") + COUNTIFS('المطالبات 2025'!$E:$E,B155,'المطالبات 2025'!$I:$I,"مطالبة مرفوعة للمالية"))</f>
        <v/>
      </c>
      <c r="M155">
        <f t="shared" si="7"/>
        <v>0</v>
      </c>
      <c r="N155" t="str">
        <f>IF(B155="","",SUMIFS(DB_All!$N$2:$N$1000,DB_All!$G$2:$G$1000,B155,DB_All!$L$2:$L$1000,"تحت إجراءات التوريد"))</f>
        <v/>
      </c>
      <c r="O155" t="str">
        <f>IF(B155="","",COUNTIFS(DB_All!$G$2:$G$1000,B155,DB_All!$L$2:$L$1000,"تحت إجراءات التوريد"))</f>
        <v/>
      </c>
      <c r="P155" t="str">
        <f>IF(B155="","",SUMIFS(DB_All!$N$2:$N$1000,DB_All!$G$2:$G$1000,B155,DB_All!$L$2:$L$1000,"بانتظار سندات الاستلام \ شهادة الإنجاز"))</f>
        <v/>
      </c>
      <c r="Q155" t="str">
        <f>IF(B155="","",COUNTIFS(DB_All!$G$2:$G$1000,B155,DB_All!$L$2:$L$1000,"بانتظار سندات الاستلام \ شهادة الإنجاز"))</f>
        <v/>
      </c>
      <c r="R155" t="str">
        <f t="shared" si="8"/>
        <v/>
      </c>
    </row>
    <row r="156" spans="6:18" x14ac:dyDescent="0.3">
      <c r="F156" t="str">
        <f>IF(B156="","",SUMIFS(DB_All!$M$2:$M$1000,DB_All!$G$2:$G$1000,B156,DB_All!$L$2:$L$1000,"تحت إجراءات التعاقد"))</f>
        <v/>
      </c>
      <c r="G156" t="str">
        <f>IF(B156="","",COUNTIFS(DB_All!$G$2:$G$1000,B156,DB_All!$L$2:$L$1000,"تحت إجراءات التعاقد"))</f>
        <v/>
      </c>
      <c r="H156" t="str">
        <f>IF(B156="","",SUMIFS(DB_All!$N$2:$N$1000,DB_All!$G$2:$G$1000,B156,DB_All!$L$2:$L$1000,"تم التوقيع"))</f>
        <v/>
      </c>
      <c r="I156" t="str">
        <f>IF(B156="","",COUNTIFS(DB_All!$G$2:$G$1000,B156,DB_All!$L$2:$L$1000,"تم التوقيع"))</f>
        <v/>
      </c>
      <c r="J156">
        <f t="shared" si="6"/>
        <v>0</v>
      </c>
      <c r="K156" t="str">
        <f>IF(B156="","",SUMIFS('المطالبات 2026'!$J:$J,'المطالبات 2026'!$E:$E,B156,'المطالبات 2026'!$I:$I,"مطالبة مرفوعة للمالية") + SUMIFS('المطالبات 2025'!$J:$J,'المطالبات 2025'!$E:$E,B156,'المطالبات 2025'!$I:$I,"مطالبة مرفوعة للمالية"))</f>
        <v/>
      </c>
      <c r="L156" t="str">
        <f>IF(B156="","",COUNTIFS('المطالبات 2026'!$E:$E,B156,'المطالبات 2026'!$I:$I,"مطالبة مرفوعة للمالية") + COUNTIFS('المطالبات 2025'!$E:$E,B156,'المطالبات 2025'!$I:$I,"مطالبة مرفوعة للمالية"))</f>
        <v/>
      </c>
      <c r="M156">
        <f t="shared" si="7"/>
        <v>0</v>
      </c>
      <c r="N156" t="str">
        <f>IF(B156="","",SUMIFS(DB_All!$N$2:$N$1000,DB_All!$G$2:$G$1000,B156,DB_All!$L$2:$L$1000,"تحت إجراءات التوريد"))</f>
        <v/>
      </c>
      <c r="O156" t="str">
        <f>IF(B156="","",COUNTIFS(DB_All!$G$2:$G$1000,B156,DB_All!$L$2:$L$1000,"تحت إجراءات التوريد"))</f>
        <v/>
      </c>
      <c r="P156" t="str">
        <f>IF(B156="","",SUMIFS(DB_All!$N$2:$N$1000,DB_All!$G$2:$G$1000,B156,DB_All!$L$2:$L$1000,"بانتظار سندات الاستلام \ شهادة الإنجاز"))</f>
        <v/>
      </c>
      <c r="Q156" t="str">
        <f>IF(B156="","",COUNTIFS(DB_All!$G$2:$G$1000,B156,DB_All!$L$2:$L$1000,"بانتظار سندات الاستلام \ شهادة الإنجاز"))</f>
        <v/>
      </c>
      <c r="R156" t="str">
        <f t="shared" si="8"/>
        <v/>
      </c>
    </row>
    <row r="157" spans="6:18" x14ac:dyDescent="0.3">
      <c r="F157" t="str">
        <f>IF(B157="","",SUMIFS(DB_All!$M$2:$M$1000,DB_All!$G$2:$G$1000,B157,DB_All!$L$2:$L$1000,"تحت إجراءات التعاقد"))</f>
        <v/>
      </c>
      <c r="G157" t="str">
        <f>IF(B157="","",COUNTIFS(DB_All!$G$2:$G$1000,B157,DB_All!$L$2:$L$1000,"تحت إجراءات التعاقد"))</f>
        <v/>
      </c>
      <c r="H157" t="str">
        <f>IF(B157="","",SUMIFS(DB_All!$N$2:$N$1000,DB_All!$G$2:$G$1000,B157,DB_All!$L$2:$L$1000,"تم التوقيع"))</f>
        <v/>
      </c>
      <c r="I157" t="str">
        <f>IF(B157="","",COUNTIFS(DB_All!$G$2:$G$1000,B157,DB_All!$L$2:$L$1000,"تم التوقيع"))</f>
        <v/>
      </c>
      <c r="J157">
        <f t="shared" si="6"/>
        <v>0</v>
      </c>
      <c r="K157" t="str">
        <f>IF(B157="","",SUMIFS('المطالبات 2026'!$J:$J,'المطالبات 2026'!$E:$E,B157,'المطالبات 2026'!$I:$I,"مطالبة مرفوعة للمالية") + SUMIFS('المطالبات 2025'!$J:$J,'المطالبات 2025'!$E:$E,B157,'المطالبات 2025'!$I:$I,"مطالبة مرفوعة للمالية"))</f>
        <v/>
      </c>
      <c r="L157" t="str">
        <f>IF(B157="","",COUNTIFS('المطالبات 2026'!$E:$E,B157,'المطالبات 2026'!$I:$I,"مطالبة مرفوعة للمالية") + COUNTIFS('المطالبات 2025'!$E:$E,B157,'المطالبات 2025'!$I:$I,"مطالبة مرفوعة للمالية"))</f>
        <v/>
      </c>
      <c r="M157">
        <f t="shared" si="7"/>
        <v>0</v>
      </c>
      <c r="N157" t="str">
        <f>IF(B157="","",SUMIFS(DB_All!$N$2:$N$1000,DB_All!$G$2:$G$1000,B157,DB_All!$L$2:$L$1000,"تحت إجراءات التوريد"))</f>
        <v/>
      </c>
      <c r="O157" t="str">
        <f>IF(B157="","",COUNTIFS(DB_All!$G$2:$G$1000,B157,DB_All!$L$2:$L$1000,"تحت إجراءات التوريد"))</f>
        <v/>
      </c>
      <c r="P157" t="str">
        <f>IF(B157="","",SUMIFS(DB_All!$N$2:$N$1000,DB_All!$G$2:$G$1000,B157,DB_All!$L$2:$L$1000,"بانتظار سندات الاستلام \ شهادة الإنجاز"))</f>
        <v/>
      </c>
      <c r="Q157" t="str">
        <f>IF(B157="","",COUNTIFS(DB_All!$G$2:$G$1000,B157,DB_All!$L$2:$L$1000,"بانتظار سندات الاستلام \ شهادة الإنجاز"))</f>
        <v/>
      </c>
      <c r="R157" t="str">
        <f t="shared" si="8"/>
        <v/>
      </c>
    </row>
    <row r="158" spans="6:18" x14ac:dyDescent="0.3">
      <c r="F158" t="str">
        <f>IF(B158="","",SUMIFS(DB_All!$M$2:$M$1000,DB_All!$G$2:$G$1000,B158,DB_All!$L$2:$L$1000,"تحت إجراءات التعاقد"))</f>
        <v/>
      </c>
      <c r="G158" t="str">
        <f>IF(B158="","",COUNTIFS(DB_All!$G$2:$G$1000,B158,DB_All!$L$2:$L$1000,"تحت إجراءات التعاقد"))</f>
        <v/>
      </c>
      <c r="H158" t="str">
        <f>IF(B158="","",SUMIFS(DB_All!$N$2:$N$1000,DB_All!$G$2:$G$1000,B158,DB_All!$L$2:$L$1000,"تم التوقيع"))</f>
        <v/>
      </c>
      <c r="I158" t="str">
        <f>IF(B158="","",COUNTIFS(DB_All!$G$2:$G$1000,B158,DB_All!$L$2:$L$1000,"تم التوقيع"))</f>
        <v/>
      </c>
      <c r="J158">
        <f t="shared" si="6"/>
        <v>0</v>
      </c>
      <c r="K158" t="str">
        <f>IF(B158="","",SUMIFS('المطالبات 2026'!$J:$J,'المطالبات 2026'!$E:$E,B158,'المطالبات 2026'!$I:$I,"مطالبة مرفوعة للمالية") + SUMIFS('المطالبات 2025'!$J:$J,'المطالبات 2025'!$E:$E,B158,'المطالبات 2025'!$I:$I,"مطالبة مرفوعة للمالية"))</f>
        <v/>
      </c>
      <c r="L158" t="str">
        <f>IF(B158="","",COUNTIFS('المطالبات 2026'!$E:$E,B158,'المطالبات 2026'!$I:$I,"مطالبة مرفوعة للمالية") + COUNTIFS('المطالبات 2025'!$E:$E,B158,'المطالبات 2025'!$I:$I,"مطالبة مرفوعة للمالية"))</f>
        <v/>
      </c>
      <c r="M158">
        <f t="shared" si="7"/>
        <v>0</v>
      </c>
      <c r="N158" t="str">
        <f>IF(B158="","",SUMIFS(DB_All!$N$2:$N$1000,DB_All!$G$2:$G$1000,B158,DB_All!$L$2:$L$1000,"تحت إجراءات التوريد"))</f>
        <v/>
      </c>
      <c r="O158" t="str">
        <f>IF(B158="","",COUNTIFS(DB_All!$G$2:$G$1000,B158,DB_All!$L$2:$L$1000,"تحت إجراءات التوريد"))</f>
        <v/>
      </c>
      <c r="P158" t="str">
        <f>IF(B158="","",SUMIFS(DB_All!$N$2:$N$1000,DB_All!$G$2:$G$1000,B158,DB_All!$L$2:$L$1000,"بانتظار سندات الاستلام \ شهادة الإنجاز"))</f>
        <v/>
      </c>
      <c r="Q158" t="str">
        <f>IF(B158="","",COUNTIFS(DB_All!$G$2:$G$1000,B158,DB_All!$L$2:$L$1000,"بانتظار سندات الاستلام \ شهادة الإنجاز"))</f>
        <v/>
      </c>
      <c r="R158" t="str">
        <f t="shared" si="8"/>
        <v/>
      </c>
    </row>
    <row r="159" spans="6:18" x14ac:dyDescent="0.3">
      <c r="F159" t="str">
        <f>IF(B159="","",SUMIFS(DB_All!$M$2:$M$1000,DB_All!$G$2:$G$1000,B159,DB_All!$L$2:$L$1000,"تحت إجراءات التعاقد"))</f>
        <v/>
      </c>
      <c r="G159" t="str">
        <f>IF(B159="","",COUNTIFS(DB_All!$G$2:$G$1000,B159,DB_All!$L$2:$L$1000,"تحت إجراءات التعاقد"))</f>
        <v/>
      </c>
      <c r="H159" t="str">
        <f>IF(B159="","",SUMIFS(DB_All!$N$2:$N$1000,DB_All!$G$2:$G$1000,B159,DB_All!$L$2:$L$1000,"تم التوقيع"))</f>
        <v/>
      </c>
      <c r="I159" t="str">
        <f>IF(B159="","",COUNTIFS(DB_All!$G$2:$G$1000,B159,DB_All!$L$2:$L$1000,"تم التوقيع"))</f>
        <v/>
      </c>
      <c r="J159">
        <f t="shared" si="6"/>
        <v>0</v>
      </c>
      <c r="K159" t="str">
        <f>IF(B159="","",SUMIFS('المطالبات 2026'!$J:$J,'المطالبات 2026'!$E:$E,B159,'المطالبات 2026'!$I:$I,"مطالبة مرفوعة للمالية") + SUMIFS('المطالبات 2025'!$J:$J,'المطالبات 2025'!$E:$E,B159,'المطالبات 2025'!$I:$I,"مطالبة مرفوعة للمالية"))</f>
        <v/>
      </c>
      <c r="L159" t="str">
        <f>IF(B159="","",COUNTIFS('المطالبات 2026'!$E:$E,B159,'المطالبات 2026'!$I:$I,"مطالبة مرفوعة للمالية") + COUNTIFS('المطالبات 2025'!$E:$E,B159,'المطالبات 2025'!$I:$I,"مطالبة مرفوعة للمالية"))</f>
        <v/>
      </c>
      <c r="M159">
        <f t="shared" si="7"/>
        <v>0</v>
      </c>
      <c r="N159" t="str">
        <f>IF(B159="","",SUMIFS(DB_All!$N$2:$N$1000,DB_All!$G$2:$G$1000,B159,DB_All!$L$2:$L$1000,"تحت إجراءات التوريد"))</f>
        <v/>
      </c>
      <c r="O159" t="str">
        <f>IF(B159="","",COUNTIFS(DB_All!$G$2:$G$1000,B159,DB_All!$L$2:$L$1000,"تحت إجراءات التوريد"))</f>
        <v/>
      </c>
      <c r="P159" t="str">
        <f>IF(B159="","",SUMIFS(DB_All!$N$2:$N$1000,DB_All!$G$2:$G$1000,B159,DB_All!$L$2:$L$1000,"بانتظار سندات الاستلام \ شهادة الإنجاز"))</f>
        <v/>
      </c>
      <c r="Q159" t="str">
        <f>IF(B159="","",COUNTIFS(DB_All!$G$2:$G$1000,B159,DB_All!$L$2:$L$1000,"بانتظار سندات الاستلام \ شهادة الإنجاز"))</f>
        <v/>
      </c>
      <c r="R159" t="str">
        <f t="shared" si="8"/>
        <v/>
      </c>
    </row>
    <row r="160" spans="6:18" x14ac:dyDescent="0.3">
      <c r="F160" t="str">
        <f>IF(B160="","",SUMIFS(DB_All!$M$2:$M$1000,DB_All!$G$2:$G$1000,B160,DB_All!$L$2:$L$1000,"تحت إجراءات التعاقد"))</f>
        <v/>
      </c>
      <c r="G160" t="str">
        <f>IF(B160="","",COUNTIFS(DB_All!$G$2:$G$1000,B160,DB_All!$L$2:$L$1000,"تحت إجراءات التعاقد"))</f>
        <v/>
      </c>
      <c r="H160" t="str">
        <f>IF(B160="","",SUMIFS(DB_All!$N$2:$N$1000,DB_All!$G$2:$G$1000,B160,DB_All!$L$2:$L$1000,"تم التوقيع"))</f>
        <v/>
      </c>
      <c r="I160" t="str">
        <f>IF(B160="","",COUNTIFS(DB_All!$G$2:$G$1000,B160,DB_All!$L$2:$L$1000,"تم التوقيع"))</f>
        <v/>
      </c>
      <c r="J160">
        <f t="shared" si="6"/>
        <v>0</v>
      </c>
      <c r="K160" t="str">
        <f>IF(B160="","",SUMIFS('المطالبات 2026'!$J:$J,'المطالبات 2026'!$E:$E,B160,'المطالبات 2026'!$I:$I,"مطالبة مرفوعة للمالية") + SUMIFS('المطالبات 2025'!$J:$J,'المطالبات 2025'!$E:$E,B160,'المطالبات 2025'!$I:$I,"مطالبة مرفوعة للمالية"))</f>
        <v/>
      </c>
      <c r="L160" t="str">
        <f>IF(B160="","",COUNTIFS('المطالبات 2026'!$E:$E,B160,'المطالبات 2026'!$I:$I,"مطالبة مرفوعة للمالية") + COUNTIFS('المطالبات 2025'!$E:$E,B160,'المطالبات 2025'!$I:$I,"مطالبة مرفوعة للمالية"))</f>
        <v/>
      </c>
      <c r="M160">
        <f t="shared" si="7"/>
        <v>0</v>
      </c>
      <c r="N160" t="str">
        <f>IF(B160="","",SUMIFS(DB_All!$N$2:$N$1000,DB_All!$G$2:$G$1000,B160,DB_All!$L$2:$L$1000,"تحت إجراءات التوريد"))</f>
        <v/>
      </c>
      <c r="O160" t="str">
        <f>IF(B160="","",COUNTIFS(DB_All!$G$2:$G$1000,B160,DB_All!$L$2:$L$1000,"تحت إجراءات التوريد"))</f>
        <v/>
      </c>
      <c r="P160" t="str">
        <f>IF(B160="","",SUMIFS(DB_All!$N$2:$N$1000,DB_All!$G$2:$G$1000,B160,DB_All!$L$2:$L$1000,"بانتظار سندات الاستلام \ شهادة الإنجاز"))</f>
        <v/>
      </c>
      <c r="Q160" t="str">
        <f>IF(B160="","",COUNTIFS(DB_All!$G$2:$G$1000,B160,DB_All!$L$2:$L$1000,"بانتظار سندات الاستلام \ شهادة الإنجاز"))</f>
        <v/>
      </c>
      <c r="R160" t="str">
        <f t="shared" si="8"/>
        <v/>
      </c>
    </row>
    <row r="161" spans="6:18" x14ac:dyDescent="0.3">
      <c r="F161" t="str">
        <f>IF(B161="","",SUMIFS(DB_All!$M$2:$M$1000,DB_All!$G$2:$G$1000,B161,DB_All!$L$2:$L$1000,"تحت إجراءات التعاقد"))</f>
        <v/>
      </c>
      <c r="G161" t="str">
        <f>IF(B161="","",COUNTIFS(DB_All!$G$2:$G$1000,B161,DB_All!$L$2:$L$1000,"تحت إجراءات التعاقد"))</f>
        <v/>
      </c>
      <c r="H161" t="str">
        <f>IF(B161="","",SUMIFS(DB_All!$N$2:$N$1000,DB_All!$G$2:$G$1000,B161,DB_All!$L$2:$L$1000,"تم التوقيع"))</f>
        <v/>
      </c>
      <c r="I161" t="str">
        <f>IF(B161="","",COUNTIFS(DB_All!$G$2:$G$1000,B161,DB_All!$L$2:$L$1000,"تم التوقيع"))</f>
        <v/>
      </c>
      <c r="J161">
        <f t="shared" si="6"/>
        <v>0</v>
      </c>
      <c r="K161" t="str">
        <f>IF(B161="","",SUMIFS('المطالبات 2026'!$J:$J,'المطالبات 2026'!$E:$E,B161,'المطالبات 2026'!$I:$I,"مطالبة مرفوعة للمالية") + SUMIFS('المطالبات 2025'!$J:$J,'المطالبات 2025'!$E:$E,B161,'المطالبات 2025'!$I:$I,"مطالبة مرفوعة للمالية"))</f>
        <v/>
      </c>
      <c r="L161" t="str">
        <f>IF(B161="","",COUNTIFS('المطالبات 2026'!$E:$E,B161,'المطالبات 2026'!$I:$I,"مطالبة مرفوعة للمالية") + COUNTIFS('المطالبات 2025'!$E:$E,B161,'المطالبات 2025'!$I:$I,"مطالبة مرفوعة للمالية"))</f>
        <v/>
      </c>
      <c r="M161">
        <f t="shared" si="7"/>
        <v>0</v>
      </c>
      <c r="N161" t="str">
        <f>IF(B161="","",SUMIFS(DB_All!$N$2:$N$1000,DB_All!$G$2:$G$1000,B161,DB_All!$L$2:$L$1000,"تحت إجراءات التوريد"))</f>
        <v/>
      </c>
      <c r="O161" t="str">
        <f>IF(B161="","",COUNTIFS(DB_All!$G$2:$G$1000,B161,DB_All!$L$2:$L$1000,"تحت إجراءات التوريد"))</f>
        <v/>
      </c>
      <c r="P161" t="str">
        <f>IF(B161="","",SUMIFS(DB_All!$N$2:$N$1000,DB_All!$G$2:$G$1000,B161,DB_All!$L$2:$L$1000,"بانتظار سندات الاستلام \ شهادة الإنجاز"))</f>
        <v/>
      </c>
      <c r="Q161" t="str">
        <f>IF(B161="","",COUNTIFS(DB_All!$G$2:$G$1000,B161,DB_All!$L$2:$L$1000,"بانتظار سندات الاستلام \ شهادة الإنجاز"))</f>
        <v/>
      </c>
      <c r="R161" t="str">
        <f t="shared" si="8"/>
        <v/>
      </c>
    </row>
    <row r="162" spans="6:18" x14ac:dyDescent="0.3">
      <c r="F162" t="str">
        <f>IF(B162="","",SUMIFS(DB_All!$M$2:$M$1000,DB_All!$G$2:$G$1000,B162,DB_All!$L$2:$L$1000,"تحت إجراءات التعاقد"))</f>
        <v/>
      </c>
      <c r="G162" t="str">
        <f>IF(B162="","",COUNTIFS(DB_All!$G$2:$G$1000,B162,DB_All!$L$2:$L$1000,"تحت إجراءات التعاقد"))</f>
        <v/>
      </c>
      <c r="H162" t="str">
        <f>IF(B162="","",SUMIFS(DB_All!$N$2:$N$1000,DB_All!$G$2:$G$1000,B162,DB_All!$L$2:$L$1000,"تم التوقيع"))</f>
        <v/>
      </c>
      <c r="I162" t="str">
        <f>IF(B162="","",COUNTIFS(DB_All!$G$2:$G$1000,B162,DB_All!$L$2:$L$1000,"تم التوقيع"))</f>
        <v/>
      </c>
      <c r="J162">
        <f t="shared" si="6"/>
        <v>0</v>
      </c>
      <c r="K162" t="str">
        <f>IF(B162="","",SUMIFS('المطالبات 2026'!$J:$J,'المطالبات 2026'!$E:$E,B162,'المطالبات 2026'!$I:$I,"مطالبة مرفوعة للمالية") + SUMIFS('المطالبات 2025'!$J:$J,'المطالبات 2025'!$E:$E,B162,'المطالبات 2025'!$I:$I,"مطالبة مرفوعة للمالية"))</f>
        <v/>
      </c>
      <c r="L162" t="str">
        <f>IF(B162="","",COUNTIFS('المطالبات 2026'!$E:$E,B162,'المطالبات 2026'!$I:$I,"مطالبة مرفوعة للمالية") + COUNTIFS('المطالبات 2025'!$E:$E,B162,'المطالبات 2025'!$I:$I,"مطالبة مرفوعة للمالية"))</f>
        <v/>
      </c>
      <c r="M162">
        <f t="shared" si="7"/>
        <v>0</v>
      </c>
      <c r="N162" t="str">
        <f>IF(B162="","",SUMIFS(DB_All!$N$2:$N$1000,DB_All!$G$2:$G$1000,B162,DB_All!$L$2:$L$1000,"تحت إجراءات التوريد"))</f>
        <v/>
      </c>
      <c r="O162" t="str">
        <f>IF(B162="","",COUNTIFS(DB_All!$G$2:$G$1000,B162,DB_All!$L$2:$L$1000,"تحت إجراءات التوريد"))</f>
        <v/>
      </c>
      <c r="P162" t="str">
        <f>IF(B162="","",SUMIFS(DB_All!$N$2:$N$1000,DB_All!$G$2:$G$1000,B162,DB_All!$L$2:$L$1000,"بانتظار سندات الاستلام \ شهادة الإنجاز"))</f>
        <v/>
      </c>
      <c r="Q162" t="str">
        <f>IF(B162="","",COUNTIFS(DB_All!$G$2:$G$1000,B162,DB_All!$L$2:$L$1000,"بانتظار سندات الاستلام \ شهادة الإنجاز"))</f>
        <v/>
      </c>
      <c r="R162" t="str">
        <f t="shared" si="8"/>
        <v/>
      </c>
    </row>
    <row r="163" spans="6:18" x14ac:dyDescent="0.3">
      <c r="F163" t="str">
        <f>IF(B163="","",SUMIFS(DB_All!$M$2:$M$1000,DB_All!$G$2:$G$1000,B163,DB_All!$L$2:$L$1000,"تحت إجراءات التعاقد"))</f>
        <v/>
      </c>
      <c r="G163" t="str">
        <f>IF(B163="","",COUNTIFS(DB_All!$G$2:$G$1000,B163,DB_All!$L$2:$L$1000,"تحت إجراءات التعاقد"))</f>
        <v/>
      </c>
      <c r="H163" t="str">
        <f>IF(B163="","",SUMIFS(DB_All!$N$2:$N$1000,DB_All!$G$2:$G$1000,B163,DB_All!$L$2:$L$1000,"تم التوقيع"))</f>
        <v/>
      </c>
      <c r="I163" t="str">
        <f>IF(B163="","",COUNTIFS(DB_All!$G$2:$G$1000,B163,DB_All!$L$2:$L$1000,"تم التوقيع"))</f>
        <v/>
      </c>
      <c r="J163">
        <f t="shared" si="6"/>
        <v>0</v>
      </c>
      <c r="K163" t="str">
        <f>IF(B163="","",SUMIFS('المطالبات 2026'!$J:$J,'المطالبات 2026'!$E:$E,B163,'المطالبات 2026'!$I:$I,"مطالبة مرفوعة للمالية") + SUMIFS('المطالبات 2025'!$J:$J,'المطالبات 2025'!$E:$E,B163,'المطالبات 2025'!$I:$I,"مطالبة مرفوعة للمالية"))</f>
        <v/>
      </c>
      <c r="L163" t="str">
        <f>IF(B163="","",COUNTIFS('المطالبات 2026'!$E:$E,B163,'المطالبات 2026'!$I:$I,"مطالبة مرفوعة للمالية") + COUNTIFS('المطالبات 2025'!$E:$E,B163,'المطالبات 2025'!$I:$I,"مطالبة مرفوعة للمالية"))</f>
        <v/>
      </c>
      <c r="M163">
        <f t="shared" si="7"/>
        <v>0</v>
      </c>
      <c r="N163" t="str">
        <f>IF(B163="","",SUMIFS(DB_All!$N$2:$N$1000,DB_All!$G$2:$G$1000,B163,DB_All!$L$2:$L$1000,"تحت إجراءات التوريد"))</f>
        <v/>
      </c>
      <c r="O163" t="str">
        <f>IF(B163="","",COUNTIFS(DB_All!$G$2:$G$1000,B163,DB_All!$L$2:$L$1000,"تحت إجراءات التوريد"))</f>
        <v/>
      </c>
      <c r="P163" t="str">
        <f>IF(B163="","",SUMIFS(DB_All!$N$2:$N$1000,DB_All!$G$2:$G$1000,B163,DB_All!$L$2:$L$1000,"بانتظار سندات الاستلام \ شهادة الإنجاز"))</f>
        <v/>
      </c>
      <c r="Q163" t="str">
        <f>IF(B163="","",COUNTIFS(DB_All!$G$2:$G$1000,B163,DB_All!$L$2:$L$1000,"بانتظار سندات الاستلام \ شهادة الإنجاز"))</f>
        <v/>
      </c>
      <c r="R163" t="str">
        <f t="shared" si="8"/>
        <v/>
      </c>
    </row>
    <row r="164" spans="6:18" x14ac:dyDescent="0.3">
      <c r="F164" t="str">
        <f>IF(B164="","",SUMIFS(DB_All!$M$2:$M$1000,DB_All!$G$2:$G$1000,B164,DB_All!$L$2:$L$1000,"تحت إجراءات التعاقد"))</f>
        <v/>
      </c>
      <c r="G164" t="str">
        <f>IF(B164="","",COUNTIFS(DB_All!$G$2:$G$1000,B164,DB_All!$L$2:$L$1000,"تحت إجراءات التعاقد"))</f>
        <v/>
      </c>
      <c r="H164" t="str">
        <f>IF(B164="","",SUMIFS(DB_All!$N$2:$N$1000,DB_All!$G$2:$G$1000,B164,DB_All!$L$2:$L$1000,"تم التوقيع"))</f>
        <v/>
      </c>
      <c r="I164" t="str">
        <f>IF(B164="","",COUNTIFS(DB_All!$G$2:$G$1000,B164,DB_All!$L$2:$L$1000,"تم التوقيع"))</f>
        <v/>
      </c>
      <c r="J164">
        <f t="shared" si="6"/>
        <v>0</v>
      </c>
      <c r="K164" t="str">
        <f>IF(B164="","",SUMIFS('المطالبات 2026'!$J:$J,'المطالبات 2026'!$E:$E,B164,'المطالبات 2026'!$I:$I,"مطالبة مرفوعة للمالية") + SUMIFS('المطالبات 2025'!$J:$J,'المطالبات 2025'!$E:$E,B164,'المطالبات 2025'!$I:$I,"مطالبة مرفوعة للمالية"))</f>
        <v/>
      </c>
      <c r="L164" t="str">
        <f>IF(B164="","",COUNTIFS('المطالبات 2026'!$E:$E,B164,'المطالبات 2026'!$I:$I,"مطالبة مرفوعة للمالية") + COUNTIFS('المطالبات 2025'!$E:$E,B164,'المطالبات 2025'!$I:$I,"مطالبة مرفوعة للمالية"))</f>
        <v/>
      </c>
      <c r="M164">
        <f t="shared" si="7"/>
        <v>0</v>
      </c>
      <c r="N164" t="str">
        <f>IF(B164="","",SUMIFS(DB_All!$N$2:$N$1000,DB_All!$G$2:$G$1000,B164,DB_All!$L$2:$L$1000,"تحت إجراءات التوريد"))</f>
        <v/>
      </c>
      <c r="O164" t="str">
        <f>IF(B164="","",COUNTIFS(DB_All!$G$2:$G$1000,B164,DB_All!$L$2:$L$1000,"تحت إجراءات التوريد"))</f>
        <v/>
      </c>
      <c r="P164" t="str">
        <f>IF(B164="","",SUMIFS(DB_All!$N$2:$N$1000,DB_All!$G$2:$G$1000,B164,DB_All!$L$2:$L$1000,"بانتظار سندات الاستلام \ شهادة الإنجاز"))</f>
        <v/>
      </c>
      <c r="Q164" t="str">
        <f>IF(B164="","",COUNTIFS(DB_All!$G$2:$G$1000,B164,DB_All!$L$2:$L$1000,"بانتظار سندات الاستلام \ شهادة الإنجاز"))</f>
        <v/>
      </c>
      <c r="R164" t="str">
        <f t="shared" si="8"/>
        <v/>
      </c>
    </row>
    <row r="165" spans="6:18" x14ac:dyDescent="0.3">
      <c r="F165" t="str">
        <f>IF(B165="","",SUMIFS(DB_All!$M$2:$M$1000,DB_All!$G$2:$G$1000,B165,DB_All!$L$2:$L$1000,"تحت إجراءات التعاقد"))</f>
        <v/>
      </c>
      <c r="G165" t="str">
        <f>IF(B165="","",COUNTIFS(DB_All!$G$2:$G$1000,B165,DB_All!$L$2:$L$1000,"تحت إجراءات التعاقد"))</f>
        <v/>
      </c>
      <c r="H165" t="str">
        <f>IF(B165="","",SUMIFS(DB_All!$N$2:$N$1000,DB_All!$G$2:$G$1000,B165,DB_All!$L$2:$L$1000,"تم التوقيع"))</f>
        <v/>
      </c>
      <c r="I165" t="str">
        <f>IF(B165="","",COUNTIFS(DB_All!$G$2:$G$1000,B165,DB_All!$L$2:$L$1000,"تم التوقيع"))</f>
        <v/>
      </c>
      <c r="J165">
        <f t="shared" si="6"/>
        <v>0</v>
      </c>
      <c r="K165" t="str">
        <f>IF(B165="","",SUMIFS('المطالبات 2026'!$J:$J,'المطالبات 2026'!$E:$E,B165,'المطالبات 2026'!$I:$I,"مطالبة مرفوعة للمالية") + SUMIFS('المطالبات 2025'!$J:$J,'المطالبات 2025'!$E:$E,B165,'المطالبات 2025'!$I:$I,"مطالبة مرفوعة للمالية"))</f>
        <v/>
      </c>
      <c r="L165" t="str">
        <f>IF(B165="","",COUNTIFS('المطالبات 2026'!$E:$E,B165,'المطالبات 2026'!$I:$I,"مطالبة مرفوعة للمالية") + COUNTIFS('المطالبات 2025'!$E:$E,B165,'المطالبات 2025'!$I:$I,"مطالبة مرفوعة للمالية"))</f>
        <v/>
      </c>
      <c r="M165">
        <f t="shared" si="7"/>
        <v>0</v>
      </c>
      <c r="N165" t="str">
        <f>IF(B165="","",SUMIFS(DB_All!$N$2:$N$1000,DB_All!$G$2:$G$1000,B165,DB_All!$L$2:$L$1000,"تحت إجراءات التوريد"))</f>
        <v/>
      </c>
      <c r="O165" t="str">
        <f>IF(B165="","",COUNTIFS(DB_All!$G$2:$G$1000,B165,DB_All!$L$2:$L$1000,"تحت إجراءات التوريد"))</f>
        <v/>
      </c>
      <c r="P165" t="str">
        <f>IF(B165="","",SUMIFS(DB_All!$N$2:$N$1000,DB_All!$G$2:$G$1000,B165,DB_All!$L$2:$L$1000,"بانتظار سندات الاستلام \ شهادة الإنجاز"))</f>
        <v/>
      </c>
      <c r="Q165" t="str">
        <f>IF(B165="","",COUNTIFS(DB_All!$G$2:$G$1000,B165,DB_All!$L$2:$L$1000,"بانتظار سندات الاستلام \ شهادة الإنجاز"))</f>
        <v/>
      </c>
      <c r="R165" t="str">
        <f t="shared" si="8"/>
        <v/>
      </c>
    </row>
    <row r="166" spans="6:18" x14ac:dyDescent="0.3">
      <c r="F166" t="str">
        <f>IF(B166="","",SUMIFS(DB_All!$M$2:$M$1000,DB_All!$G$2:$G$1000,B166,DB_All!$L$2:$L$1000,"تحت إجراءات التعاقد"))</f>
        <v/>
      </c>
      <c r="G166" t="str">
        <f>IF(B166="","",COUNTIFS(DB_All!$G$2:$G$1000,B166,DB_All!$L$2:$L$1000,"تحت إجراءات التعاقد"))</f>
        <v/>
      </c>
      <c r="H166" t="str">
        <f>IF(B166="","",SUMIFS(DB_All!$N$2:$N$1000,DB_All!$G$2:$G$1000,B166,DB_All!$L$2:$L$1000,"تم التوقيع"))</f>
        <v/>
      </c>
      <c r="I166" t="str">
        <f>IF(B166="","",COUNTIFS(DB_All!$G$2:$G$1000,B166,DB_All!$L$2:$L$1000,"تم التوقيع"))</f>
        <v/>
      </c>
      <c r="J166">
        <f t="shared" si="6"/>
        <v>0</v>
      </c>
      <c r="K166" t="str">
        <f>IF(B166="","",SUMIFS('المطالبات 2026'!$J:$J,'المطالبات 2026'!$E:$E,B166,'المطالبات 2026'!$I:$I,"مطالبة مرفوعة للمالية") + SUMIFS('المطالبات 2025'!$J:$J,'المطالبات 2025'!$E:$E,B166,'المطالبات 2025'!$I:$I,"مطالبة مرفوعة للمالية"))</f>
        <v/>
      </c>
      <c r="L166" t="str">
        <f>IF(B166="","",COUNTIFS('المطالبات 2026'!$E:$E,B166,'المطالبات 2026'!$I:$I,"مطالبة مرفوعة للمالية") + COUNTIFS('المطالبات 2025'!$E:$E,B166,'المطالبات 2025'!$I:$I,"مطالبة مرفوعة للمالية"))</f>
        <v/>
      </c>
      <c r="M166">
        <f t="shared" si="7"/>
        <v>0</v>
      </c>
      <c r="N166" t="str">
        <f>IF(B166="","",SUMIFS(DB_All!$N$2:$N$1000,DB_All!$G$2:$G$1000,B166,DB_All!$L$2:$L$1000,"تحت إجراءات التوريد"))</f>
        <v/>
      </c>
      <c r="O166" t="str">
        <f>IF(B166="","",COUNTIFS(DB_All!$G$2:$G$1000,B166,DB_All!$L$2:$L$1000,"تحت إجراءات التوريد"))</f>
        <v/>
      </c>
      <c r="P166" t="str">
        <f>IF(B166="","",SUMIFS(DB_All!$N$2:$N$1000,DB_All!$G$2:$G$1000,B166,DB_All!$L$2:$L$1000,"بانتظار سندات الاستلام \ شهادة الإنجاز"))</f>
        <v/>
      </c>
      <c r="Q166" t="str">
        <f>IF(B166="","",COUNTIFS(DB_All!$G$2:$G$1000,B166,DB_All!$L$2:$L$1000,"بانتظار سندات الاستلام \ شهادة الإنجاز"))</f>
        <v/>
      </c>
      <c r="R166" t="str">
        <f t="shared" si="8"/>
        <v/>
      </c>
    </row>
    <row r="167" spans="6:18" x14ac:dyDescent="0.3">
      <c r="F167" t="str">
        <f>IF(B167="","",SUMIFS(DB_All!$M$2:$M$1000,DB_All!$G$2:$G$1000,B167,DB_All!$L$2:$L$1000,"تحت إجراءات التعاقد"))</f>
        <v/>
      </c>
      <c r="G167" t="str">
        <f>IF(B167="","",COUNTIFS(DB_All!$G$2:$G$1000,B167,DB_All!$L$2:$L$1000,"تحت إجراءات التعاقد"))</f>
        <v/>
      </c>
      <c r="H167" t="str">
        <f>IF(B167="","",SUMIFS(DB_All!$N$2:$N$1000,DB_All!$G$2:$G$1000,B167,DB_All!$L$2:$L$1000,"تم التوقيع"))</f>
        <v/>
      </c>
      <c r="I167" t="str">
        <f>IF(B167="","",COUNTIFS(DB_All!$G$2:$G$1000,B167,DB_All!$L$2:$L$1000,"تم التوقيع"))</f>
        <v/>
      </c>
      <c r="J167">
        <f t="shared" si="6"/>
        <v>0</v>
      </c>
      <c r="K167" t="str">
        <f>IF(B167="","",SUMIFS('المطالبات 2026'!$J:$J,'المطالبات 2026'!$E:$E,B167,'المطالبات 2026'!$I:$I,"مطالبة مرفوعة للمالية") + SUMIFS('المطالبات 2025'!$J:$J,'المطالبات 2025'!$E:$E,B167,'المطالبات 2025'!$I:$I,"مطالبة مرفوعة للمالية"))</f>
        <v/>
      </c>
      <c r="L167" t="str">
        <f>IF(B167="","",COUNTIFS('المطالبات 2026'!$E:$E,B167,'المطالبات 2026'!$I:$I,"مطالبة مرفوعة للمالية") + COUNTIFS('المطالبات 2025'!$E:$E,B167,'المطالبات 2025'!$I:$I,"مطالبة مرفوعة للمالية"))</f>
        <v/>
      </c>
      <c r="M167">
        <f t="shared" si="7"/>
        <v>0</v>
      </c>
      <c r="N167" t="str">
        <f>IF(B167="","",SUMIFS(DB_All!$N$2:$N$1000,DB_All!$G$2:$G$1000,B167,DB_All!$L$2:$L$1000,"تحت إجراءات التوريد"))</f>
        <v/>
      </c>
      <c r="O167" t="str">
        <f>IF(B167="","",COUNTIFS(DB_All!$G$2:$G$1000,B167,DB_All!$L$2:$L$1000,"تحت إجراءات التوريد"))</f>
        <v/>
      </c>
      <c r="P167" t="str">
        <f>IF(B167="","",SUMIFS(DB_All!$N$2:$N$1000,DB_All!$G$2:$G$1000,B167,DB_All!$L$2:$L$1000,"بانتظار سندات الاستلام \ شهادة الإنجاز"))</f>
        <v/>
      </c>
      <c r="Q167" t="str">
        <f>IF(B167="","",COUNTIFS(DB_All!$G$2:$G$1000,B167,DB_All!$L$2:$L$1000,"بانتظار سندات الاستلام \ شهادة الإنجاز"))</f>
        <v/>
      </c>
      <c r="R167" t="str">
        <f t="shared" si="8"/>
        <v/>
      </c>
    </row>
    <row r="168" spans="6:18" x14ac:dyDescent="0.3">
      <c r="F168" t="str">
        <f>IF(B168="","",SUMIFS(DB_All!$M$2:$M$1000,DB_All!$G$2:$G$1000,B168,DB_All!$L$2:$L$1000,"تحت إجراءات التعاقد"))</f>
        <v/>
      </c>
      <c r="G168" t="str">
        <f>IF(B168="","",COUNTIFS(DB_All!$G$2:$G$1000,B168,DB_All!$L$2:$L$1000,"تحت إجراءات التعاقد"))</f>
        <v/>
      </c>
      <c r="H168" t="str">
        <f>IF(B168="","",SUMIFS(DB_All!$N$2:$N$1000,DB_All!$G$2:$G$1000,B168,DB_All!$L$2:$L$1000,"تم التوقيع"))</f>
        <v/>
      </c>
      <c r="I168" t="str">
        <f>IF(B168="","",COUNTIFS(DB_All!$G$2:$G$1000,B168,DB_All!$L$2:$L$1000,"تم التوقيع"))</f>
        <v/>
      </c>
      <c r="J168">
        <f t="shared" si="6"/>
        <v>0</v>
      </c>
      <c r="K168" t="str">
        <f>IF(B168="","",SUMIFS('المطالبات 2026'!$J:$J,'المطالبات 2026'!$E:$E,B168,'المطالبات 2026'!$I:$I,"مطالبة مرفوعة للمالية") + SUMIFS('المطالبات 2025'!$J:$J,'المطالبات 2025'!$E:$E,B168,'المطالبات 2025'!$I:$I,"مطالبة مرفوعة للمالية"))</f>
        <v/>
      </c>
      <c r="L168" t="str">
        <f>IF(B168="","",COUNTIFS('المطالبات 2026'!$E:$E,B168,'المطالبات 2026'!$I:$I,"مطالبة مرفوعة للمالية") + COUNTIFS('المطالبات 2025'!$E:$E,B168,'المطالبات 2025'!$I:$I,"مطالبة مرفوعة للمالية"))</f>
        <v/>
      </c>
      <c r="M168">
        <f t="shared" si="7"/>
        <v>0</v>
      </c>
      <c r="N168" t="str">
        <f>IF(B168="","",SUMIFS(DB_All!$N$2:$N$1000,DB_All!$G$2:$G$1000,B168,DB_All!$L$2:$L$1000,"تحت إجراءات التوريد"))</f>
        <v/>
      </c>
      <c r="O168" t="str">
        <f>IF(B168="","",COUNTIFS(DB_All!$G$2:$G$1000,B168,DB_All!$L$2:$L$1000,"تحت إجراءات التوريد"))</f>
        <v/>
      </c>
      <c r="P168" t="str">
        <f>IF(B168="","",SUMIFS(DB_All!$N$2:$N$1000,DB_All!$G$2:$G$1000,B168,DB_All!$L$2:$L$1000,"بانتظار سندات الاستلام \ شهادة الإنجاز"))</f>
        <v/>
      </c>
      <c r="Q168" t="str">
        <f>IF(B168="","",COUNTIFS(DB_All!$G$2:$G$1000,B168,DB_All!$L$2:$L$1000,"بانتظار سندات الاستلام \ شهادة الإنجاز"))</f>
        <v/>
      </c>
      <c r="R168" t="str">
        <f t="shared" si="8"/>
        <v/>
      </c>
    </row>
    <row r="169" spans="6:18" x14ac:dyDescent="0.3">
      <c r="F169" t="str">
        <f>IF(B169="","",SUMIFS(DB_All!$M$2:$M$1000,DB_All!$G$2:$G$1000,B169,DB_All!$L$2:$L$1000,"تحت إجراءات التعاقد"))</f>
        <v/>
      </c>
      <c r="G169" t="str">
        <f>IF(B169="","",COUNTIFS(DB_All!$G$2:$G$1000,B169,DB_All!$L$2:$L$1000,"تحت إجراءات التعاقد"))</f>
        <v/>
      </c>
      <c r="H169" t="str">
        <f>IF(B169="","",SUMIFS(DB_All!$N$2:$N$1000,DB_All!$G$2:$G$1000,B169,DB_All!$L$2:$L$1000,"تم التوقيع"))</f>
        <v/>
      </c>
      <c r="I169" t="str">
        <f>IF(B169="","",COUNTIFS(DB_All!$G$2:$G$1000,B169,DB_All!$L$2:$L$1000,"تم التوقيع"))</f>
        <v/>
      </c>
      <c r="J169">
        <f t="shared" si="6"/>
        <v>0</v>
      </c>
      <c r="K169" t="str">
        <f>IF(B169="","",SUMIFS('المطالبات 2026'!$J:$J,'المطالبات 2026'!$E:$E,B169,'المطالبات 2026'!$I:$I,"مطالبة مرفوعة للمالية") + SUMIFS('المطالبات 2025'!$J:$J,'المطالبات 2025'!$E:$E,B169,'المطالبات 2025'!$I:$I,"مطالبة مرفوعة للمالية"))</f>
        <v/>
      </c>
      <c r="L169" t="str">
        <f>IF(B169="","",COUNTIFS('المطالبات 2026'!$E:$E,B169,'المطالبات 2026'!$I:$I,"مطالبة مرفوعة للمالية") + COUNTIFS('المطالبات 2025'!$E:$E,B169,'المطالبات 2025'!$I:$I,"مطالبة مرفوعة للمالية"))</f>
        <v/>
      </c>
      <c r="M169">
        <f t="shared" si="7"/>
        <v>0</v>
      </c>
      <c r="N169" t="str">
        <f>IF(B169="","",SUMIFS(DB_All!$N$2:$N$1000,DB_All!$G$2:$G$1000,B169,DB_All!$L$2:$L$1000,"تحت إجراءات التوريد"))</f>
        <v/>
      </c>
      <c r="O169" t="str">
        <f>IF(B169="","",COUNTIFS(DB_All!$G$2:$G$1000,B169,DB_All!$L$2:$L$1000,"تحت إجراءات التوريد"))</f>
        <v/>
      </c>
      <c r="P169" t="str">
        <f>IF(B169="","",SUMIFS(DB_All!$N$2:$N$1000,DB_All!$G$2:$G$1000,B169,DB_All!$L$2:$L$1000,"بانتظار سندات الاستلام \ شهادة الإنجاز"))</f>
        <v/>
      </c>
      <c r="Q169" t="str">
        <f>IF(B169="","",COUNTIFS(DB_All!$G$2:$G$1000,B169,DB_All!$L$2:$L$1000,"بانتظار سندات الاستلام \ شهادة الإنجاز"))</f>
        <v/>
      </c>
      <c r="R169" t="str">
        <f t="shared" si="8"/>
        <v/>
      </c>
    </row>
    <row r="170" spans="6:18" x14ac:dyDescent="0.3">
      <c r="F170" t="str">
        <f>IF(B170="","",SUMIFS(DB_All!$M$2:$M$1000,DB_All!$G$2:$G$1000,B170,DB_All!$L$2:$L$1000,"تحت إجراءات التعاقد"))</f>
        <v/>
      </c>
      <c r="G170" t="str">
        <f>IF(B170="","",COUNTIFS(DB_All!$G$2:$G$1000,B170,DB_All!$L$2:$L$1000,"تحت إجراءات التعاقد"))</f>
        <v/>
      </c>
      <c r="H170" t="str">
        <f>IF(B170="","",SUMIFS(DB_All!$N$2:$N$1000,DB_All!$G$2:$G$1000,B170,DB_All!$L$2:$L$1000,"تم التوقيع"))</f>
        <v/>
      </c>
      <c r="I170" t="str">
        <f>IF(B170="","",COUNTIFS(DB_All!$G$2:$G$1000,B170,DB_All!$L$2:$L$1000,"تم التوقيع"))</f>
        <v/>
      </c>
      <c r="J170">
        <f t="shared" si="6"/>
        <v>0</v>
      </c>
      <c r="K170" t="str">
        <f>IF(B170="","",SUMIFS('المطالبات 2026'!$J:$J,'المطالبات 2026'!$E:$E,B170,'المطالبات 2026'!$I:$I,"مطالبة مرفوعة للمالية") + SUMIFS('المطالبات 2025'!$J:$J,'المطالبات 2025'!$E:$E,B170,'المطالبات 2025'!$I:$I,"مطالبة مرفوعة للمالية"))</f>
        <v/>
      </c>
      <c r="L170" t="str">
        <f>IF(B170="","",COUNTIFS('المطالبات 2026'!$E:$E,B170,'المطالبات 2026'!$I:$I,"مطالبة مرفوعة للمالية") + COUNTIFS('المطالبات 2025'!$E:$E,B170,'المطالبات 2025'!$I:$I,"مطالبة مرفوعة للمالية"))</f>
        <v/>
      </c>
      <c r="M170">
        <f t="shared" si="7"/>
        <v>0</v>
      </c>
      <c r="N170" t="str">
        <f>IF(B170="","",SUMIFS(DB_All!$N$2:$N$1000,DB_All!$G$2:$G$1000,B170,DB_All!$L$2:$L$1000,"تحت إجراءات التوريد"))</f>
        <v/>
      </c>
      <c r="O170" t="str">
        <f>IF(B170="","",COUNTIFS(DB_All!$G$2:$G$1000,B170,DB_All!$L$2:$L$1000,"تحت إجراءات التوريد"))</f>
        <v/>
      </c>
      <c r="P170" t="str">
        <f>IF(B170="","",SUMIFS(DB_All!$N$2:$N$1000,DB_All!$G$2:$G$1000,B170,DB_All!$L$2:$L$1000,"بانتظار سندات الاستلام \ شهادة الإنجاز"))</f>
        <v/>
      </c>
      <c r="Q170" t="str">
        <f>IF(B170="","",COUNTIFS(DB_All!$G$2:$G$1000,B170,DB_All!$L$2:$L$1000,"بانتظار سندات الاستلام \ شهادة الإنجاز"))</f>
        <v/>
      </c>
      <c r="R170" t="str">
        <f t="shared" si="8"/>
        <v/>
      </c>
    </row>
    <row r="171" spans="6:18" x14ac:dyDescent="0.3">
      <c r="F171" t="str">
        <f>IF(B171="","",SUMIFS(DB_All!$M$2:$M$1000,DB_All!$G$2:$G$1000,B171,DB_All!$L$2:$L$1000,"تحت إجراءات التعاقد"))</f>
        <v/>
      </c>
      <c r="G171" t="str">
        <f>IF(B171="","",COUNTIFS(DB_All!$G$2:$G$1000,B171,DB_All!$L$2:$L$1000,"تحت إجراءات التعاقد"))</f>
        <v/>
      </c>
      <c r="H171" t="str">
        <f>IF(B171="","",SUMIFS(DB_All!$N$2:$N$1000,DB_All!$G$2:$G$1000,B171,DB_All!$L$2:$L$1000,"تم التوقيع"))</f>
        <v/>
      </c>
      <c r="I171" t="str">
        <f>IF(B171="","",COUNTIFS(DB_All!$G$2:$G$1000,B171,DB_All!$L$2:$L$1000,"تم التوقيع"))</f>
        <v/>
      </c>
      <c r="J171">
        <f t="shared" si="6"/>
        <v>0</v>
      </c>
      <c r="K171" t="str">
        <f>IF(B171="","",SUMIFS('المطالبات 2026'!$J:$J,'المطالبات 2026'!$E:$E,B171,'المطالبات 2026'!$I:$I,"مطالبة مرفوعة للمالية") + SUMIFS('المطالبات 2025'!$J:$J,'المطالبات 2025'!$E:$E,B171,'المطالبات 2025'!$I:$I,"مطالبة مرفوعة للمالية"))</f>
        <v/>
      </c>
      <c r="L171" t="str">
        <f>IF(B171="","",COUNTIFS('المطالبات 2026'!$E:$E,B171,'المطالبات 2026'!$I:$I,"مطالبة مرفوعة للمالية") + COUNTIFS('المطالبات 2025'!$E:$E,B171,'المطالبات 2025'!$I:$I,"مطالبة مرفوعة للمالية"))</f>
        <v/>
      </c>
      <c r="M171">
        <f t="shared" si="7"/>
        <v>0</v>
      </c>
      <c r="N171" t="str">
        <f>IF(B171="","",SUMIFS(DB_All!$N$2:$N$1000,DB_All!$G$2:$G$1000,B171,DB_All!$L$2:$L$1000,"تحت إجراءات التوريد"))</f>
        <v/>
      </c>
      <c r="O171" t="str">
        <f>IF(B171="","",COUNTIFS(DB_All!$G$2:$G$1000,B171,DB_All!$L$2:$L$1000,"تحت إجراءات التوريد"))</f>
        <v/>
      </c>
      <c r="P171" t="str">
        <f>IF(B171="","",SUMIFS(DB_All!$N$2:$N$1000,DB_All!$G$2:$G$1000,B171,DB_All!$L$2:$L$1000,"بانتظار سندات الاستلام \ شهادة الإنجاز"))</f>
        <v/>
      </c>
      <c r="Q171" t="str">
        <f>IF(B171="","",COUNTIFS(DB_All!$G$2:$G$1000,B171,DB_All!$L$2:$L$1000,"بانتظار سندات الاستلام \ شهادة الإنجاز"))</f>
        <v/>
      </c>
      <c r="R171" t="str">
        <f t="shared" si="8"/>
        <v/>
      </c>
    </row>
    <row r="172" spans="6:18" x14ac:dyDescent="0.3">
      <c r="F172" t="str">
        <f>IF(B172="","",SUMIFS(DB_All!$M$2:$M$1000,DB_All!$G$2:$G$1000,B172,DB_All!$L$2:$L$1000,"تحت إجراءات التعاقد"))</f>
        <v/>
      </c>
      <c r="G172" t="str">
        <f>IF(B172="","",COUNTIFS(DB_All!$G$2:$G$1000,B172,DB_All!$L$2:$L$1000,"تحت إجراءات التعاقد"))</f>
        <v/>
      </c>
      <c r="H172" t="str">
        <f>IF(B172="","",SUMIFS(DB_All!$N$2:$N$1000,DB_All!$G$2:$G$1000,B172,DB_All!$L$2:$L$1000,"تم التوقيع"))</f>
        <v/>
      </c>
      <c r="I172" t="str">
        <f>IF(B172="","",COUNTIFS(DB_All!$G$2:$G$1000,B172,DB_All!$L$2:$L$1000,"تم التوقيع"))</f>
        <v/>
      </c>
      <c r="J172">
        <f t="shared" si="6"/>
        <v>0</v>
      </c>
      <c r="K172" t="str">
        <f>IF(B172="","",SUMIFS('المطالبات 2026'!$J:$J,'المطالبات 2026'!$E:$E,B172,'المطالبات 2026'!$I:$I,"مطالبة مرفوعة للمالية") + SUMIFS('المطالبات 2025'!$J:$J,'المطالبات 2025'!$E:$E,B172,'المطالبات 2025'!$I:$I,"مطالبة مرفوعة للمالية"))</f>
        <v/>
      </c>
      <c r="L172" t="str">
        <f>IF(B172="","",COUNTIFS('المطالبات 2026'!$E:$E,B172,'المطالبات 2026'!$I:$I,"مطالبة مرفوعة للمالية") + COUNTIFS('المطالبات 2025'!$E:$E,B172,'المطالبات 2025'!$I:$I,"مطالبة مرفوعة للمالية"))</f>
        <v/>
      </c>
      <c r="M172">
        <f t="shared" si="7"/>
        <v>0</v>
      </c>
      <c r="N172" t="str">
        <f>IF(B172="","",SUMIFS(DB_All!$N$2:$N$1000,DB_All!$G$2:$G$1000,B172,DB_All!$L$2:$L$1000,"تحت إجراءات التوريد"))</f>
        <v/>
      </c>
      <c r="O172" t="str">
        <f>IF(B172="","",COUNTIFS(DB_All!$G$2:$G$1000,B172,DB_All!$L$2:$L$1000,"تحت إجراءات التوريد"))</f>
        <v/>
      </c>
      <c r="P172" t="str">
        <f>IF(B172="","",SUMIFS(DB_All!$N$2:$N$1000,DB_All!$G$2:$G$1000,B172,DB_All!$L$2:$L$1000,"بانتظار سندات الاستلام \ شهادة الإنجاز"))</f>
        <v/>
      </c>
      <c r="Q172" t="str">
        <f>IF(B172="","",COUNTIFS(DB_All!$G$2:$G$1000,B172,DB_All!$L$2:$L$1000,"بانتظار سندات الاستلام \ شهادة الإنجاز"))</f>
        <v/>
      </c>
      <c r="R172" t="str">
        <f t="shared" si="8"/>
        <v/>
      </c>
    </row>
    <row r="173" spans="6:18" x14ac:dyDescent="0.3">
      <c r="F173" t="str">
        <f>IF(B173="","",SUMIFS(DB_All!$M$2:$M$1000,DB_All!$G$2:$G$1000,B173,DB_All!$L$2:$L$1000,"تحت إجراءات التعاقد"))</f>
        <v/>
      </c>
      <c r="G173" t="str">
        <f>IF(B173="","",COUNTIFS(DB_All!$G$2:$G$1000,B173,DB_All!$L$2:$L$1000,"تحت إجراءات التعاقد"))</f>
        <v/>
      </c>
      <c r="H173" t="str">
        <f>IF(B173="","",SUMIFS(DB_All!$N$2:$N$1000,DB_All!$G$2:$G$1000,B173,DB_All!$L$2:$L$1000,"تم التوقيع"))</f>
        <v/>
      </c>
      <c r="I173" t="str">
        <f>IF(B173="","",COUNTIFS(DB_All!$G$2:$G$1000,B173,DB_All!$L$2:$L$1000,"تم التوقيع"))</f>
        <v/>
      </c>
      <c r="J173">
        <f t="shared" si="6"/>
        <v>0</v>
      </c>
      <c r="K173" t="str">
        <f>IF(B173="","",SUMIFS('المطالبات 2026'!$J:$J,'المطالبات 2026'!$E:$E,B173,'المطالبات 2026'!$I:$I,"مطالبة مرفوعة للمالية") + SUMIFS('المطالبات 2025'!$J:$J,'المطالبات 2025'!$E:$E,B173,'المطالبات 2025'!$I:$I,"مطالبة مرفوعة للمالية"))</f>
        <v/>
      </c>
      <c r="L173" t="str">
        <f>IF(B173="","",COUNTIFS('المطالبات 2026'!$E:$E,B173,'المطالبات 2026'!$I:$I,"مطالبة مرفوعة للمالية") + COUNTIFS('المطالبات 2025'!$E:$E,B173,'المطالبات 2025'!$I:$I,"مطالبة مرفوعة للمالية"))</f>
        <v/>
      </c>
      <c r="M173">
        <f t="shared" si="7"/>
        <v>0</v>
      </c>
      <c r="N173" t="str">
        <f>IF(B173="","",SUMIFS(DB_All!$N$2:$N$1000,DB_All!$G$2:$G$1000,B173,DB_All!$L$2:$L$1000,"تحت إجراءات التوريد"))</f>
        <v/>
      </c>
      <c r="O173" t="str">
        <f>IF(B173="","",COUNTIFS(DB_All!$G$2:$G$1000,B173,DB_All!$L$2:$L$1000,"تحت إجراءات التوريد"))</f>
        <v/>
      </c>
      <c r="P173" t="str">
        <f>IF(B173="","",SUMIFS(DB_All!$N$2:$N$1000,DB_All!$G$2:$G$1000,B173,DB_All!$L$2:$L$1000,"بانتظار سندات الاستلام \ شهادة الإنجاز"))</f>
        <v/>
      </c>
      <c r="Q173" t="str">
        <f>IF(B173="","",COUNTIFS(DB_All!$G$2:$G$1000,B173,DB_All!$L$2:$L$1000,"بانتظار سندات الاستلام \ شهادة الإنجاز"))</f>
        <v/>
      </c>
      <c r="R173" t="str">
        <f t="shared" si="8"/>
        <v/>
      </c>
    </row>
    <row r="174" spans="6:18" x14ac:dyDescent="0.3">
      <c r="F174" t="str">
        <f>IF(B174="","",SUMIFS(DB_All!$M$2:$M$1000,DB_All!$G$2:$G$1000,B174,DB_All!$L$2:$L$1000,"تحت إجراءات التعاقد"))</f>
        <v/>
      </c>
      <c r="G174" t="str">
        <f>IF(B174="","",COUNTIFS(DB_All!$G$2:$G$1000,B174,DB_All!$L$2:$L$1000,"تحت إجراءات التعاقد"))</f>
        <v/>
      </c>
      <c r="H174" t="str">
        <f>IF(B174="","",SUMIFS(DB_All!$N$2:$N$1000,DB_All!$G$2:$G$1000,B174,DB_All!$L$2:$L$1000,"تم التوقيع"))</f>
        <v/>
      </c>
      <c r="I174" t="str">
        <f>IF(B174="","",COUNTIFS(DB_All!$G$2:$G$1000,B174,DB_All!$L$2:$L$1000,"تم التوقيع"))</f>
        <v/>
      </c>
      <c r="J174">
        <f t="shared" si="6"/>
        <v>0</v>
      </c>
      <c r="K174" t="str">
        <f>IF(B174="","",SUMIFS('المطالبات 2026'!$J:$J,'المطالبات 2026'!$E:$E,B174,'المطالبات 2026'!$I:$I,"مطالبة مرفوعة للمالية") + SUMIFS('المطالبات 2025'!$J:$J,'المطالبات 2025'!$E:$E,B174,'المطالبات 2025'!$I:$I,"مطالبة مرفوعة للمالية"))</f>
        <v/>
      </c>
      <c r="L174" t="str">
        <f>IF(B174="","",COUNTIFS('المطالبات 2026'!$E:$E,B174,'المطالبات 2026'!$I:$I,"مطالبة مرفوعة للمالية") + COUNTIFS('المطالبات 2025'!$E:$E,B174,'المطالبات 2025'!$I:$I,"مطالبة مرفوعة للمالية"))</f>
        <v/>
      </c>
      <c r="M174">
        <f t="shared" si="7"/>
        <v>0</v>
      </c>
      <c r="N174" t="str">
        <f>IF(B174="","",SUMIFS(DB_All!$N$2:$N$1000,DB_All!$G$2:$G$1000,B174,DB_All!$L$2:$L$1000,"تحت إجراءات التوريد"))</f>
        <v/>
      </c>
      <c r="O174" t="str">
        <f>IF(B174="","",COUNTIFS(DB_All!$G$2:$G$1000,B174,DB_All!$L$2:$L$1000,"تحت إجراءات التوريد"))</f>
        <v/>
      </c>
      <c r="P174" t="str">
        <f>IF(B174="","",SUMIFS(DB_All!$N$2:$N$1000,DB_All!$G$2:$G$1000,B174,DB_All!$L$2:$L$1000,"بانتظار سندات الاستلام \ شهادة الإنجاز"))</f>
        <v/>
      </c>
      <c r="Q174" t="str">
        <f>IF(B174="","",COUNTIFS(DB_All!$G$2:$G$1000,B174,DB_All!$L$2:$L$1000,"بانتظار سندات الاستلام \ شهادة الإنجاز"))</f>
        <v/>
      </c>
      <c r="R174" t="str">
        <f t="shared" si="8"/>
        <v/>
      </c>
    </row>
    <row r="175" spans="6:18" x14ac:dyDescent="0.3">
      <c r="F175" t="str">
        <f>IF(B175="","",SUMIFS(DB_All!$M$2:$M$1000,DB_All!$G$2:$G$1000,B175,DB_All!$L$2:$L$1000,"تحت إجراءات التعاقد"))</f>
        <v/>
      </c>
      <c r="G175" t="str">
        <f>IF(B175="","",COUNTIFS(DB_All!$G$2:$G$1000,B175,DB_All!$L$2:$L$1000,"تحت إجراءات التعاقد"))</f>
        <v/>
      </c>
      <c r="H175" t="str">
        <f>IF(B175="","",SUMIFS(DB_All!$N$2:$N$1000,DB_All!$G$2:$G$1000,B175,DB_All!$L$2:$L$1000,"تم التوقيع"))</f>
        <v/>
      </c>
      <c r="I175" t="str">
        <f>IF(B175="","",COUNTIFS(DB_All!$G$2:$G$1000,B175,DB_All!$L$2:$L$1000,"تم التوقيع"))</f>
        <v/>
      </c>
      <c r="J175">
        <f t="shared" si="6"/>
        <v>0</v>
      </c>
      <c r="K175" t="str">
        <f>IF(B175="","",SUMIFS('المطالبات 2026'!$J:$J,'المطالبات 2026'!$E:$E,B175,'المطالبات 2026'!$I:$I,"مطالبة مرفوعة للمالية") + SUMIFS('المطالبات 2025'!$J:$J,'المطالبات 2025'!$E:$E,B175,'المطالبات 2025'!$I:$I,"مطالبة مرفوعة للمالية"))</f>
        <v/>
      </c>
      <c r="L175" t="str">
        <f>IF(B175="","",COUNTIFS('المطالبات 2026'!$E:$E,B175,'المطالبات 2026'!$I:$I,"مطالبة مرفوعة للمالية") + COUNTIFS('المطالبات 2025'!$E:$E,B175,'المطالبات 2025'!$I:$I,"مطالبة مرفوعة للمالية"))</f>
        <v/>
      </c>
      <c r="M175">
        <f t="shared" si="7"/>
        <v>0</v>
      </c>
      <c r="N175" t="str">
        <f>IF(B175="","",SUMIFS(DB_All!$N$2:$N$1000,DB_All!$G$2:$G$1000,B175,DB_All!$L$2:$L$1000,"تحت إجراءات التوريد"))</f>
        <v/>
      </c>
      <c r="O175" t="str">
        <f>IF(B175="","",COUNTIFS(DB_All!$G$2:$G$1000,B175,DB_All!$L$2:$L$1000,"تحت إجراءات التوريد"))</f>
        <v/>
      </c>
      <c r="P175" t="str">
        <f>IF(B175="","",SUMIFS(DB_All!$N$2:$N$1000,DB_All!$G$2:$G$1000,B175,DB_All!$L$2:$L$1000,"بانتظار سندات الاستلام \ شهادة الإنجاز"))</f>
        <v/>
      </c>
      <c r="Q175" t="str">
        <f>IF(B175="","",COUNTIFS(DB_All!$G$2:$G$1000,B175,DB_All!$L$2:$L$1000,"بانتظار سندات الاستلام \ شهادة الإنجاز"))</f>
        <v/>
      </c>
      <c r="R175" t="str">
        <f t="shared" si="8"/>
        <v/>
      </c>
    </row>
    <row r="176" spans="6:18" x14ac:dyDescent="0.3">
      <c r="F176" t="str">
        <f>IF(B176="","",SUMIFS(DB_All!$M$2:$M$1000,DB_All!$G$2:$G$1000,B176,DB_All!$L$2:$L$1000,"تحت إجراءات التعاقد"))</f>
        <v/>
      </c>
      <c r="G176" t="str">
        <f>IF(B176="","",COUNTIFS(DB_All!$G$2:$G$1000,B176,DB_All!$L$2:$L$1000,"تحت إجراءات التعاقد"))</f>
        <v/>
      </c>
      <c r="H176" t="str">
        <f>IF(B176="","",SUMIFS(DB_All!$N$2:$N$1000,DB_All!$G$2:$G$1000,B176,DB_All!$L$2:$L$1000,"تم التوقيع"))</f>
        <v/>
      </c>
      <c r="I176" t="str">
        <f>IF(B176="","",COUNTIFS(DB_All!$G$2:$G$1000,B176,DB_All!$L$2:$L$1000,"تم التوقيع"))</f>
        <v/>
      </c>
      <c r="J176">
        <f t="shared" si="6"/>
        <v>0</v>
      </c>
      <c r="K176" t="str">
        <f>IF(B176="","",SUMIFS('المطالبات 2026'!$J:$J,'المطالبات 2026'!$E:$E,B176,'المطالبات 2026'!$I:$I,"مطالبة مرفوعة للمالية") + SUMIFS('المطالبات 2025'!$J:$J,'المطالبات 2025'!$E:$E,B176,'المطالبات 2025'!$I:$I,"مطالبة مرفوعة للمالية"))</f>
        <v/>
      </c>
      <c r="L176" t="str">
        <f>IF(B176="","",COUNTIFS('المطالبات 2026'!$E:$E,B176,'المطالبات 2026'!$I:$I,"مطالبة مرفوعة للمالية") + COUNTIFS('المطالبات 2025'!$E:$E,B176,'المطالبات 2025'!$I:$I,"مطالبة مرفوعة للمالية"))</f>
        <v/>
      </c>
      <c r="M176">
        <f t="shared" si="7"/>
        <v>0</v>
      </c>
      <c r="N176" t="str">
        <f>IF(B176="","",SUMIFS(DB_All!$N$2:$N$1000,DB_All!$G$2:$G$1000,B176,DB_All!$L$2:$L$1000,"تحت إجراءات التوريد"))</f>
        <v/>
      </c>
      <c r="O176" t="str">
        <f>IF(B176="","",COUNTIFS(DB_All!$G$2:$G$1000,B176,DB_All!$L$2:$L$1000,"تحت إجراءات التوريد"))</f>
        <v/>
      </c>
      <c r="P176" t="str">
        <f>IF(B176="","",SUMIFS(DB_All!$N$2:$N$1000,DB_All!$G$2:$G$1000,B176,DB_All!$L$2:$L$1000,"بانتظار سندات الاستلام \ شهادة الإنجاز"))</f>
        <v/>
      </c>
      <c r="Q176" t="str">
        <f>IF(B176="","",COUNTIFS(DB_All!$G$2:$G$1000,B176,DB_All!$L$2:$L$1000,"بانتظار سندات الاستلام \ شهادة الإنجاز"))</f>
        <v/>
      </c>
      <c r="R176" t="str">
        <f t="shared" si="8"/>
        <v/>
      </c>
    </row>
    <row r="177" spans="6:18" x14ac:dyDescent="0.3">
      <c r="F177" t="str">
        <f>IF(B177="","",SUMIFS(DB_All!$M$2:$M$1000,DB_All!$G$2:$G$1000,B177,DB_All!$L$2:$L$1000,"تحت إجراءات التعاقد"))</f>
        <v/>
      </c>
      <c r="G177" t="str">
        <f>IF(B177="","",COUNTIFS(DB_All!$G$2:$G$1000,B177,DB_All!$L$2:$L$1000,"تحت إجراءات التعاقد"))</f>
        <v/>
      </c>
      <c r="H177" t="str">
        <f>IF(B177="","",SUMIFS(DB_All!$N$2:$N$1000,DB_All!$G$2:$G$1000,B177,DB_All!$L$2:$L$1000,"تم التوقيع"))</f>
        <v/>
      </c>
      <c r="I177" t="str">
        <f>IF(B177="","",COUNTIFS(DB_All!$G$2:$G$1000,B177,DB_All!$L$2:$L$1000,"تم التوقيع"))</f>
        <v/>
      </c>
      <c r="J177">
        <f t="shared" si="6"/>
        <v>0</v>
      </c>
      <c r="K177" t="str">
        <f>IF(B177="","",SUMIFS('المطالبات 2026'!$J:$J,'المطالبات 2026'!$E:$E,B177,'المطالبات 2026'!$I:$I,"مطالبة مرفوعة للمالية") + SUMIFS('المطالبات 2025'!$J:$J,'المطالبات 2025'!$E:$E,B177,'المطالبات 2025'!$I:$I,"مطالبة مرفوعة للمالية"))</f>
        <v/>
      </c>
      <c r="L177" t="str">
        <f>IF(B177="","",COUNTIFS('المطالبات 2026'!$E:$E,B177,'المطالبات 2026'!$I:$I,"مطالبة مرفوعة للمالية") + COUNTIFS('المطالبات 2025'!$E:$E,B177,'المطالبات 2025'!$I:$I,"مطالبة مرفوعة للمالية"))</f>
        <v/>
      </c>
      <c r="M177">
        <f t="shared" si="7"/>
        <v>0</v>
      </c>
      <c r="N177" t="str">
        <f>IF(B177="","",SUMIFS(DB_All!$N$2:$N$1000,DB_All!$G$2:$G$1000,B177,DB_All!$L$2:$L$1000,"تحت إجراءات التوريد"))</f>
        <v/>
      </c>
      <c r="O177" t="str">
        <f>IF(B177="","",COUNTIFS(DB_All!$G$2:$G$1000,B177,DB_All!$L$2:$L$1000,"تحت إجراءات التوريد"))</f>
        <v/>
      </c>
      <c r="P177" t="str">
        <f>IF(B177="","",SUMIFS(DB_All!$N$2:$N$1000,DB_All!$G$2:$G$1000,B177,DB_All!$L$2:$L$1000,"بانتظار سندات الاستلام \ شهادة الإنجاز"))</f>
        <v/>
      </c>
      <c r="Q177" t="str">
        <f>IF(B177="","",COUNTIFS(DB_All!$G$2:$G$1000,B177,DB_All!$L$2:$L$1000,"بانتظار سندات الاستلام \ شهادة الإنجاز"))</f>
        <v/>
      </c>
      <c r="R177" t="str">
        <f t="shared" si="8"/>
        <v/>
      </c>
    </row>
    <row r="178" spans="6:18" x14ac:dyDescent="0.3">
      <c r="F178" t="str">
        <f>IF(B178="","",SUMIFS(DB_All!$M$2:$M$1000,DB_All!$G$2:$G$1000,B178,DB_All!$L$2:$L$1000,"تحت إجراءات التعاقد"))</f>
        <v/>
      </c>
      <c r="G178" t="str">
        <f>IF(B178="","",COUNTIFS(DB_All!$G$2:$G$1000,B178,DB_All!$L$2:$L$1000,"تحت إجراءات التعاقد"))</f>
        <v/>
      </c>
      <c r="H178" t="str">
        <f>IF(B178="","",SUMIFS(DB_All!$N$2:$N$1000,DB_All!$G$2:$G$1000,B178,DB_All!$L$2:$L$1000,"تم التوقيع"))</f>
        <v/>
      </c>
      <c r="I178" t="str">
        <f>IF(B178="","",COUNTIFS(DB_All!$G$2:$G$1000,B178,DB_All!$L$2:$L$1000,"تم التوقيع"))</f>
        <v/>
      </c>
      <c r="J178">
        <f t="shared" si="6"/>
        <v>0</v>
      </c>
      <c r="K178" t="str">
        <f>IF(B178="","",SUMIFS('المطالبات 2026'!$J:$J,'المطالبات 2026'!$E:$E,B178,'المطالبات 2026'!$I:$I,"مطالبة مرفوعة للمالية") + SUMIFS('المطالبات 2025'!$J:$J,'المطالبات 2025'!$E:$E,B178,'المطالبات 2025'!$I:$I,"مطالبة مرفوعة للمالية"))</f>
        <v/>
      </c>
      <c r="L178" t="str">
        <f>IF(B178="","",COUNTIFS('المطالبات 2026'!$E:$E,B178,'المطالبات 2026'!$I:$I,"مطالبة مرفوعة للمالية") + COUNTIFS('المطالبات 2025'!$E:$E,B178,'المطالبات 2025'!$I:$I,"مطالبة مرفوعة للمالية"))</f>
        <v/>
      </c>
      <c r="M178">
        <f t="shared" si="7"/>
        <v>0</v>
      </c>
      <c r="N178" t="str">
        <f>IF(B178="","",SUMIFS(DB_All!$N$2:$N$1000,DB_All!$G$2:$G$1000,B178,DB_All!$L$2:$L$1000,"تحت إجراءات التوريد"))</f>
        <v/>
      </c>
      <c r="O178" t="str">
        <f>IF(B178="","",COUNTIFS(DB_All!$G$2:$G$1000,B178,DB_All!$L$2:$L$1000,"تحت إجراءات التوريد"))</f>
        <v/>
      </c>
      <c r="P178" t="str">
        <f>IF(B178="","",SUMIFS(DB_All!$N$2:$N$1000,DB_All!$G$2:$G$1000,B178,DB_All!$L$2:$L$1000,"بانتظار سندات الاستلام \ شهادة الإنجاز"))</f>
        <v/>
      </c>
      <c r="Q178" t="str">
        <f>IF(B178="","",COUNTIFS(DB_All!$G$2:$G$1000,B178,DB_All!$L$2:$L$1000,"بانتظار سندات الاستلام \ شهادة الإنجاز"))</f>
        <v/>
      </c>
      <c r="R178" t="str">
        <f t="shared" si="8"/>
        <v/>
      </c>
    </row>
    <row r="179" spans="6:18" x14ac:dyDescent="0.3">
      <c r="F179" t="str">
        <f>IF(B179="","",SUMIFS(DB_All!$M$2:$M$1000,DB_All!$G$2:$G$1000,B179,DB_All!$L$2:$L$1000,"تحت إجراءات التعاقد"))</f>
        <v/>
      </c>
      <c r="G179" t="str">
        <f>IF(B179="","",COUNTIFS(DB_All!$G$2:$G$1000,B179,DB_All!$L$2:$L$1000,"تحت إجراءات التعاقد"))</f>
        <v/>
      </c>
      <c r="H179" t="str">
        <f>IF(B179="","",SUMIFS(DB_All!$N$2:$N$1000,DB_All!$G$2:$G$1000,B179,DB_All!$L$2:$L$1000,"تم التوقيع"))</f>
        <v/>
      </c>
      <c r="I179" t="str">
        <f>IF(B179="","",COUNTIFS(DB_All!$G$2:$G$1000,B179,DB_All!$L$2:$L$1000,"تم التوقيع"))</f>
        <v/>
      </c>
      <c r="J179">
        <f t="shared" si="6"/>
        <v>0</v>
      </c>
      <c r="K179" t="str">
        <f>IF(B179="","",SUMIFS('المطالبات 2026'!$J:$J,'المطالبات 2026'!$E:$E,B179,'المطالبات 2026'!$I:$I,"مطالبة مرفوعة للمالية") + SUMIFS('المطالبات 2025'!$J:$J,'المطالبات 2025'!$E:$E,B179,'المطالبات 2025'!$I:$I,"مطالبة مرفوعة للمالية"))</f>
        <v/>
      </c>
      <c r="L179" t="str">
        <f>IF(B179="","",COUNTIFS('المطالبات 2026'!$E:$E,B179,'المطالبات 2026'!$I:$I,"مطالبة مرفوعة للمالية") + COUNTIFS('المطالبات 2025'!$E:$E,B179,'المطالبات 2025'!$I:$I,"مطالبة مرفوعة للمالية"))</f>
        <v/>
      </c>
      <c r="M179">
        <f t="shared" si="7"/>
        <v>0</v>
      </c>
      <c r="N179" t="str">
        <f>IF(B179="","",SUMIFS(DB_All!$N$2:$N$1000,DB_All!$G$2:$G$1000,B179,DB_All!$L$2:$L$1000,"تحت إجراءات التوريد"))</f>
        <v/>
      </c>
      <c r="O179" t="str">
        <f>IF(B179="","",COUNTIFS(DB_All!$G$2:$G$1000,B179,DB_All!$L$2:$L$1000,"تحت إجراءات التوريد"))</f>
        <v/>
      </c>
      <c r="P179" t="str">
        <f>IF(B179="","",SUMIFS(DB_All!$N$2:$N$1000,DB_All!$G$2:$G$1000,B179,DB_All!$L$2:$L$1000,"بانتظار سندات الاستلام \ شهادة الإنجاز"))</f>
        <v/>
      </c>
      <c r="Q179" t="str">
        <f>IF(B179="","",COUNTIFS(DB_All!$G$2:$G$1000,B179,DB_All!$L$2:$L$1000,"بانتظار سندات الاستلام \ شهادة الإنجاز"))</f>
        <v/>
      </c>
      <c r="R179" t="str">
        <f t="shared" si="8"/>
        <v/>
      </c>
    </row>
    <row r="180" spans="6:18" x14ac:dyDescent="0.3">
      <c r="F180" t="str">
        <f>IF(B180="","",SUMIFS(DB_All!$M$2:$M$1000,DB_All!$G$2:$G$1000,B180,DB_All!$L$2:$L$1000,"تحت إجراءات التعاقد"))</f>
        <v/>
      </c>
      <c r="G180" t="str">
        <f>IF(B180="","",COUNTIFS(DB_All!$G$2:$G$1000,B180,DB_All!$L$2:$L$1000,"تحت إجراءات التعاقد"))</f>
        <v/>
      </c>
      <c r="H180" t="str">
        <f>IF(B180="","",SUMIFS(DB_All!$N$2:$N$1000,DB_All!$G$2:$G$1000,B180,DB_All!$L$2:$L$1000,"تم التوقيع"))</f>
        <v/>
      </c>
      <c r="I180" t="str">
        <f>IF(B180="","",COUNTIFS(DB_All!$G$2:$G$1000,B180,DB_All!$L$2:$L$1000,"تم التوقيع"))</f>
        <v/>
      </c>
      <c r="J180">
        <f t="shared" si="6"/>
        <v>0</v>
      </c>
      <c r="K180" t="str">
        <f>IF(B180="","",SUMIFS('المطالبات 2026'!$J:$J,'المطالبات 2026'!$E:$E,B180,'المطالبات 2026'!$I:$I,"مطالبة مرفوعة للمالية") + SUMIFS('المطالبات 2025'!$J:$J,'المطالبات 2025'!$E:$E,B180,'المطالبات 2025'!$I:$I,"مطالبة مرفوعة للمالية"))</f>
        <v/>
      </c>
      <c r="L180" t="str">
        <f>IF(B180="","",COUNTIFS('المطالبات 2026'!$E:$E,B180,'المطالبات 2026'!$I:$I,"مطالبة مرفوعة للمالية") + COUNTIFS('المطالبات 2025'!$E:$E,B180,'المطالبات 2025'!$I:$I,"مطالبة مرفوعة للمالية"))</f>
        <v/>
      </c>
      <c r="M180">
        <f t="shared" si="7"/>
        <v>0</v>
      </c>
      <c r="N180" t="str">
        <f>IF(B180="","",SUMIFS(DB_All!$N$2:$N$1000,DB_All!$G$2:$G$1000,B180,DB_All!$L$2:$L$1000,"تحت إجراءات التوريد"))</f>
        <v/>
      </c>
      <c r="O180" t="str">
        <f>IF(B180="","",COUNTIFS(DB_All!$G$2:$G$1000,B180,DB_All!$L$2:$L$1000,"تحت إجراءات التوريد"))</f>
        <v/>
      </c>
      <c r="P180" t="str">
        <f>IF(B180="","",SUMIFS(DB_All!$N$2:$N$1000,DB_All!$G$2:$G$1000,B180,DB_All!$L$2:$L$1000,"بانتظار سندات الاستلام \ شهادة الإنجاز"))</f>
        <v/>
      </c>
      <c r="Q180" t="str">
        <f>IF(B180="","",COUNTIFS(DB_All!$G$2:$G$1000,B180,DB_All!$L$2:$L$1000,"بانتظار سندات الاستلام \ شهادة الإنجاز"))</f>
        <v/>
      </c>
      <c r="R180" t="str">
        <f t="shared" si="8"/>
        <v/>
      </c>
    </row>
    <row r="181" spans="6:18" x14ac:dyDescent="0.3">
      <c r="F181" t="str">
        <f>IF(B181="","",SUMIFS(DB_All!$M$2:$M$1000,DB_All!$G$2:$G$1000,B181,DB_All!$L$2:$L$1000,"تحت إجراءات التعاقد"))</f>
        <v/>
      </c>
      <c r="G181" t="str">
        <f>IF(B181="","",COUNTIFS(DB_All!$G$2:$G$1000,B181,DB_All!$L$2:$L$1000,"تحت إجراءات التعاقد"))</f>
        <v/>
      </c>
      <c r="H181" t="str">
        <f>IF(B181="","",SUMIFS(DB_All!$N$2:$N$1000,DB_All!$G$2:$G$1000,B181,DB_All!$L$2:$L$1000,"تم التوقيع"))</f>
        <v/>
      </c>
      <c r="I181" t="str">
        <f>IF(B181="","",COUNTIFS(DB_All!$G$2:$G$1000,B181,DB_All!$L$2:$L$1000,"تم التوقيع"))</f>
        <v/>
      </c>
      <c r="J181">
        <f t="shared" si="6"/>
        <v>0</v>
      </c>
      <c r="K181" t="str">
        <f>IF(B181="","",SUMIFS('المطالبات 2026'!$J:$J,'المطالبات 2026'!$E:$E,B181,'المطالبات 2026'!$I:$I,"مطالبة مرفوعة للمالية") + SUMIFS('المطالبات 2025'!$J:$J,'المطالبات 2025'!$E:$E,B181,'المطالبات 2025'!$I:$I,"مطالبة مرفوعة للمالية"))</f>
        <v/>
      </c>
      <c r="L181" t="str">
        <f>IF(B181="","",COUNTIFS('المطالبات 2026'!$E:$E,B181,'المطالبات 2026'!$I:$I,"مطالبة مرفوعة للمالية") + COUNTIFS('المطالبات 2025'!$E:$E,B181,'المطالبات 2025'!$I:$I,"مطالبة مرفوعة للمالية"))</f>
        <v/>
      </c>
      <c r="M181">
        <f t="shared" si="7"/>
        <v>0</v>
      </c>
      <c r="N181" t="str">
        <f>IF(B181="","",SUMIFS(DB_All!$N$2:$N$1000,DB_All!$G$2:$G$1000,B181,DB_All!$L$2:$L$1000,"تحت إجراءات التوريد"))</f>
        <v/>
      </c>
      <c r="O181" t="str">
        <f>IF(B181="","",COUNTIFS(DB_All!$G$2:$G$1000,B181,DB_All!$L$2:$L$1000,"تحت إجراءات التوريد"))</f>
        <v/>
      </c>
      <c r="P181" t="str">
        <f>IF(B181="","",SUMIFS(DB_All!$N$2:$N$1000,DB_All!$G$2:$G$1000,B181,DB_All!$L$2:$L$1000,"بانتظار سندات الاستلام \ شهادة الإنجاز"))</f>
        <v/>
      </c>
      <c r="Q181" t="str">
        <f>IF(B181="","",COUNTIFS(DB_All!$G$2:$G$1000,B181,DB_All!$L$2:$L$1000,"بانتظار سندات الاستلام \ شهادة الإنجاز"))</f>
        <v/>
      </c>
      <c r="R181" t="str">
        <f t="shared" si="8"/>
        <v/>
      </c>
    </row>
    <row r="182" spans="6:18" x14ac:dyDescent="0.3">
      <c r="F182" t="str">
        <f>IF(B182="","",SUMIFS(DB_All!$M$2:$M$1000,DB_All!$G$2:$G$1000,B182,DB_All!$L$2:$L$1000,"تحت إجراءات التعاقد"))</f>
        <v/>
      </c>
      <c r="G182" t="str">
        <f>IF(B182="","",COUNTIFS(DB_All!$G$2:$G$1000,B182,DB_All!$L$2:$L$1000,"تحت إجراءات التعاقد"))</f>
        <v/>
      </c>
      <c r="H182" t="str">
        <f>IF(B182="","",SUMIFS(DB_All!$N$2:$N$1000,DB_All!$G$2:$G$1000,B182,DB_All!$L$2:$L$1000,"تم التوقيع"))</f>
        <v/>
      </c>
      <c r="I182" t="str">
        <f>IF(B182="","",COUNTIFS(DB_All!$G$2:$G$1000,B182,DB_All!$L$2:$L$1000,"تم التوقيع"))</f>
        <v/>
      </c>
      <c r="J182">
        <f t="shared" si="6"/>
        <v>0</v>
      </c>
      <c r="K182" t="str">
        <f>IF(B182="","",SUMIFS('المطالبات 2026'!$J:$J,'المطالبات 2026'!$E:$E,B182,'المطالبات 2026'!$I:$I,"مطالبة مرفوعة للمالية") + SUMIFS('المطالبات 2025'!$J:$J,'المطالبات 2025'!$E:$E,B182,'المطالبات 2025'!$I:$I,"مطالبة مرفوعة للمالية"))</f>
        <v/>
      </c>
      <c r="L182" t="str">
        <f>IF(B182="","",COUNTIFS('المطالبات 2026'!$E:$E,B182,'المطالبات 2026'!$I:$I,"مطالبة مرفوعة للمالية") + COUNTIFS('المطالبات 2025'!$E:$E,B182,'المطالبات 2025'!$I:$I,"مطالبة مرفوعة للمالية"))</f>
        <v/>
      </c>
      <c r="M182">
        <f t="shared" si="7"/>
        <v>0</v>
      </c>
      <c r="N182" t="str">
        <f>IF(B182="","",SUMIFS(DB_All!$N$2:$N$1000,DB_All!$G$2:$G$1000,B182,DB_All!$L$2:$L$1000,"تحت إجراءات التوريد"))</f>
        <v/>
      </c>
      <c r="O182" t="str">
        <f>IF(B182="","",COUNTIFS(DB_All!$G$2:$G$1000,B182,DB_All!$L$2:$L$1000,"تحت إجراءات التوريد"))</f>
        <v/>
      </c>
      <c r="P182" t="str">
        <f>IF(B182="","",SUMIFS(DB_All!$N$2:$N$1000,DB_All!$G$2:$G$1000,B182,DB_All!$L$2:$L$1000,"بانتظار سندات الاستلام \ شهادة الإنجاز"))</f>
        <v/>
      </c>
      <c r="Q182" t="str">
        <f>IF(B182="","",COUNTIFS(DB_All!$G$2:$G$1000,B182,DB_All!$L$2:$L$1000,"بانتظار سندات الاستلام \ شهادة الإنجاز"))</f>
        <v/>
      </c>
      <c r="R182" t="str">
        <f t="shared" si="8"/>
        <v/>
      </c>
    </row>
    <row r="183" spans="6:18" x14ac:dyDescent="0.3">
      <c r="F183" t="str">
        <f>IF(B183="","",SUMIFS(DB_All!$M$2:$M$1000,DB_All!$G$2:$G$1000,B183,DB_All!$L$2:$L$1000,"تحت إجراءات التعاقد"))</f>
        <v/>
      </c>
      <c r="G183" t="str">
        <f>IF(B183="","",COUNTIFS(DB_All!$G$2:$G$1000,B183,DB_All!$L$2:$L$1000,"تحت إجراءات التعاقد"))</f>
        <v/>
      </c>
      <c r="H183" t="str">
        <f>IF(B183="","",SUMIFS(DB_All!$N$2:$N$1000,DB_All!$G$2:$G$1000,B183,DB_All!$L$2:$L$1000,"تم التوقيع"))</f>
        <v/>
      </c>
      <c r="I183" t="str">
        <f>IF(B183="","",COUNTIFS(DB_All!$G$2:$G$1000,B183,DB_All!$L$2:$L$1000,"تم التوقيع"))</f>
        <v/>
      </c>
      <c r="J183">
        <f t="shared" si="6"/>
        <v>0</v>
      </c>
      <c r="K183" t="str">
        <f>IF(B183="","",SUMIFS('المطالبات 2026'!$J:$J,'المطالبات 2026'!$E:$E,B183,'المطالبات 2026'!$I:$I,"مطالبة مرفوعة للمالية") + SUMIFS('المطالبات 2025'!$J:$J,'المطالبات 2025'!$E:$E,B183,'المطالبات 2025'!$I:$I,"مطالبة مرفوعة للمالية"))</f>
        <v/>
      </c>
      <c r="L183" t="str">
        <f>IF(B183="","",COUNTIFS('المطالبات 2026'!$E:$E,B183,'المطالبات 2026'!$I:$I,"مطالبة مرفوعة للمالية") + COUNTIFS('المطالبات 2025'!$E:$E,B183,'المطالبات 2025'!$I:$I,"مطالبة مرفوعة للمالية"))</f>
        <v/>
      </c>
      <c r="M183">
        <f t="shared" si="7"/>
        <v>0</v>
      </c>
      <c r="N183" t="str">
        <f>IF(B183="","",SUMIFS(DB_All!$N$2:$N$1000,DB_All!$G$2:$G$1000,B183,DB_All!$L$2:$L$1000,"تحت إجراءات التوريد"))</f>
        <v/>
      </c>
      <c r="O183" t="str">
        <f>IF(B183="","",COUNTIFS(DB_All!$G$2:$G$1000,B183,DB_All!$L$2:$L$1000,"تحت إجراءات التوريد"))</f>
        <v/>
      </c>
      <c r="P183" t="str">
        <f>IF(B183="","",SUMIFS(DB_All!$N$2:$N$1000,DB_All!$G$2:$G$1000,B183,DB_All!$L$2:$L$1000,"بانتظار سندات الاستلام \ شهادة الإنجاز"))</f>
        <v/>
      </c>
      <c r="Q183" t="str">
        <f>IF(B183="","",COUNTIFS(DB_All!$G$2:$G$1000,B183,DB_All!$L$2:$L$1000,"بانتظار سندات الاستلام \ شهادة الإنجاز"))</f>
        <v/>
      </c>
      <c r="R183" t="str">
        <f t="shared" si="8"/>
        <v/>
      </c>
    </row>
    <row r="184" spans="6:18" x14ac:dyDescent="0.3">
      <c r="F184" t="str">
        <f>IF(B184="","",SUMIFS(DB_All!$M$2:$M$1000,DB_All!$G$2:$G$1000,B184,DB_All!$L$2:$L$1000,"تحت إجراءات التعاقد"))</f>
        <v/>
      </c>
      <c r="G184" t="str">
        <f>IF(B184="","",COUNTIFS(DB_All!$G$2:$G$1000,B184,DB_All!$L$2:$L$1000,"تحت إجراءات التعاقد"))</f>
        <v/>
      </c>
      <c r="H184" t="str">
        <f>IF(B184="","",SUMIFS(DB_All!$N$2:$N$1000,DB_All!$G$2:$G$1000,B184,DB_All!$L$2:$L$1000,"تم التوقيع"))</f>
        <v/>
      </c>
      <c r="I184" t="str">
        <f>IF(B184="","",COUNTIFS(DB_All!$G$2:$G$1000,B184,DB_All!$L$2:$L$1000,"تم التوقيع"))</f>
        <v/>
      </c>
      <c r="J184">
        <f t="shared" si="6"/>
        <v>0</v>
      </c>
      <c r="K184" t="str">
        <f>IF(B184="","",SUMIFS('المطالبات 2026'!$J:$J,'المطالبات 2026'!$E:$E,B184,'المطالبات 2026'!$I:$I,"مطالبة مرفوعة للمالية") + SUMIFS('المطالبات 2025'!$J:$J,'المطالبات 2025'!$E:$E,B184,'المطالبات 2025'!$I:$I,"مطالبة مرفوعة للمالية"))</f>
        <v/>
      </c>
      <c r="L184" t="str">
        <f>IF(B184="","",COUNTIFS('المطالبات 2026'!$E:$E,B184,'المطالبات 2026'!$I:$I,"مطالبة مرفوعة للمالية") + COUNTIFS('المطالبات 2025'!$E:$E,B184,'المطالبات 2025'!$I:$I,"مطالبة مرفوعة للمالية"))</f>
        <v/>
      </c>
      <c r="M184">
        <f t="shared" si="7"/>
        <v>0</v>
      </c>
      <c r="N184" t="str">
        <f>IF(B184="","",SUMIFS(DB_All!$N$2:$N$1000,DB_All!$G$2:$G$1000,B184,DB_All!$L$2:$L$1000,"تحت إجراءات التوريد"))</f>
        <v/>
      </c>
      <c r="O184" t="str">
        <f>IF(B184="","",COUNTIFS(DB_All!$G$2:$G$1000,B184,DB_All!$L$2:$L$1000,"تحت إجراءات التوريد"))</f>
        <v/>
      </c>
      <c r="P184" t="str">
        <f>IF(B184="","",SUMIFS(DB_All!$N$2:$N$1000,DB_All!$G$2:$G$1000,B184,DB_All!$L$2:$L$1000,"بانتظار سندات الاستلام \ شهادة الإنجاز"))</f>
        <v/>
      </c>
      <c r="Q184" t="str">
        <f>IF(B184="","",COUNTIFS(DB_All!$G$2:$G$1000,B184,DB_All!$L$2:$L$1000,"بانتظار سندات الاستلام \ شهادة الإنجاز"))</f>
        <v/>
      </c>
      <c r="R184" t="str">
        <f t="shared" si="8"/>
        <v/>
      </c>
    </row>
    <row r="185" spans="6:18" x14ac:dyDescent="0.3">
      <c r="F185" t="str">
        <f>IF(B185="","",SUMIFS(DB_All!$M$2:$M$1000,DB_All!$G$2:$G$1000,B185,DB_All!$L$2:$L$1000,"تحت إجراءات التعاقد"))</f>
        <v/>
      </c>
      <c r="G185" t="str">
        <f>IF(B185="","",COUNTIFS(DB_All!$G$2:$G$1000,B185,DB_All!$L$2:$L$1000,"تحت إجراءات التعاقد"))</f>
        <v/>
      </c>
      <c r="H185" t="str">
        <f>IF(B185="","",SUMIFS(DB_All!$N$2:$N$1000,DB_All!$G$2:$G$1000,B185,DB_All!$L$2:$L$1000,"تم التوقيع"))</f>
        <v/>
      </c>
      <c r="I185" t="str">
        <f>IF(B185="","",COUNTIFS(DB_All!$G$2:$G$1000,B185,DB_All!$L$2:$L$1000,"تم التوقيع"))</f>
        <v/>
      </c>
      <c r="J185">
        <f t="shared" si="6"/>
        <v>0</v>
      </c>
      <c r="K185" t="str">
        <f>IF(B185="","",SUMIFS('المطالبات 2026'!$J:$J,'المطالبات 2026'!$E:$E,B185,'المطالبات 2026'!$I:$I,"مطالبة مرفوعة للمالية") + SUMIFS('المطالبات 2025'!$J:$J,'المطالبات 2025'!$E:$E,B185,'المطالبات 2025'!$I:$I,"مطالبة مرفوعة للمالية"))</f>
        <v/>
      </c>
      <c r="L185" t="str">
        <f>IF(B185="","",COUNTIFS('المطالبات 2026'!$E:$E,B185,'المطالبات 2026'!$I:$I,"مطالبة مرفوعة للمالية") + COUNTIFS('المطالبات 2025'!$E:$E,B185,'المطالبات 2025'!$I:$I,"مطالبة مرفوعة للمالية"))</f>
        <v/>
      </c>
      <c r="M185">
        <f t="shared" si="7"/>
        <v>0</v>
      </c>
      <c r="N185" t="str">
        <f>IF(B185="","",SUMIFS(DB_All!$N$2:$N$1000,DB_All!$G$2:$G$1000,B185,DB_All!$L$2:$L$1000,"تحت إجراءات التوريد"))</f>
        <v/>
      </c>
      <c r="O185" t="str">
        <f>IF(B185="","",COUNTIFS(DB_All!$G$2:$G$1000,B185,DB_All!$L$2:$L$1000,"تحت إجراءات التوريد"))</f>
        <v/>
      </c>
      <c r="P185" t="str">
        <f>IF(B185="","",SUMIFS(DB_All!$N$2:$N$1000,DB_All!$G$2:$G$1000,B185,DB_All!$L$2:$L$1000,"بانتظار سندات الاستلام \ شهادة الإنجاز"))</f>
        <v/>
      </c>
      <c r="Q185" t="str">
        <f>IF(B185="","",COUNTIFS(DB_All!$G$2:$G$1000,B185,DB_All!$L$2:$L$1000,"بانتظار سندات الاستلام \ شهادة الإنجاز"))</f>
        <v/>
      </c>
      <c r="R185" t="str">
        <f t="shared" si="8"/>
        <v/>
      </c>
    </row>
    <row r="186" spans="6:18" x14ac:dyDescent="0.3">
      <c r="F186" t="str">
        <f>IF(B186="","",SUMIFS(DB_All!$M$2:$M$1000,DB_All!$G$2:$G$1000,B186,DB_All!$L$2:$L$1000,"تحت إجراءات التعاقد"))</f>
        <v/>
      </c>
      <c r="G186" t="str">
        <f>IF(B186="","",COUNTIFS(DB_All!$G$2:$G$1000,B186,DB_All!$L$2:$L$1000,"تحت إجراءات التعاقد"))</f>
        <v/>
      </c>
      <c r="H186" t="str">
        <f>IF(B186="","",SUMIFS(DB_All!$N$2:$N$1000,DB_All!$G$2:$G$1000,B186,DB_All!$L$2:$L$1000,"تم التوقيع"))</f>
        <v/>
      </c>
      <c r="I186" t="str">
        <f>IF(B186="","",COUNTIFS(DB_All!$G$2:$G$1000,B186,DB_All!$L$2:$L$1000,"تم التوقيع"))</f>
        <v/>
      </c>
      <c r="J186">
        <f t="shared" si="6"/>
        <v>0</v>
      </c>
      <c r="K186" t="str">
        <f>IF(B186="","",SUMIFS('المطالبات 2026'!$J:$J,'المطالبات 2026'!$E:$E,B186,'المطالبات 2026'!$I:$I,"مطالبة مرفوعة للمالية") + SUMIFS('المطالبات 2025'!$J:$J,'المطالبات 2025'!$E:$E,B186,'المطالبات 2025'!$I:$I,"مطالبة مرفوعة للمالية"))</f>
        <v/>
      </c>
      <c r="L186" t="str">
        <f>IF(B186="","",COUNTIFS('المطالبات 2026'!$E:$E,B186,'المطالبات 2026'!$I:$I,"مطالبة مرفوعة للمالية") + COUNTIFS('المطالبات 2025'!$E:$E,B186,'المطالبات 2025'!$I:$I,"مطالبة مرفوعة للمالية"))</f>
        <v/>
      </c>
      <c r="M186">
        <f t="shared" si="7"/>
        <v>0</v>
      </c>
      <c r="N186" t="str">
        <f>IF(B186="","",SUMIFS(DB_All!$N$2:$N$1000,DB_All!$G$2:$G$1000,B186,DB_All!$L$2:$L$1000,"تحت إجراءات التوريد"))</f>
        <v/>
      </c>
      <c r="O186" t="str">
        <f>IF(B186="","",COUNTIFS(DB_All!$G$2:$G$1000,B186,DB_All!$L$2:$L$1000,"تحت إجراءات التوريد"))</f>
        <v/>
      </c>
      <c r="P186" t="str">
        <f>IF(B186="","",SUMIFS(DB_All!$N$2:$N$1000,DB_All!$G$2:$G$1000,B186,DB_All!$L$2:$L$1000,"بانتظار سندات الاستلام \ شهادة الإنجاز"))</f>
        <v/>
      </c>
      <c r="Q186" t="str">
        <f>IF(B186="","",COUNTIFS(DB_All!$G$2:$G$1000,B186,DB_All!$L$2:$L$1000,"بانتظار سندات الاستلام \ شهادة الإنجاز"))</f>
        <v/>
      </c>
      <c r="R186" t="str">
        <f t="shared" si="8"/>
        <v/>
      </c>
    </row>
    <row r="187" spans="6:18" x14ac:dyDescent="0.3">
      <c r="F187" t="str">
        <f>IF(B187="","",SUMIFS(DB_All!$M$2:$M$1000,DB_All!$G$2:$G$1000,B187,DB_All!$L$2:$L$1000,"تحت إجراءات التعاقد"))</f>
        <v/>
      </c>
      <c r="G187" t="str">
        <f>IF(B187="","",COUNTIFS(DB_All!$G$2:$G$1000,B187,DB_All!$L$2:$L$1000,"تحت إجراءات التعاقد"))</f>
        <v/>
      </c>
      <c r="H187" t="str">
        <f>IF(B187="","",SUMIFS(DB_All!$N$2:$N$1000,DB_All!$G$2:$G$1000,B187,DB_All!$L$2:$L$1000,"تم التوقيع"))</f>
        <v/>
      </c>
      <c r="I187" t="str">
        <f>IF(B187="","",COUNTIFS(DB_All!$G$2:$G$1000,B187,DB_All!$L$2:$L$1000,"تم التوقيع"))</f>
        <v/>
      </c>
      <c r="J187">
        <f t="shared" si="6"/>
        <v>0</v>
      </c>
      <c r="K187" t="str">
        <f>IF(B187="","",SUMIFS('المطالبات 2026'!$J:$J,'المطالبات 2026'!$E:$E,B187,'المطالبات 2026'!$I:$I,"مطالبة مرفوعة للمالية") + SUMIFS('المطالبات 2025'!$J:$J,'المطالبات 2025'!$E:$E,B187,'المطالبات 2025'!$I:$I,"مطالبة مرفوعة للمالية"))</f>
        <v/>
      </c>
      <c r="L187" t="str">
        <f>IF(B187="","",COUNTIFS('المطالبات 2026'!$E:$E,B187,'المطالبات 2026'!$I:$I,"مطالبة مرفوعة للمالية") + COUNTIFS('المطالبات 2025'!$E:$E,B187,'المطالبات 2025'!$I:$I,"مطالبة مرفوعة للمالية"))</f>
        <v/>
      </c>
      <c r="M187">
        <f t="shared" si="7"/>
        <v>0</v>
      </c>
      <c r="N187" t="str">
        <f>IF(B187="","",SUMIFS(DB_All!$N$2:$N$1000,DB_All!$G$2:$G$1000,B187,DB_All!$L$2:$L$1000,"تحت إجراءات التوريد"))</f>
        <v/>
      </c>
      <c r="O187" t="str">
        <f>IF(B187="","",COUNTIFS(DB_All!$G$2:$G$1000,B187,DB_All!$L$2:$L$1000,"تحت إجراءات التوريد"))</f>
        <v/>
      </c>
      <c r="P187" t="str">
        <f>IF(B187="","",SUMIFS(DB_All!$N$2:$N$1000,DB_All!$G$2:$G$1000,B187,DB_All!$L$2:$L$1000,"بانتظار سندات الاستلام \ شهادة الإنجاز"))</f>
        <v/>
      </c>
      <c r="Q187" t="str">
        <f>IF(B187="","",COUNTIFS(DB_All!$G$2:$G$1000,B187,DB_All!$L$2:$L$1000,"بانتظار سندات الاستلام \ شهادة الإنجاز"))</f>
        <v/>
      </c>
      <c r="R187" t="str">
        <f t="shared" si="8"/>
        <v/>
      </c>
    </row>
    <row r="188" spans="6:18" x14ac:dyDescent="0.3">
      <c r="F188" t="str">
        <f>IF(B188="","",SUMIFS(DB_All!$M$2:$M$1000,DB_All!$G$2:$G$1000,B188,DB_All!$L$2:$L$1000,"تحت إجراءات التعاقد"))</f>
        <v/>
      </c>
      <c r="G188" t="str">
        <f>IF(B188="","",COUNTIFS(DB_All!$G$2:$G$1000,B188,DB_All!$L$2:$L$1000,"تحت إجراءات التعاقد"))</f>
        <v/>
      </c>
      <c r="H188" t="str">
        <f>IF(B188="","",SUMIFS(DB_All!$N$2:$N$1000,DB_All!$G$2:$G$1000,B188,DB_All!$L$2:$L$1000,"تم التوقيع"))</f>
        <v/>
      </c>
      <c r="I188" t="str">
        <f>IF(B188="","",COUNTIFS(DB_All!$G$2:$G$1000,B188,DB_All!$L$2:$L$1000,"تم التوقيع"))</f>
        <v/>
      </c>
      <c r="J188">
        <f t="shared" si="6"/>
        <v>0</v>
      </c>
      <c r="K188" t="str">
        <f>IF(B188="","",SUMIFS('المطالبات 2026'!$J:$J,'المطالبات 2026'!$E:$E,B188,'المطالبات 2026'!$I:$I,"مطالبة مرفوعة للمالية") + SUMIFS('المطالبات 2025'!$J:$J,'المطالبات 2025'!$E:$E,B188,'المطالبات 2025'!$I:$I,"مطالبة مرفوعة للمالية"))</f>
        <v/>
      </c>
      <c r="L188" t="str">
        <f>IF(B188="","",COUNTIFS('المطالبات 2026'!$E:$E,B188,'المطالبات 2026'!$I:$I,"مطالبة مرفوعة للمالية") + COUNTIFS('المطالبات 2025'!$E:$E,B188,'المطالبات 2025'!$I:$I,"مطالبة مرفوعة للمالية"))</f>
        <v/>
      </c>
      <c r="M188">
        <f t="shared" si="7"/>
        <v>0</v>
      </c>
      <c r="N188" t="str">
        <f>IF(B188="","",SUMIFS(DB_All!$N$2:$N$1000,DB_All!$G$2:$G$1000,B188,DB_All!$L$2:$L$1000,"تحت إجراءات التوريد"))</f>
        <v/>
      </c>
      <c r="O188" t="str">
        <f>IF(B188="","",COUNTIFS(DB_All!$G$2:$G$1000,B188,DB_All!$L$2:$L$1000,"تحت إجراءات التوريد"))</f>
        <v/>
      </c>
      <c r="P188" t="str">
        <f>IF(B188="","",SUMIFS(DB_All!$N$2:$N$1000,DB_All!$G$2:$G$1000,B188,DB_All!$L$2:$L$1000,"بانتظار سندات الاستلام \ شهادة الإنجاز"))</f>
        <v/>
      </c>
      <c r="Q188" t="str">
        <f>IF(B188="","",COUNTIFS(DB_All!$G$2:$G$1000,B188,DB_All!$L$2:$L$1000,"بانتظار سندات الاستلام \ شهادة الإنجاز"))</f>
        <v/>
      </c>
      <c r="R188" t="str">
        <f t="shared" si="8"/>
        <v/>
      </c>
    </row>
    <row r="189" spans="6:18" x14ac:dyDescent="0.3">
      <c r="F189" t="str">
        <f>IF(B189="","",SUMIFS(DB_All!$M$2:$M$1000,DB_All!$G$2:$G$1000,B189,DB_All!$L$2:$L$1000,"تحت إجراءات التعاقد"))</f>
        <v/>
      </c>
      <c r="G189" t="str">
        <f>IF(B189="","",COUNTIFS(DB_All!$G$2:$G$1000,B189,DB_All!$L$2:$L$1000,"تحت إجراءات التعاقد"))</f>
        <v/>
      </c>
      <c r="H189" t="str">
        <f>IF(B189="","",SUMIFS(DB_All!$N$2:$N$1000,DB_All!$G$2:$G$1000,B189,DB_All!$L$2:$L$1000,"تم التوقيع"))</f>
        <v/>
      </c>
      <c r="I189" t="str">
        <f>IF(B189="","",COUNTIFS(DB_All!$G$2:$G$1000,B189,DB_All!$L$2:$L$1000,"تم التوقيع"))</f>
        <v/>
      </c>
      <c r="J189">
        <f t="shared" si="6"/>
        <v>0</v>
      </c>
      <c r="K189" t="str">
        <f>IF(B189="","",SUMIFS('المطالبات 2026'!$J:$J,'المطالبات 2026'!$E:$E,B189,'المطالبات 2026'!$I:$I,"مطالبة مرفوعة للمالية") + SUMIFS('المطالبات 2025'!$J:$J,'المطالبات 2025'!$E:$E,B189,'المطالبات 2025'!$I:$I,"مطالبة مرفوعة للمالية"))</f>
        <v/>
      </c>
      <c r="L189" t="str">
        <f>IF(B189="","",COUNTIFS('المطالبات 2026'!$E:$E,B189,'المطالبات 2026'!$I:$I,"مطالبة مرفوعة للمالية") + COUNTIFS('المطالبات 2025'!$E:$E,B189,'المطالبات 2025'!$I:$I,"مطالبة مرفوعة للمالية"))</f>
        <v/>
      </c>
      <c r="M189">
        <f t="shared" si="7"/>
        <v>0</v>
      </c>
      <c r="N189" t="str">
        <f>IF(B189="","",SUMIFS(DB_All!$N$2:$N$1000,DB_All!$G$2:$G$1000,B189,DB_All!$L$2:$L$1000,"تحت إجراءات التوريد"))</f>
        <v/>
      </c>
      <c r="O189" t="str">
        <f>IF(B189="","",COUNTIFS(DB_All!$G$2:$G$1000,B189,DB_All!$L$2:$L$1000,"تحت إجراءات التوريد"))</f>
        <v/>
      </c>
      <c r="P189" t="str">
        <f>IF(B189="","",SUMIFS(DB_All!$N$2:$N$1000,DB_All!$G$2:$G$1000,B189,DB_All!$L$2:$L$1000,"بانتظار سندات الاستلام \ شهادة الإنجاز"))</f>
        <v/>
      </c>
      <c r="Q189" t="str">
        <f>IF(B189="","",COUNTIFS(DB_All!$G$2:$G$1000,B189,DB_All!$L$2:$L$1000,"بانتظار سندات الاستلام \ شهادة الإنجاز"))</f>
        <v/>
      </c>
      <c r="R189" t="str">
        <f t="shared" si="8"/>
        <v/>
      </c>
    </row>
    <row r="190" spans="6:18" x14ac:dyDescent="0.3">
      <c r="F190" t="str">
        <f>IF(B190="","",SUMIFS(DB_All!$M$2:$M$1000,DB_All!$G$2:$G$1000,B190,DB_All!$L$2:$L$1000,"تحت إجراءات التعاقد"))</f>
        <v/>
      </c>
      <c r="G190" t="str">
        <f>IF(B190="","",COUNTIFS(DB_All!$G$2:$G$1000,B190,DB_All!$L$2:$L$1000,"تحت إجراءات التعاقد"))</f>
        <v/>
      </c>
      <c r="H190" t="str">
        <f>IF(B190="","",SUMIFS(DB_All!$N$2:$N$1000,DB_All!$G$2:$G$1000,B190,DB_All!$L$2:$L$1000,"تم التوقيع"))</f>
        <v/>
      </c>
      <c r="I190" t="str">
        <f>IF(B190="","",COUNTIFS(DB_All!$G$2:$G$1000,B190,DB_All!$L$2:$L$1000,"تم التوقيع"))</f>
        <v/>
      </c>
      <c r="J190">
        <f t="shared" si="6"/>
        <v>0</v>
      </c>
      <c r="K190" t="str">
        <f>IF(B190="","",SUMIFS('المطالبات 2026'!$J:$J,'المطالبات 2026'!$E:$E,B190,'المطالبات 2026'!$I:$I,"مطالبة مرفوعة للمالية") + SUMIFS('المطالبات 2025'!$J:$J,'المطالبات 2025'!$E:$E,B190,'المطالبات 2025'!$I:$I,"مطالبة مرفوعة للمالية"))</f>
        <v/>
      </c>
      <c r="L190" t="str">
        <f>IF(B190="","",COUNTIFS('المطالبات 2026'!$E:$E,B190,'المطالبات 2026'!$I:$I,"مطالبة مرفوعة للمالية") + COUNTIFS('المطالبات 2025'!$E:$E,B190,'المطالبات 2025'!$I:$I,"مطالبة مرفوعة للمالية"))</f>
        <v/>
      </c>
      <c r="M190">
        <f t="shared" si="7"/>
        <v>0</v>
      </c>
      <c r="N190" t="str">
        <f>IF(B190="","",SUMIFS(DB_All!$N$2:$N$1000,DB_All!$G$2:$G$1000,B190,DB_All!$L$2:$L$1000,"تحت إجراءات التوريد"))</f>
        <v/>
      </c>
      <c r="O190" t="str">
        <f>IF(B190="","",COUNTIFS(DB_All!$G$2:$G$1000,B190,DB_All!$L$2:$L$1000,"تحت إجراءات التوريد"))</f>
        <v/>
      </c>
      <c r="P190" t="str">
        <f>IF(B190="","",SUMIFS(DB_All!$N$2:$N$1000,DB_All!$G$2:$G$1000,B190,DB_All!$L$2:$L$1000,"بانتظار سندات الاستلام \ شهادة الإنجاز"))</f>
        <v/>
      </c>
      <c r="Q190" t="str">
        <f>IF(B190="","",COUNTIFS(DB_All!$G$2:$G$1000,B190,DB_All!$L$2:$L$1000,"بانتظار سندات الاستلام \ شهادة الإنجاز"))</f>
        <v/>
      </c>
      <c r="R190" t="str">
        <f t="shared" si="8"/>
        <v/>
      </c>
    </row>
    <row r="191" spans="6:18" x14ac:dyDescent="0.3">
      <c r="F191" t="str">
        <f>IF(B191="","",SUMIFS(DB_All!$M$2:$M$1000,DB_All!$G$2:$G$1000,B191,DB_All!$L$2:$L$1000,"تحت إجراءات التعاقد"))</f>
        <v/>
      </c>
      <c r="G191" t="str">
        <f>IF(B191="","",COUNTIFS(DB_All!$G$2:$G$1000,B191,DB_All!$L$2:$L$1000,"تحت إجراءات التعاقد"))</f>
        <v/>
      </c>
      <c r="H191" t="str">
        <f>IF(B191="","",SUMIFS(DB_All!$N$2:$N$1000,DB_All!$G$2:$G$1000,B191,DB_All!$L$2:$L$1000,"تم التوقيع"))</f>
        <v/>
      </c>
      <c r="I191" t="str">
        <f>IF(B191="","",COUNTIFS(DB_All!$G$2:$G$1000,B191,DB_All!$L$2:$L$1000,"تم التوقيع"))</f>
        <v/>
      </c>
      <c r="J191">
        <f t="shared" si="6"/>
        <v>0</v>
      </c>
      <c r="K191" t="str">
        <f>IF(B191="","",SUMIFS('المطالبات 2026'!$J:$J,'المطالبات 2026'!$E:$E,B191,'المطالبات 2026'!$I:$I,"مطالبة مرفوعة للمالية") + SUMIFS('المطالبات 2025'!$J:$J,'المطالبات 2025'!$E:$E,B191,'المطالبات 2025'!$I:$I,"مطالبة مرفوعة للمالية"))</f>
        <v/>
      </c>
      <c r="L191" t="str">
        <f>IF(B191="","",COUNTIFS('المطالبات 2026'!$E:$E,B191,'المطالبات 2026'!$I:$I,"مطالبة مرفوعة للمالية") + COUNTIFS('المطالبات 2025'!$E:$E,B191,'المطالبات 2025'!$I:$I,"مطالبة مرفوعة للمالية"))</f>
        <v/>
      </c>
      <c r="M191">
        <f t="shared" si="7"/>
        <v>0</v>
      </c>
      <c r="N191" t="str">
        <f>IF(B191="","",SUMIFS(DB_All!$N$2:$N$1000,DB_All!$G$2:$G$1000,B191,DB_All!$L$2:$L$1000,"تحت إجراءات التوريد"))</f>
        <v/>
      </c>
      <c r="O191" t="str">
        <f>IF(B191="","",COUNTIFS(DB_All!$G$2:$G$1000,B191,DB_All!$L$2:$L$1000,"تحت إجراءات التوريد"))</f>
        <v/>
      </c>
      <c r="P191" t="str">
        <f>IF(B191="","",SUMIFS(DB_All!$N$2:$N$1000,DB_All!$G$2:$G$1000,B191,DB_All!$L$2:$L$1000,"بانتظار سندات الاستلام \ شهادة الإنجاز"))</f>
        <v/>
      </c>
      <c r="Q191" t="str">
        <f>IF(B191="","",COUNTIFS(DB_All!$G$2:$G$1000,B191,DB_All!$L$2:$L$1000,"بانتظار سندات الاستلام \ شهادة الإنجاز"))</f>
        <v/>
      </c>
      <c r="R191" t="str">
        <f t="shared" si="8"/>
        <v/>
      </c>
    </row>
    <row r="192" spans="6:18" x14ac:dyDescent="0.3">
      <c r="F192" t="str">
        <f>IF(B192="","",SUMIFS(DB_All!$M$2:$M$1000,DB_All!$G$2:$G$1000,B192,DB_All!$L$2:$L$1000,"تحت إجراءات التعاقد"))</f>
        <v/>
      </c>
      <c r="G192" t="str">
        <f>IF(B192="","",COUNTIFS(DB_All!$G$2:$G$1000,B192,DB_All!$L$2:$L$1000,"تحت إجراءات التعاقد"))</f>
        <v/>
      </c>
      <c r="H192" t="str">
        <f>IF(B192="","",SUMIFS(DB_All!$N$2:$N$1000,DB_All!$G$2:$G$1000,B192,DB_All!$L$2:$L$1000,"تم التوقيع"))</f>
        <v/>
      </c>
      <c r="I192" t="str">
        <f>IF(B192="","",COUNTIFS(DB_All!$G$2:$G$1000,B192,DB_All!$L$2:$L$1000,"تم التوقيع"))</f>
        <v/>
      </c>
      <c r="J192">
        <f t="shared" si="6"/>
        <v>0</v>
      </c>
      <c r="K192" t="str">
        <f>IF(B192="","",SUMIFS('المطالبات 2026'!$J:$J,'المطالبات 2026'!$E:$E,B192,'المطالبات 2026'!$I:$I,"مطالبة مرفوعة للمالية") + SUMIFS('المطالبات 2025'!$J:$J,'المطالبات 2025'!$E:$E,B192,'المطالبات 2025'!$I:$I,"مطالبة مرفوعة للمالية"))</f>
        <v/>
      </c>
      <c r="L192" t="str">
        <f>IF(B192="","",COUNTIFS('المطالبات 2026'!$E:$E,B192,'المطالبات 2026'!$I:$I,"مطالبة مرفوعة للمالية") + COUNTIFS('المطالبات 2025'!$E:$E,B192,'المطالبات 2025'!$I:$I,"مطالبة مرفوعة للمالية"))</f>
        <v/>
      </c>
      <c r="M192">
        <f t="shared" si="7"/>
        <v>0</v>
      </c>
      <c r="N192" t="str">
        <f>IF(B192="","",SUMIFS(DB_All!$N$2:$N$1000,DB_All!$G$2:$G$1000,B192,DB_All!$L$2:$L$1000,"تحت إجراءات التوريد"))</f>
        <v/>
      </c>
      <c r="O192" t="str">
        <f>IF(B192="","",COUNTIFS(DB_All!$G$2:$G$1000,B192,DB_All!$L$2:$L$1000,"تحت إجراءات التوريد"))</f>
        <v/>
      </c>
      <c r="P192" t="str">
        <f>IF(B192="","",SUMIFS(DB_All!$N$2:$N$1000,DB_All!$G$2:$G$1000,B192,DB_All!$L$2:$L$1000,"بانتظار سندات الاستلام \ شهادة الإنجاز"))</f>
        <v/>
      </c>
      <c r="Q192" t="str">
        <f>IF(B192="","",COUNTIFS(DB_All!$G$2:$G$1000,B192,DB_All!$L$2:$L$1000,"بانتظار سندات الاستلام \ شهادة الإنجاز"))</f>
        <v/>
      </c>
      <c r="R192" t="str">
        <f t="shared" si="8"/>
        <v/>
      </c>
    </row>
    <row r="193" spans="6:18" x14ac:dyDescent="0.3">
      <c r="F193" t="str">
        <f>IF(B193="","",SUMIFS(DB_All!$M$2:$M$1000,DB_All!$G$2:$G$1000,B193,DB_All!$L$2:$L$1000,"تحت إجراءات التعاقد"))</f>
        <v/>
      </c>
      <c r="G193" t="str">
        <f>IF(B193="","",COUNTIFS(DB_All!$G$2:$G$1000,B193,DB_All!$L$2:$L$1000,"تحت إجراءات التعاقد"))</f>
        <v/>
      </c>
      <c r="H193" t="str">
        <f>IF(B193="","",SUMIFS(DB_All!$N$2:$N$1000,DB_All!$G$2:$G$1000,B193,DB_All!$L$2:$L$1000,"تم التوقيع"))</f>
        <v/>
      </c>
      <c r="I193" t="str">
        <f>IF(B193="","",COUNTIFS(DB_All!$G$2:$G$1000,B193,DB_All!$L$2:$L$1000,"تم التوقيع"))</f>
        <v/>
      </c>
      <c r="J193">
        <f t="shared" si="6"/>
        <v>0</v>
      </c>
      <c r="K193" t="str">
        <f>IF(B193="","",SUMIFS('المطالبات 2026'!$J:$J,'المطالبات 2026'!$E:$E,B193,'المطالبات 2026'!$I:$I,"مطالبة مرفوعة للمالية") + SUMIFS('المطالبات 2025'!$J:$J,'المطالبات 2025'!$E:$E,B193,'المطالبات 2025'!$I:$I,"مطالبة مرفوعة للمالية"))</f>
        <v/>
      </c>
      <c r="L193" t="str">
        <f>IF(B193="","",COUNTIFS('المطالبات 2026'!$E:$E,B193,'المطالبات 2026'!$I:$I,"مطالبة مرفوعة للمالية") + COUNTIFS('المطالبات 2025'!$E:$E,B193,'المطالبات 2025'!$I:$I,"مطالبة مرفوعة للمالية"))</f>
        <v/>
      </c>
      <c r="M193">
        <f t="shared" si="7"/>
        <v>0</v>
      </c>
      <c r="N193" t="str">
        <f>IF(B193="","",SUMIFS(DB_All!$N$2:$N$1000,DB_All!$G$2:$G$1000,B193,DB_All!$L$2:$L$1000,"تحت إجراءات التوريد"))</f>
        <v/>
      </c>
      <c r="O193" t="str">
        <f>IF(B193="","",COUNTIFS(DB_All!$G$2:$G$1000,B193,DB_All!$L$2:$L$1000,"تحت إجراءات التوريد"))</f>
        <v/>
      </c>
      <c r="P193" t="str">
        <f>IF(B193="","",SUMIFS(DB_All!$N$2:$N$1000,DB_All!$G$2:$G$1000,B193,DB_All!$L$2:$L$1000,"بانتظار سندات الاستلام \ شهادة الإنجاز"))</f>
        <v/>
      </c>
      <c r="Q193" t="str">
        <f>IF(B193="","",COUNTIFS(DB_All!$G$2:$G$1000,B193,DB_All!$L$2:$L$1000,"بانتظار سندات الاستلام \ شهادة الإنجاز"))</f>
        <v/>
      </c>
      <c r="R193" t="str">
        <f t="shared" si="8"/>
        <v/>
      </c>
    </row>
    <row r="194" spans="6:18" x14ac:dyDescent="0.3">
      <c r="F194" t="str">
        <f>IF(B194="","",SUMIFS(DB_All!$M$2:$M$1000,DB_All!$G$2:$G$1000,B194,DB_All!$L$2:$L$1000,"تحت إجراءات التعاقد"))</f>
        <v/>
      </c>
      <c r="G194" t="str">
        <f>IF(B194="","",COUNTIFS(DB_All!$G$2:$G$1000,B194,DB_All!$L$2:$L$1000,"تحت إجراءات التعاقد"))</f>
        <v/>
      </c>
      <c r="H194" t="str">
        <f>IF(B194="","",SUMIFS(DB_All!$N$2:$N$1000,DB_All!$G$2:$G$1000,B194,DB_All!$L$2:$L$1000,"تم التوقيع"))</f>
        <v/>
      </c>
      <c r="I194" t="str">
        <f>IF(B194="","",COUNTIFS(DB_All!$G$2:$G$1000,B194,DB_All!$L$2:$L$1000,"تم التوقيع"))</f>
        <v/>
      </c>
      <c r="J194">
        <f t="shared" ref="J194:J257" si="9">IFERROR(H194/D194,0)</f>
        <v>0</v>
      </c>
      <c r="K194" t="str">
        <f>IF(B194="","",SUMIFS('المطالبات 2026'!$J:$J,'المطالبات 2026'!$E:$E,B194,'المطالبات 2026'!$I:$I,"مطالبة مرفوعة للمالية") + SUMIFS('المطالبات 2025'!$J:$J,'المطالبات 2025'!$E:$E,B194,'المطالبات 2025'!$I:$I,"مطالبة مرفوعة للمالية"))</f>
        <v/>
      </c>
      <c r="L194" t="str">
        <f>IF(B194="","",COUNTIFS('المطالبات 2026'!$E:$E,B194,'المطالبات 2026'!$I:$I,"مطالبة مرفوعة للمالية") + COUNTIFS('المطالبات 2025'!$E:$E,B194,'المطالبات 2025'!$I:$I,"مطالبة مرفوعة للمالية"))</f>
        <v/>
      </c>
      <c r="M194">
        <f t="shared" ref="M194:M257" si="10">IFERROR(K194/D194,0)</f>
        <v>0</v>
      </c>
      <c r="N194" t="str">
        <f>IF(B194="","",SUMIFS(DB_All!$N$2:$N$1000,DB_All!$G$2:$G$1000,B194,DB_All!$L$2:$L$1000,"تحت إجراءات التوريد"))</f>
        <v/>
      </c>
      <c r="O194" t="str">
        <f>IF(B194="","",COUNTIFS(DB_All!$G$2:$G$1000,B194,DB_All!$L$2:$L$1000,"تحت إجراءات التوريد"))</f>
        <v/>
      </c>
      <c r="P194" t="str">
        <f>IF(B194="","",SUMIFS(DB_All!$N$2:$N$1000,DB_All!$G$2:$G$1000,B194,DB_All!$L$2:$L$1000,"بانتظار سندات الاستلام \ شهادة الإنجاز"))</f>
        <v/>
      </c>
      <c r="Q194" t="str">
        <f>IF(B194="","",COUNTIFS(DB_All!$G$2:$G$1000,B194,DB_All!$L$2:$L$1000,"بانتظار سندات الاستلام \ شهادة الإنجاز"))</f>
        <v/>
      </c>
      <c r="R194" t="str">
        <f t="shared" ref="R194:R257" si="11">IF(B194="","",F194+H194)</f>
        <v/>
      </c>
    </row>
    <row r="195" spans="6:18" x14ac:dyDescent="0.3">
      <c r="F195" t="str">
        <f>IF(B195="","",SUMIFS(DB_All!$M$2:$M$1000,DB_All!$G$2:$G$1000,B195,DB_All!$L$2:$L$1000,"تحت إجراءات التعاقد"))</f>
        <v/>
      </c>
      <c r="G195" t="str">
        <f>IF(B195="","",COUNTIFS(DB_All!$G$2:$G$1000,B195,DB_All!$L$2:$L$1000,"تحت إجراءات التعاقد"))</f>
        <v/>
      </c>
      <c r="H195" t="str">
        <f>IF(B195="","",SUMIFS(DB_All!$N$2:$N$1000,DB_All!$G$2:$G$1000,B195,DB_All!$L$2:$L$1000,"تم التوقيع"))</f>
        <v/>
      </c>
      <c r="I195" t="str">
        <f>IF(B195="","",COUNTIFS(DB_All!$G$2:$G$1000,B195,DB_All!$L$2:$L$1000,"تم التوقيع"))</f>
        <v/>
      </c>
      <c r="J195">
        <f t="shared" si="9"/>
        <v>0</v>
      </c>
      <c r="K195" t="str">
        <f>IF(B195="","",SUMIFS('المطالبات 2026'!$J:$J,'المطالبات 2026'!$E:$E,B195,'المطالبات 2026'!$I:$I,"مطالبة مرفوعة للمالية") + SUMIFS('المطالبات 2025'!$J:$J,'المطالبات 2025'!$E:$E,B195,'المطالبات 2025'!$I:$I,"مطالبة مرفوعة للمالية"))</f>
        <v/>
      </c>
      <c r="L195" t="str">
        <f>IF(B195="","",COUNTIFS('المطالبات 2026'!$E:$E,B195,'المطالبات 2026'!$I:$I,"مطالبة مرفوعة للمالية") + COUNTIFS('المطالبات 2025'!$E:$E,B195,'المطالبات 2025'!$I:$I,"مطالبة مرفوعة للمالية"))</f>
        <v/>
      </c>
      <c r="M195">
        <f t="shared" si="10"/>
        <v>0</v>
      </c>
      <c r="N195" t="str">
        <f>IF(B195="","",SUMIFS(DB_All!$N$2:$N$1000,DB_All!$G$2:$G$1000,B195,DB_All!$L$2:$L$1000,"تحت إجراءات التوريد"))</f>
        <v/>
      </c>
      <c r="O195" t="str">
        <f>IF(B195="","",COUNTIFS(DB_All!$G$2:$G$1000,B195,DB_All!$L$2:$L$1000,"تحت إجراءات التوريد"))</f>
        <v/>
      </c>
      <c r="P195" t="str">
        <f>IF(B195="","",SUMIFS(DB_All!$N$2:$N$1000,DB_All!$G$2:$G$1000,B195,DB_All!$L$2:$L$1000,"بانتظار سندات الاستلام \ شهادة الإنجاز"))</f>
        <v/>
      </c>
      <c r="Q195" t="str">
        <f>IF(B195="","",COUNTIFS(DB_All!$G$2:$G$1000,B195,DB_All!$L$2:$L$1000,"بانتظار سندات الاستلام \ شهادة الإنجاز"))</f>
        <v/>
      </c>
      <c r="R195" t="str">
        <f t="shared" si="11"/>
        <v/>
      </c>
    </row>
    <row r="196" spans="6:18" x14ac:dyDescent="0.3">
      <c r="F196" t="str">
        <f>IF(B196="","",SUMIFS(DB_All!$M$2:$M$1000,DB_All!$G$2:$G$1000,B196,DB_All!$L$2:$L$1000,"تحت إجراءات التعاقد"))</f>
        <v/>
      </c>
      <c r="G196" t="str">
        <f>IF(B196="","",COUNTIFS(DB_All!$G$2:$G$1000,B196,DB_All!$L$2:$L$1000,"تحت إجراءات التعاقد"))</f>
        <v/>
      </c>
      <c r="H196" t="str">
        <f>IF(B196="","",SUMIFS(DB_All!$N$2:$N$1000,DB_All!$G$2:$G$1000,B196,DB_All!$L$2:$L$1000,"تم التوقيع"))</f>
        <v/>
      </c>
      <c r="I196" t="str">
        <f>IF(B196="","",COUNTIFS(DB_All!$G$2:$G$1000,B196,DB_All!$L$2:$L$1000,"تم التوقيع"))</f>
        <v/>
      </c>
      <c r="J196">
        <f t="shared" si="9"/>
        <v>0</v>
      </c>
      <c r="K196" t="str">
        <f>IF(B196="","",SUMIFS('المطالبات 2026'!$J:$J,'المطالبات 2026'!$E:$E,B196,'المطالبات 2026'!$I:$I,"مطالبة مرفوعة للمالية") + SUMIFS('المطالبات 2025'!$J:$J,'المطالبات 2025'!$E:$E,B196,'المطالبات 2025'!$I:$I,"مطالبة مرفوعة للمالية"))</f>
        <v/>
      </c>
      <c r="L196" t="str">
        <f>IF(B196="","",COUNTIFS('المطالبات 2026'!$E:$E,B196,'المطالبات 2026'!$I:$I,"مطالبة مرفوعة للمالية") + COUNTIFS('المطالبات 2025'!$E:$E,B196,'المطالبات 2025'!$I:$I,"مطالبة مرفوعة للمالية"))</f>
        <v/>
      </c>
      <c r="M196">
        <f t="shared" si="10"/>
        <v>0</v>
      </c>
      <c r="N196" t="str">
        <f>IF(B196="","",SUMIFS(DB_All!$N$2:$N$1000,DB_All!$G$2:$G$1000,B196,DB_All!$L$2:$L$1000,"تحت إجراءات التوريد"))</f>
        <v/>
      </c>
      <c r="O196" t="str">
        <f>IF(B196="","",COUNTIFS(DB_All!$G$2:$G$1000,B196,DB_All!$L$2:$L$1000,"تحت إجراءات التوريد"))</f>
        <v/>
      </c>
      <c r="P196" t="str">
        <f>IF(B196="","",SUMIFS(DB_All!$N$2:$N$1000,DB_All!$G$2:$G$1000,B196,DB_All!$L$2:$L$1000,"بانتظار سندات الاستلام \ شهادة الإنجاز"))</f>
        <v/>
      </c>
      <c r="Q196" t="str">
        <f>IF(B196="","",COUNTIFS(DB_All!$G$2:$G$1000,B196,DB_All!$L$2:$L$1000,"بانتظار سندات الاستلام \ شهادة الإنجاز"))</f>
        <v/>
      </c>
      <c r="R196" t="str">
        <f t="shared" si="11"/>
        <v/>
      </c>
    </row>
    <row r="197" spans="6:18" x14ac:dyDescent="0.3">
      <c r="F197" t="str">
        <f>IF(B197="","",SUMIFS(DB_All!$M$2:$M$1000,DB_All!$G$2:$G$1000,B197,DB_All!$L$2:$L$1000,"تحت إجراءات التعاقد"))</f>
        <v/>
      </c>
      <c r="G197" t="str">
        <f>IF(B197="","",COUNTIFS(DB_All!$G$2:$G$1000,B197,DB_All!$L$2:$L$1000,"تحت إجراءات التعاقد"))</f>
        <v/>
      </c>
      <c r="H197" t="str">
        <f>IF(B197="","",SUMIFS(DB_All!$N$2:$N$1000,DB_All!$G$2:$G$1000,B197,DB_All!$L$2:$L$1000,"تم التوقيع"))</f>
        <v/>
      </c>
      <c r="I197" t="str">
        <f>IF(B197="","",COUNTIFS(DB_All!$G$2:$G$1000,B197,DB_All!$L$2:$L$1000,"تم التوقيع"))</f>
        <v/>
      </c>
      <c r="J197">
        <f t="shared" si="9"/>
        <v>0</v>
      </c>
      <c r="K197" t="str">
        <f>IF(B197="","",SUMIFS('المطالبات 2026'!$J:$J,'المطالبات 2026'!$E:$E,B197,'المطالبات 2026'!$I:$I,"مطالبة مرفوعة للمالية") + SUMIFS('المطالبات 2025'!$J:$J,'المطالبات 2025'!$E:$E,B197,'المطالبات 2025'!$I:$I,"مطالبة مرفوعة للمالية"))</f>
        <v/>
      </c>
      <c r="L197" t="str">
        <f>IF(B197="","",COUNTIFS('المطالبات 2026'!$E:$E,B197,'المطالبات 2026'!$I:$I,"مطالبة مرفوعة للمالية") + COUNTIFS('المطالبات 2025'!$E:$E,B197,'المطالبات 2025'!$I:$I,"مطالبة مرفوعة للمالية"))</f>
        <v/>
      </c>
      <c r="M197">
        <f t="shared" si="10"/>
        <v>0</v>
      </c>
      <c r="N197" t="str">
        <f>IF(B197="","",SUMIFS(DB_All!$N$2:$N$1000,DB_All!$G$2:$G$1000,B197,DB_All!$L$2:$L$1000,"تحت إجراءات التوريد"))</f>
        <v/>
      </c>
      <c r="O197" t="str">
        <f>IF(B197="","",COUNTIFS(DB_All!$G$2:$G$1000,B197,DB_All!$L$2:$L$1000,"تحت إجراءات التوريد"))</f>
        <v/>
      </c>
      <c r="P197" t="str">
        <f>IF(B197="","",SUMIFS(DB_All!$N$2:$N$1000,DB_All!$G$2:$G$1000,B197,DB_All!$L$2:$L$1000,"بانتظار سندات الاستلام \ شهادة الإنجاز"))</f>
        <v/>
      </c>
      <c r="Q197" t="str">
        <f>IF(B197="","",COUNTIFS(DB_All!$G$2:$G$1000,B197,DB_All!$L$2:$L$1000,"بانتظار سندات الاستلام \ شهادة الإنجاز"))</f>
        <v/>
      </c>
      <c r="R197" t="str">
        <f t="shared" si="11"/>
        <v/>
      </c>
    </row>
    <row r="198" spans="6:18" x14ac:dyDescent="0.3">
      <c r="F198" t="str">
        <f>IF(B198="","",SUMIFS(DB_All!$M$2:$M$1000,DB_All!$G$2:$G$1000,B198,DB_All!$L$2:$L$1000,"تحت إجراءات التعاقد"))</f>
        <v/>
      </c>
      <c r="G198" t="str">
        <f>IF(B198="","",COUNTIFS(DB_All!$G$2:$G$1000,B198,DB_All!$L$2:$L$1000,"تحت إجراءات التعاقد"))</f>
        <v/>
      </c>
      <c r="H198" t="str">
        <f>IF(B198="","",SUMIFS(DB_All!$N$2:$N$1000,DB_All!$G$2:$G$1000,B198,DB_All!$L$2:$L$1000,"تم التوقيع"))</f>
        <v/>
      </c>
      <c r="I198" t="str">
        <f>IF(B198="","",COUNTIFS(DB_All!$G$2:$G$1000,B198,DB_All!$L$2:$L$1000,"تم التوقيع"))</f>
        <v/>
      </c>
      <c r="J198">
        <f t="shared" si="9"/>
        <v>0</v>
      </c>
      <c r="K198" t="str">
        <f>IF(B198="","",SUMIFS('المطالبات 2026'!$J:$J,'المطالبات 2026'!$E:$E,B198,'المطالبات 2026'!$I:$I,"مطالبة مرفوعة للمالية") + SUMIFS('المطالبات 2025'!$J:$J,'المطالبات 2025'!$E:$E,B198,'المطالبات 2025'!$I:$I,"مطالبة مرفوعة للمالية"))</f>
        <v/>
      </c>
      <c r="L198" t="str">
        <f>IF(B198="","",COUNTIFS('المطالبات 2026'!$E:$E,B198,'المطالبات 2026'!$I:$I,"مطالبة مرفوعة للمالية") + COUNTIFS('المطالبات 2025'!$E:$E,B198,'المطالبات 2025'!$I:$I,"مطالبة مرفوعة للمالية"))</f>
        <v/>
      </c>
      <c r="M198">
        <f t="shared" si="10"/>
        <v>0</v>
      </c>
      <c r="N198" t="str">
        <f>IF(B198="","",SUMIFS(DB_All!$N$2:$N$1000,DB_All!$G$2:$G$1000,B198,DB_All!$L$2:$L$1000,"تحت إجراءات التوريد"))</f>
        <v/>
      </c>
      <c r="O198" t="str">
        <f>IF(B198="","",COUNTIFS(DB_All!$G$2:$G$1000,B198,DB_All!$L$2:$L$1000,"تحت إجراءات التوريد"))</f>
        <v/>
      </c>
      <c r="P198" t="str">
        <f>IF(B198="","",SUMIFS(DB_All!$N$2:$N$1000,DB_All!$G$2:$G$1000,B198,DB_All!$L$2:$L$1000,"بانتظار سندات الاستلام \ شهادة الإنجاز"))</f>
        <v/>
      </c>
      <c r="Q198" t="str">
        <f>IF(B198="","",COUNTIFS(DB_All!$G$2:$G$1000,B198,DB_All!$L$2:$L$1000,"بانتظار سندات الاستلام \ شهادة الإنجاز"))</f>
        <v/>
      </c>
      <c r="R198" t="str">
        <f t="shared" si="11"/>
        <v/>
      </c>
    </row>
    <row r="199" spans="6:18" x14ac:dyDescent="0.3">
      <c r="F199" t="str">
        <f>IF(B199="","",SUMIFS(DB_All!$M$2:$M$1000,DB_All!$G$2:$G$1000,B199,DB_All!$L$2:$L$1000,"تحت إجراءات التعاقد"))</f>
        <v/>
      </c>
      <c r="G199" t="str">
        <f>IF(B199="","",COUNTIFS(DB_All!$G$2:$G$1000,B199,DB_All!$L$2:$L$1000,"تحت إجراءات التعاقد"))</f>
        <v/>
      </c>
      <c r="H199" t="str">
        <f>IF(B199="","",SUMIFS(DB_All!$N$2:$N$1000,DB_All!$G$2:$G$1000,B199,DB_All!$L$2:$L$1000,"تم التوقيع"))</f>
        <v/>
      </c>
      <c r="I199" t="str">
        <f>IF(B199="","",COUNTIFS(DB_All!$G$2:$G$1000,B199,DB_All!$L$2:$L$1000,"تم التوقيع"))</f>
        <v/>
      </c>
      <c r="J199">
        <f t="shared" si="9"/>
        <v>0</v>
      </c>
      <c r="K199" t="str">
        <f>IF(B199="","",SUMIFS('المطالبات 2026'!$J:$J,'المطالبات 2026'!$E:$E,B199,'المطالبات 2026'!$I:$I,"مطالبة مرفوعة للمالية") + SUMIFS('المطالبات 2025'!$J:$J,'المطالبات 2025'!$E:$E,B199,'المطالبات 2025'!$I:$I,"مطالبة مرفوعة للمالية"))</f>
        <v/>
      </c>
      <c r="L199" t="str">
        <f>IF(B199="","",COUNTIFS('المطالبات 2026'!$E:$E,B199,'المطالبات 2026'!$I:$I,"مطالبة مرفوعة للمالية") + COUNTIFS('المطالبات 2025'!$E:$E,B199,'المطالبات 2025'!$I:$I,"مطالبة مرفوعة للمالية"))</f>
        <v/>
      </c>
      <c r="M199">
        <f t="shared" si="10"/>
        <v>0</v>
      </c>
      <c r="N199" t="str">
        <f>IF(B199="","",SUMIFS(DB_All!$N$2:$N$1000,DB_All!$G$2:$G$1000,B199,DB_All!$L$2:$L$1000,"تحت إجراءات التوريد"))</f>
        <v/>
      </c>
      <c r="O199" t="str">
        <f>IF(B199="","",COUNTIFS(DB_All!$G$2:$G$1000,B199,DB_All!$L$2:$L$1000,"تحت إجراءات التوريد"))</f>
        <v/>
      </c>
      <c r="P199" t="str">
        <f>IF(B199="","",SUMIFS(DB_All!$N$2:$N$1000,DB_All!$G$2:$G$1000,B199,DB_All!$L$2:$L$1000,"بانتظار سندات الاستلام \ شهادة الإنجاز"))</f>
        <v/>
      </c>
      <c r="Q199" t="str">
        <f>IF(B199="","",COUNTIFS(DB_All!$G$2:$G$1000,B199,DB_All!$L$2:$L$1000,"بانتظار سندات الاستلام \ شهادة الإنجاز"))</f>
        <v/>
      </c>
      <c r="R199" t="str">
        <f t="shared" si="11"/>
        <v/>
      </c>
    </row>
    <row r="200" spans="6:18" x14ac:dyDescent="0.3">
      <c r="F200" t="str">
        <f>IF(B200="","",SUMIFS(DB_All!$M$2:$M$1000,DB_All!$G$2:$G$1000,B200,DB_All!$L$2:$L$1000,"تحت إجراءات التعاقد"))</f>
        <v/>
      </c>
      <c r="G200" t="str">
        <f>IF(B200="","",COUNTIFS(DB_All!$G$2:$G$1000,B200,DB_All!$L$2:$L$1000,"تحت إجراءات التعاقد"))</f>
        <v/>
      </c>
      <c r="H200" t="str">
        <f>IF(B200="","",SUMIFS(DB_All!$N$2:$N$1000,DB_All!$G$2:$G$1000,B200,DB_All!$L$2:$L$1000,"تم التوقيع"))</f>
        <v/>
      </c>
      <c r="I200" t="str">
        <f>IF(B200="","",COUNTIFS(DB_All!$G$2:$G$1000,B200,DB_All!$L$2:$L$1000,"تم التوقيع"))</f>
        <v/>
      </c>
      <c r="J200">
        <f t="shared" si="9"/>
        <v>0</v>
      </c>
      <c r="K200" t="str">
        <f>IF(B200="","",SUMIFS('المطالبات 2026'!$J:$J,'المطالبات 2026'!$E:$E,B200,'المطالبات 2026'!$I:$I,"مطالبة مرفوعة للمالية") + SUMIFS('المطالبات 2025'!$J:$J,'المطالبات 2025'!$E:$E,B200,'المطالبات 2025'!$I:$I,"مطالبة مرفوعة للمالية"))</f>
        <v/>
      </c>
      <c r="L200" t="str">
        <f>IF(B200="","",COUNTIFS('المطالبات 2026'!$E:$E,B200,'المطالبات 2026'!$I:$I,"مطالبة مرفوعة للمالية") + COUNTIFS('المطالبات 2025'!$E:$E,B200,'المطالبات 2025'!$I:$I,"مطالبة مرفوعة للمالية"))</f>
        <v/>
      </c>
      <c r="M200">
        <f t="shared" si="10"/>
        <v>0</v>
      </c>
      <c r="N200" t="str">
        <f>IF(B200="","",SUMIFS(DB_All!$N$2:$N$1000,DB_All!$G$2:$G$1000,B200,DB_All!$L$2:$L$1000,"تحت إجراءات التوريد"))</f>
        <v/>
      </c>
      <c r="O200" t="str">
        <f>IF(B200="","",COUNTIFS(DB_All!$G$2:$G$1000,B200,DB_All!$L$2:$L$1000,"تحت إجراءات التوريد"))</f>
        <v/>
      </c>
      <c r="P200" t="str">
        <f>IF(B200="","",SUMIFS(DB_All!$N$2:$N$1000,DB_All!$G$2:$G$1000,B200,DB_All!$L$2:$L$1000,"بانتظار سندات الاستلام \ شهادة الإنجاز"))</f>
        <v/>
      </c>
      <c r="Q200" t="str">
        <f>IF(B200="","",COUNTIFS(DB_All!$G$2:$G$1000,B200,DB_All!$L$2:$L$1000,"بانتظار سندات الاستلام \ شهادة الإنجاز"))</f>
        <v/>
      </c>
      <c r="R200" t="str">
        <f t="shared" si="11"/>
        <v/>
      </c>
    </row>
    <row r="201" spans="6:18" x14ac:dyDescent="0.3">
      <c r="F201" t="str">
        <f>IF(B201="","",SUMIFS(DB_All!$M$2:$M$1000,DB_All!$G$2:$G$1000,B201,DB_All!$L$2:$L$1000,"تحت إجراءات التعاقد"))</f>
        <v/>
      </c>
      <c r="G201" t="str">
        <f>IF(B201="","",COUNTIFS(DB_All!$G$2:$G$1000,B201,DB_All!$L$2:$L$1000,"تحت إجراءات التعاقد"))</f>
        <v/>
      </c>
      <c r="H201" t="str">
        <f>IF(B201="","",SUMIFS(DB_All!$N$2:$N$1000,DB_All!$G$2:$G$1000,B201,DB_All!$L$2:$L$1000,"تم التوقيع"))</f>
        <v/>
      </c>
      <c r="I201" t="str">
        <f>IF(B201="","",COUNTIFS(DB_All!$G$2:$G$1000,B201,DB_All!$L$2:$L$1000,"تم التوقيع"))</f>
        <v/>
      </c>
      <c r="J201">
        <f t="shared" si="9"/>
        <v>0</v>
      </c>
      <c r="K201" t="str">
        <f>IF(B201="","",SUMIFS('المطالبات 2026'!$J:$J,'المطالبات 2026'!$E:$E,B201,'المطالبات 2026'!$I:$I,"مطالبة مرفوعة للمالية") + SUMIFS('المطالبات 2025'!$J:$J,'المطالبات 2025'!$E:$E,B201,'المطالبات 2025'!$I:$I,"مطالبة مرفوعة للمالية"))</f>
        <v/>
      </c>
      <c r="L201" t="str">
        <f>IF(B201="","",COUNTIFS('المطالبات 2026'!$E:$E,B201,'المطالبات 2026'!$I:$I,"مطالبة مرفوعة للمالية") + COUNTIFS('المطالبات 2025'!$E:$E,B201,'المطالبات 2025'!$I:$I,"مطالبة مرفوعة للمالية"))</f>
        <v/>
      </c>
      <c r="M201">
        <f t="shared" si="10"/>
        <v>0</v>
      </c>
      <c r="N201" t="str">
        <f>IF(B201="","",SUMIFS(DB_All!$N$2:$N$1000,DB_All!$G$2:$G$1000,B201,DB_All!$L$2:$L$1000,"تحت إجراءات التوريد"))</f>
        <v/>
      </c>
      <c r="O201" t="str">
        <f>IF(B201="","",COUNTIFS(DB_All!$G$2:$G$1000,B201,DB_All!$L$2:$L$1000,"تحت إجراءات التوريد"))</f>
        <v/>
      </c>
      <c r="P201" t="str">
        <f>IF(B201="","",SUMIFS(DB_All!$N$2:$N$1000,DB_All!$G$2:$G$1000,B201,DB_All!$L$2:$L$1000,"بانتظار سندات الاستلام \ شهادة الإنجاز"))</f>
        <v/>
      </c>
      <c r="Q201" t="str">
        <f>IF(B201="","",COUNTIFS(DB_All!$G$2:$G$1000,B201,DB_All!$L$2:$L$1000,"بانتظار سندات الاستلام \ شهادة الإنجاز"))</f>
        <v/>
      </c>
      <c r="R201" t="str">
        <f t="shared" si="11"/>
        <v/>
      </c>
    </row>
    <row r="202" spans="6:18" x14ac:dyDescent="0.3">
      <c r="F202" t="str">
        <f>IF(B202="","",SUMIFS(DB_All!$M$2:$M$1000,DB_All!$G$2:$G$1000,B202,DB_All!$L$2:$L$1000,"تحت إجراءات التعاقد"))</f>
        <v/>
      </c>
      <c r="G202" t="str">
        <f>IF(B202="","",COUNTIFS(DB_All!$G$2:$G$1000,B202,DB_All!$L$2:$L$1000,"تحت إجراءات التعاقد"))</f>
        <v/>
      </c>
      <c r="H202" t="str">
        <f>IF(B202="","",SUMIFS(DB_All!$N$2:$N$1000,DB_All!$G$2:$G$1000,B202,DB_All!$L$2:$L$1000,"تم التوقيع"))</f>
        <v/>
      </c>
      <c r="I202" t="str">
        <f>IF(B202="","",COUNTIFS(DB_All!$G$2:$G$1000,B202,DB_All!$L$2:$L$1000,"تم التوقيع"))</f>
        <v/>
      </c>
      <c r="J202">
        <f t="shared" si="9"/>
        <v>0</v>
      </c>
      <c r="K202" t="str">
        <f>IF(B202="","",SUMIFS('المطالبات 2026'!$J:$J,'المطالبات 2026'!$E:$E,B202,'المطالبات 2026'!$I:$I,"مطالبة مرفوعة للمالية") + SUMIFS('المطالبات 2025'!$J:$J,'المطالبات 2025'!$E:$E,B202,'المطالبات 2025'!$I:$I,"مطالبة مرفوعة للمالية"))</f>
        <v/>
      </c>
      <c r="L202" t="str">
        <f>IF(B202="","",COUNTIFS('المطالبات 2026'!$E:$E,B202,'المطالبات 2026'!$I:$I,"مطالبة مرفوعة للمالية") + COUNTIFS('المطالبات 2025'!$E:$E,B202,'المطالبات 2025'!$I:$I,"مطالبة مرفوعة للمالية"))</f>
        <v/>
      </c>
      <c r="M202">
        <f t="shared" si="10"/>
        <v>0</v>
      </c>
      <c r="N202" t="str">
        <f>IF(B202="","",SUMIFS(DB_All!$N$2:$N$1000,DB_All!$G$2:$G$1000,B202,DB_All!$L$2:$L$1000,"تحت إجراءات التوريد"))</f>
        <v/>
      </c>
      <c r="O202" t="str">
        <f>IF(B202="","",COUNTIFS(DB_All!$G$2:$G$1000,B202,DB_All!$L$2:$L$1000,"تحت إجراءات التوريد"))</f>
        <v/>
      </c>
      <c r="P202" t="str">
        <f>IF(B202="","",SUMIFS(DB_All!$N$2:$N$1000,DB_All!$G$2:$G$1000,B202,DB_All!$L$2:$L$1000,"بانتظار سندات الاستلام \ شهادة الإنجاز"))</f>
        <v/>
      </c>
      <c r="Q202" t="str">
        <f>IF(B202="","",COUNTIFS(DB_All!$G$2:$G$1000,B202,DB_All!$L$2:$L$1000,"بانتظار سندات الاستلام \ شهادة الإنجاز"))</f>
        <v/>
      </c>
      <c r="R202" t="str">
        <f t="shared" si="11"/>
        <v/>
      </c>
    </row>
    <row r="203" spans="6:18" x14ac:dyDescent="0.3">
      <c r="F203" t="str">
        <f>IF(B203="","",SUMIFS(DB_All!$M$2:$M$1000,DB_All!$G$2:$G$1000,B203,DB_All!$L$2:$L$1000,"تحت إجراءات التعاقد"))</f>
        <v/>
      </c>
      <c r="G203" t="str">
        <f>IF(B203="","",COUNTIFS(DB_All!$G$2:$G$1000,B203,DB_All!$L$2:$L$1000,"تحت إجراءات التعاقد"))</f>
        <v/>
      </c>
      <c r="H203" t="str">
        <f>IF(B203="","",SUMIFS(DB_All!$N$2:$N$1000,DB_All!$G$2:$G$1000,B203,DB_All!$L$2:$L$1000,"تم التوقيع"))</f>
        <v/>
      </c>
      <c r="I203" t="str">
        <f>IF(B203="","",COUNTIFS(DB_All!$G$2:$G$1000,B203,DB_All!$L$2:$L$1000,"تم التوقيع"))</f>
        <v/>
      </c>
      <c r="J203">
        <f t="shared" si="9"/>
        <v>0</v>
      </c>
      <c r="K203" t="str">
        <f>IF(B203="","",SUMIFS('المطالبات 2026'!$J:$J,'المطالبات 2026'!$E:$E,B203,'المطالبات 2026'!$I:$I,"مطالبة مرفوعة للمالية") + SUMIFS('المطالبات 2025'!$J:$J,'المطالبات 2025'!$E:$E,B203,'المطالبات 2025'!$I:$I,"مطالبة مرفوعة للمالية"))</f>
        <v/>
      </c>
      <c r="L203" t="str">
        <f>IF(B203="","",COUNTIFS('المطالبات 2026'!$E:$E,B203,'المطالبات 2026'!$I:$I,"مطالبة مرفوعة للمالية") + COUNTIFS('المطالبات 2025'!$E:$E,B203,'المطالبات 2025'!$I:$I,"مطالبة مرفوعة للمالية"))</f>
        <v/>
      </c>
      <c r="M203">
        <f t="shared" si="10"/>
        <v>0</v>
      </c>
      <c r="N203" t="str">
        <f>IF(B203="","",SUMIFS(DB_All!$N$2:$N$1000,DB_All!$G$2:$G$1000,B203,DB_All!$L$2:$L$1000,"تحت إجراءات التوريد"))</f>
        <v/>
      </c>
      <c r="O203" t="str">
        <f>IF(B203="","",COUNTIFS(DB_All!$G$2:$G$1000,B203,DB_All!$L$2:$L$1000,"تحت إجراءات التوريد"))</f>
        <v/>
      </c>
      <c r="P203" t="str">
        <f>IF(B203="","",SUMIFS(DB_All!$N$2:$N$1000,DB_All!$G$2:$G$1000,B203,DB_All!$L$2:$L$1000,"بانتظار سندات الاستلام \ شهادة الإنجاز"))</f>
        <v/>
      </c>
      <c r="Q203" t="str">
        <f>IF(B203="","",COUNTIFS(DB_All!$G$2:$G$1000,B203,DB_All!$L$2:$L$1000,"بانتظار سندات الاستلام \ شهادة الإنجاز"))</f>
        <v/>
      </c>
      <c r="R203" t="str">
        <f t="shared" si="11"/>
        <v/>
      </c>
    </row>
    <row r="204" spans="6:18" x14ac:dyDescent="0.3">
      <c r="F204" t="str">
        <f>IF(B204="","",SUMIFS(DB_All!$M$2:$M$1000,DB_All!$G$2:$G$1000,B204,DB_All!$L$2:$L$1000,"تحت إجراءات التعاقد"))</f>
        <v/>
      </c>
      <c r="G204" t="str">
        <f>IF(B204="","",COUNTIFS(DB_All!$G$2:$G$1000,B204,DB_All!$L$2:$L$1000,"تحت إجراءات التعاقد"))</f>
        <v/>
      </c>
      <c r="H204" t="str">
        <f>IF(B204="","",SUMIFS(DB_All!$N$2:$N$1000,DB_All!$G$2:$G$1000,B204,DB_All!$L$2:$L$1000,"تم التوقيع"))</f>
        <v/>
      </c>
      <c r="I204" t="str">
        <f>IF(B204="","",COUNTIFS(DB_All!$G$2:$G$1000,B204,DB_All!$L$2:$L$1000,"تم التوقيع"))</f>
        <v/>
      </c>
      <c r="J204">
        <f t="shared" si="9"/>
        <v>0</v>
      </c>
      <c r="K204" t="str">
        <f>IF(B204="","",SUMIFS('المطالبات 2026'!$J:$J,'المطالبات 2026'!$E:$E,B204,'المطالبات 2026'!$I:$I,"مطالبة مرفوعة للمالية") + SUMIFS('المطالبات 2025'!$J:$J,'المطالبات 2025'!$E:$E,B204,'المطالبات 2025'!$I:$I,"مطالبة مرفوعة للمالية"))</f>
        <v/>
      </c>
      <c r="L204" t="str">
        <f>IF(B204="","",COUNTIFS('المطالبات 2026'!$E:$E,B204,'المطالبات 2026'!$I:$I,"مطالبة مرفوعة للمالية") + COUNTIFS('المطالبات 2025'!$E:$E,B204,'المطالبات 2025'!$I:$I,"مطالبة مرفوعة للمالية"))</f>
        <v/>
      </c>
      <c r="M204">
        <f t="shared" si="10"/>
        <v>0</v>
      </c>
      <c r="N204" t="str">
        <f>IF(B204="","",SUMIFS(DB_All!$N$2:$N$1000,DB_All!$G$2:$G$1000,B204,DB_All!$L$2:$L$1000,"تحت إجراءات التوريد"))</f>
        <v/>
      </c>
      <c r="O204" t="str">
        <f>IF(B204="","",COUNTIFS(DB_All!$G$2:$G$1000,B204,DB_All!$L$2:$L$1000,"تحت إجراءات التوريد"))</f>
        <v/>
      </c>
      <c r="P204" t="str">
        <f>IF(B204="","",SUMIFS(DB_All!$N$2:$N$1000,DB_All!$G$2:$G$1000,B204,DB_All!$L$2:$L$1000,"بانتظار سندات الاستلام \ شهادة الإنجاز"))</f>
        <v/>
      </c>
      <c r="Q204" t="str">
        <f>IF(B204="","",COUNTIFS(DB_All!$G$2:$G$1000,B204,DB_All!$L$2:$L$1000,"بانتظار سندات الاستلام \ شهادة الإنجاز"))</f>
        <v/>
      </c>
      <c r="R204" t="str">
        <f t="shared" si="11"/>
        <v/>
      </c>
    </row>
    <row r="205" spans="6:18" x14ac:dyDescent="0.3">
      <c r="F205" t="str">
        <f>IF(B205="","",SUMIFS(DB_All!$M$2:$M$1000,DB_All!$G$2:$G$1000,B205,DB_All!$L$2:$L$1000,"تحت إجراءات التعاقد"))</f>
        <v/>
      </c>
      <c r="G205" t="str">
        <f>IF(B205="","",COUNTIFS(DB_All!$G$2:$G$1000,B205,DB_All!$L$2:$L$1000,"تحت إجراءات التعاقد"))</f>
        <v/>
      </c>
      <c r="H205" t="str">
        <f>IF(B205="","",SUMIFS(DB_All!$N$2:$N$1000,DB_All!$G$2:$G$1000,B205,DB_All!$L$2:$L$1000,"تم التوقيع"))</f>
        <v/>
      </c>
      <c r="I205" t="str">
        <f>IF(B205="","",COUNTIFS(DB_All!$G$2:$G$1000,B205,DB_All!$L$2:$L$1000,"تم التوقيع"))</f>
        <v/>
      </c>
      <c r="J205">
        <f t="shared" si="9"/>
        <v>0</v>
      </c>
      <c r="K205" t="str">
        <f>IF(B205="","",SUMIFS('المطالبات 2026'!$J:$J,'المطالبات 2026'!$E:$E,B205,'المطالبات 2026'!$I:$I,"مطالبة مرفوعة للمالية") + SUMIFS('المطالبات 2025'!$J:$J,'المطالبات 2025'!$E:$E,B205,'المطالبات 2025'!$I:$I,"مطالبة مرفوعة للمالية"))</f>
        <v/>
      </c>
      <c r="L205" t="str">
        <f>IF(B205="","",COUNTIFS('المطالبات 2026'!$E:$E,B205,'المطالبات 2026'!$I:$I,"مطالبة مرفوعة للمالية") + COUNTIFS('المطالبات 2025'!$E:$E,B205,'المطالبات 2025'!$I:$I,"مطالبة مرفوعة للمالية"))</f>
        <v/>
      </c>
      <c r="M205">
        <f t="shared" si="10"/>
        <v>0</v>
      </c>
      <c r="N205" t="str">
        <f>IF(B205="","",SUMIFS(DB_All!$N$2:$N$1000,DB_All!$G$2:$G$1000,B205,DB_All!$L$2:$L$1000,"تحت إجراءات التوريد"))</f>
        <v/>
      </c>
      <c r="O205" t="str">
        <f>IF(B205="","",COUNTIFS(DB_All!$G$2:$G$1000,B205,DB_All!$L$2:$L$1000,"تحت إجراءات التوريد"))</f>
        <v/>
      </c>
      <c r="P205" t="str">
        <f>IF(B205="","",SUMIFS(DB_All!$N$2:$N$1000,DB_All!$G$2:$G$1000,B205,DB_All!$L$2:$L$1000,"بانتظار سندات الاستلام \ شهادة الإنجاز"))</f>
        <v/>
      </c>
      <c r="Q205" t="str">
        <f>IF(B205="","",COUNTIFS(DB_All!$G$2:$G$1000,B205,DB_All!$L$2:$L$1000,"بانتظار سندات الاستلام \ شهادة الإنجاز"))</f>
        <v/>
      </c>
      <c r="R205" t="str">
        <f t="shared" si="11"/>
        <v/>
      </c>
    </row>
    <row r="206" spans="6:18" x14ac:dyDescent="0.3">
      <c r="F206" t="str">
        <f>IF(B206="","",SUMIFS(DB_All!$M$2:$M$1000,DB_All!$G$2:$G$1000,B206,DB_All!$L$2:$L$1000,"تحت إجراءات التعاقد"))</f>
        <v/>
      </c>
      <c r="G206" t="str">
        <f>IF(B206="","",COUNTIFS(DB_All!$G$2:$G$1000,B206,DB_All!$L$2:$L$1000,"تحت إجراءات التعاقد"))</f>
        <v/>
      </c>
      <c r="H206" t="str">
        <f>IF(B206="","",SUMIFS(DB_All!$N$2:$N$1000,DB_All!$G$2:$G$1000,B206,DB_All!$L$2:$L$1000,"تم التوقيع"))</f>
        <v/>
      </c>
      <c r="I206" t="str">
        <f>IF(B206="","",COUNTIFS(DB_All!$G$2:$G$1000,B206,DB_All!$L$2:$L$1000,"تم التوقيع"))</f>
        <v/>
      </c>
      <c r="J206">
        <f t="shared" si="9"/>
        <v>0</v>
      </c>
      <c r="K206" t="str">
        <f>IF(B206="","",SUMIFS('المطالبات 2026'!$J:$J,'المطالبات 2026'!$E:$E,B206,'المطالبات 2026'!$I:$I,"مطالبة مرفوعة للمالية") + SUMIFS('المطالبات 2025'!$J:$J,'المطالبات 2025'!$E:$E,B206,'المطالبات 2025'!$I:$I,"مطالبة مرفوعة للمالية"))</f>
        <v/>
      </c>
      <c r="L206" t="str">
        <f>IF(B206="","",COUNTIFS('المطالبات 2026'!$E:$E,B206,'المطالبات 2026'!$I:$I,"مطالبة مرفوعة للمالية") + COUNTIFS('المطالبات 2025'!$E:$E,B206,'المطالبات 2025'!$I:$I,"مطالبة مرفوعة للمالية"))</f>
        <v/>
      </c>
      <c r="M206">
        <f t="shared" si="10"/>
        <v>0</v>
      </c>
      <c r="N206" t="str">
        <f>IF(B206="","",SUMIFS(DB_All!$N$2:$N$1000,DB_All!$G$2:$G$1000,B206,DB_All!$L$2:$L$1000,"تحت إجراءات التوريد"))</f>
        <v/>
      </c>
      <c r="O206" t="str">
        <f>IF(B206="","",COUNTIFS(DB_All!$G$2:$G$1000,B206,DB_All!$L$2:$L$1000,"تحت إجراءات التوريد"))</f>
        <v/>
      </c>
      <c r="P206" t="str">
        <f>IF(B206="","",SUMIFS(DB_All!$N$2:$N$1000,DB_All!$G$2:$G$1000,B206,DB_All!$L$2:$L$1000,"بانتظار سندات الاستلام \ شهادة الإنجاز"))</f>
        <v/>
      </c>
      <c r="Q206" t="str">
        <f>IF(B206="","",COUNTIFS(DB_All!$G$2:$G$1000,B206,DB_All!$L$2:$L$1000,"بانتظار سندات الاستلام \ شهادة الإنجاز"))</f>
        <v/>
      </c>
      <c r="R206" t="str">
        <f t="shared" si="11"/>
        <v/>
      </c>
    </row>
    <row r="207" spans="6:18" x14ac:dyDescent="0.3">
      <c r="F207" t="str">
        <f>IF(B207="","",SUMIFS(DB_All!$M$2:$M$1000,DB_All!$G$2:$G$1000,B207,DB_All!$L$2:$L$1000,"تحت إجراءات التعاقد"))</f>
        <v/>
      </c>
      <c r="G207" t="str">
        <f>IF(B207="","",COUNTIFS(DB_All!$G$2:$G$1000,B207,DB_All!$L$2:$L$1000,"تحت إجراءات التعاقد"))</f>
        <v/>
      </c>
      <c r="H207" t="str">
        <f>IF(B207="","",SUMIFS(DB_All!$N$2:$N$1000,DB_All!$G$2:$G$1000,B207,DB_All!$L$2:$L$1000,"تم التوقيع"))</f>
        <v/>
      </c>
      <c r="I207" t="str">
        <f>IF(B207="","",COUNTIFS(DB_All!$G$2:$G$1000,B207,DB_All!$L$2:$L$1000,"تم التوقيع"))</f>
        <v/>
      </c>
      <c r="J207">
        <f t="shared" si="9"/>
        <v>0</v>
      </c>
      <c r="K207" t="str">
        <f>IF(B207="","",SUMIFS('المطالبات 2026'!$J:$J,'المطالبات 2026'!$E:$E,B207,'المطالبات 2026'!$I:$I,"مطالبة مرفوعة للمالية") + SUMIFS('المطالبات 2025'!$J:$J,'المطالبات 2025'!$E:$E,B207,'المطالبات 2025'!$I:$I,"مطالبة مرفوعة للمالية"))</f>
        <v/>
      </c>
      <c r="L207" t="str">
        <f>IF(B207="","",COUNTIFS('المطالبات 2026'!$E:$E,B207,'المطالبات 2026'!$I:$I,"مطالبة مرفوعة للمالية") + COUNTIFS('المطالبات 2025'!$E:$E,B207,'المطالبات 2025'!$I:$I,"مطالبة مرفوعة للمالية"))</f>
        <v/>
      </c>
      <c r="M207">
        <f t="shared" si="10"/>
        <v>0</v>
      </c>
      <c r="N207" t="str">
        <f>IF(B207="","",SUMIFS(DB_All!$N$2:$N$1000,DB_All!$G$2:$G$1000,B207,DB_All!$L$2:$L$1000,"تحت إجراءات التوريد"))</f>
        <v/>
      </c>
      <c r="O207" t="str">
        <f>IF(B207="","",COUNTIFS(DB_All!$G$2:$G$1000,B207,DB_All!$L$2:$L$1000,"تحت إجراءات التوريد"))</f>
        <v/>
      </c>
      <c r="P207" t="str">
        <f>IF(B207="","",SUMIFS(DB_All!$N$2:$N$1000,DB_All!$G$2:$G$1000,B207,DB_All!$L$2:$L$1000,"بانتظار سندات الاستلام \ شهادة الإنجاز"))</f>
        <v/>
      </c>
      <c r="Q207" t="str">
        <f>IF(B207="","",COUNTIFS(DB_All!$G$2:$G$1000,B207,DB_All!$L$2:$L$1000,"بانتظار سندات الاستلام \ شهادة الإنجاز"))</f>
        <v/>
      </c>
      <c r="R207" t="str">
        <f t="shared" si="11"/>
        <v/>
      </c>
    </row>
    <row r="208" spans="6:18" x14ac:dyDescent="0.3">
      <c r="F208" t="str">
        <f>IF(B208="","",SUMIFS(DB_All!$M$2:$M$1000,DB_All!$G$2:$G$1000,B208,DB_All!$L$2:$L$1000,"تحت إجراءات التعاقد"))</f>
        <v/>
      </c>
      <c r="G208" t="str">
        <f>IF(B208="","",COUNTIFS(DB_All!$G$2:$G$1000,B208,DB_All!$L$2:$L$1000,"تحت إجراءات التعاقد"))</f>
        <v/>
      </c>
      <c r="H208" t="str">
        <f>IF(B208="","",SUMIFS(DB_All!$N$2:$N$1000,DB_All!$G$2:$G$1000,B208,DB_All!$L$2:$L$1000,"تم التوقيع"))</f>
        <v/>
      </c>
      <c r="I208" t="str">
        <f>IF(B208="","",COUNTIFS(DB_All!$G$2:$G$1000,B208,DB_All!$L$2:$L$1000,"تم التوقيع"))</f>
        <v/>
      </c>
      <c r="J208">
        <f t="shared" si="9"/>
        <v>0</v>
      </c>
      <c r="K208" t="str">
        <f>IF(B208="","",SUMIFS('المطالبات 2026'!$J:$J,'المطالبات 2026'!$E:$E,B208,'المطالبات 2026'!$I:$I,"مطالبة مرفوعة للمالية") + SUMIFS('المطالبات 2025'!$J:$J,'المطالبات 2025'!$E:$E,B208,'المطالبات 2025'!$I:$I,"مطالبة مرفوعة للمالية"))</f>
        <v/>
      </c>
      <c r="L208" t="str">
        <f>IF(B208="","",COUNTIFS('المطالبات 2026'!$E:$E,B208,'المطالبات 2026'!$I:$I,"مطالبة مرفوعة للمالية") + COUNTIFS('المطالبات 2025'!$E:$E,B208,'المطالبات 2025'!$I:$I,"مطالبة مرفوعة للمالية"))</f>
        <v/>
      </c>
      <c r="M208">
        <f t="shared" si="10"/>
        <v>0</v>
      </c>
      <c r="N208" t="str">
        <f>IF(B208="","",SUMIFS(DB_All!$N$2:$N$1000,DB_All!$G$2:$G$1000,B208,DB_All!$L$2:$L$1000,"تحت إجراءات التوريد"))</f>
        <v/>
      </c>
      <c r="O208" t="str">
        <f>IF(B208="","",COUNTIFS(DB_All!$G$2:$G$1000,B208,DB_All!$L$2:$L$1000,"تحت إجراءات التوريد"))</f>
        <v/>
      </c>
      <c r="P208" t="str">
        <f>IF(B208="","",SUMIFS(DB_All!$N$2:$N$1000,DB_All!$G$2:$G$1000,B208,DB_All!$L$2:$L$1000,"بانتظار سندات الاستلام \ شهادة الإنجاز"))</f>
        <v/>
      </c>
      <c r="Q208" t="str">
        <f>IF(B208="","",COUNTIFS(DB_All!$G$2:$G$1000,B208,DB_All!$L$2:$L$1000,"بانتظار سندات الاستلام \ شهادة الإنجاز"))</f>
        <v/>
      </c>
      <c r="R208" t="str">
        <f t="shared" si="11"/>
        <v/>
      </c>
    </row>
    <row r="209" spans="6:18" x14ac:dyDescent="0.3">
      <c r="F209" t="str">
        <f>IF(B209="","",SUMIFS(DB_All!$M$2:$M$1000,DB_All!$G$2:$G$1000,B209,DB_All!$L$2:$L$1000,"تحت إجراءات التعاقد"))</f>
        <v/>
      </c>
      <c r="G209" t="str">
        <f>IF(B209="","",COUNTIFS(DB_All!$G$2:$G$1000,B209,DB_All!$L$2:$L$1000,"تحت إجراءات التعاقد"))</f>
        <v/>
      </c>
      <c r="H209" t="str">
        <f>IF(B209="","",SUMIFS(DB_All!$N$2:$N$1000,DB_All!$G$2:$G$1000,B209,DB_All!$L$2:$L$1000,"تم التوقيع"))</f>
        <v/>
      </c>
      <c r="I209" t="str">
        <f>IF(B209="","",COUNTIFS(DB_All!$G$2:$G$1000,B209,DB_All!$L$2:$L$1000,"تم التوقيع"))</f>
        <v/>
      </c>
      <c r="J209">
        <f t="shared" si="9"/>
        <v>0</v>
      </c>
      <c r="K209" t="str">
        <f>IF(B209="","",SUMIFS('المطالبات 2026'!$J:$J,'المطالبات 2026'!$E:$E,B209,'المطالبات 2026'!$I:$I,"مطالبة مرفوعة للمالية") + SUMIFS('المطالبات 2025'!$J:$J,'المطالبات 2025'!$E:$E,B209,'المطالبات 2025'!$I:$I,"مطالبة مرفوعة للمالية"))</f>
        <v/>
      </c>
      <c r="L209" t="str">
        <f>IF(B209="","",COUNTIFS('المطالبات 2026'!$E:$E,B209,'المطالبات 2026'!$I:$I,"مطالبة مرفوعة للمالية") + COUNTIFS('المطالبات 2025'!$E:$E,B209,'المطالبات 2025'!$I:$I,"مطالبة مرفوعة للمالية"))</f>
        <v/>
      </c>
      <c r="M209">
        <f t="shared" si="10"/>
        <v>0</v>
      </c>
      <c r="N209" t="str">
        <f>IF(B209="","",SUMIFS(DB_All!$N$2:$N$1000,DB_All!$G$2:$G$1000,B209,DB_All!$L$2:$L$1000,"تحت إجراءات التوريد"))</f>
        <v/>
      </c>
      <c r="O209" t="str">
        <f>IF(B209="","",COUNTIFS(DB_All!$G$2:$G$1000,B209,DB_All!$L$2:$L$1000,"تحت إجراءات التوريد"))</f>
        <v/>
      </c>
      <c r="P209" t="str">
        <f>IF(B209="","",SUMIFS(DB_All!$N$2:$N$1000,DB_All!$G$2:$G$1000,B209,DB_All!$L$2:$L$1000,"بانتظار سندات الاستلام \ شهادة الإنجاز"))</f>
        <v/>
      </c>
      <c r="Q209" t="str">
        <f>IF(B209="","",COUNTIFS(DB_All!$G$2:$G$1000,B209,DB_All!$L$2:$L$1000,"بانتظار سندات الاستلام \ شهادة الإنجاز"))</f>
        <v/>
      </c>
      <c r="R209" t="str">
        <f t="shared" si="11"/>
        <v/>
      </c>
    </row>
    <row r="210" spans="6:18" x14ac:dyDescent="0.3">
      <c r="F210" t="str">
        <f>IF(B210="","",SUMIFS(DB_All!$M$2:$M$1000,DB_All!$G$2:$G$1000,B210,DB_All!$L$2:$L$1000,"تحت إجراءات التعاقد"))</f>
        <v/>
      </c>
      <c r="G210" t="str">
        <f>IF(B210="","",COUNTIFS(DB_All!$G$2:$G$1000,B210,DB_All!$L$2:$L$1000,"تحت إجراءات التعاقد"))</f>
        <v/>
      </c>
      <c r="H210" t="str">
        <f>IF(B210="","",SUMIFS(DB_All!$N$2:$N$1000,DB_All!$G$2:$G$1000,B210,DB_All!$L$2:$L$1000,"تم التوقيع"))</f>
        <v/>
      </c>
      <c r="I210" t="str">
        <f>IF(B210="","",COUNTIFS(DB_All!$G$2:$G$1000,B210,DB_All!$L$2:$L$1000,"تم التوقيع"))</f>
        <v/>
      </c>
      <c r="J210">
        <f t="shared" si="9"/>
        <v>0</v>
      </c>
      <c r="K210" t="str">
        <f>IF(B210="","",SUMIFS('المطالبات 2026'!$J:$J,'المطالبات 2026'!$E:$E,B210,'المطالبات 2026'!$I:$I,"مطالبة مرفوعة للمالية") + SUMIFS('المطالبات 2025'!$J:$J,'المطالبات 2025'!$E:$E,B210,'المطالبات 2025'!$I:$I,"مطالبة مرفوعة للمالية"))</f>
        <v/>
      </c>
      <c r="L210" t="str">
        <f>IF(B210="","",COUNTIFS('المطالبات 2026'!$E:$E,B210,'المطالبات 2026'!$I:$I,"مطالبة مرفوعة للمالية") + COUNTIFS('المطالبات 2025'!$E:$E,B210,'المطالبات 2025'!$I:$I,"مطالبة مرفوعة للمالية"))</f>
        <v/>
      </c>
      <c r="M210">
        <f t="shared" si="10"/>
        <v>0</v>
      </c>
      <c r="N210" t="str">
        <f>IF(B210="","",SUMIFS(DB_All!$N$2:$N$1000,DB_All!$G$2:$G$1000,B210,DB_All!$L$2:$L$1000,"تحت إجراءات التوريد"))</f>
        <v/>
      </c>
      <c r="O210" t="str">
        <f>IF(B210="","",COUNTIFS(DB_All!$G$2:$G$1000,B210,DB_All!$L$2:$L$1000,"تحت إجراءات التوريد"))</f>
        <v/>
      </c>
      <c r="P210" t="str">
        <f>IF(B210="","",SUMIFS(DB_All!$N$2:$N$1000,DB_All!$G$2:$G$1000,B210,DB_All!$L$2:$L$1000,"بانتظار سندات الاستلام \ شهادة الإنجاز"))</f>
        <v/>
      </c>
      <c r="Q210" t="str">
        <f>IF(B210="","",COUNTIFS(DB_All!$G$2:$G$1000,B210,DB_All!$L$2:$L$1000,"بانتظار سندات الاستلام \ شهادة الإنجاز"))</f>
        <v/>
      </c>
      <c r="R210" t="str">
        <f t="shared" si="11"/>
        <v/>
      </c>
    </row>
    <row r="211" spans="6:18" x14ac:dyDescent="0.3">
      <c r="F211" t="str">
        <f>IF(B211="","",SUMIFS(DB_All!$M$2:$M$1000,DB_All!$G$2:$G$1000,B211,DB_All!$L$2:$L$1000,"تحت إجراءات التعاقد"))</f>
        <v/>
      </c>
      <c r="G211" t="str">
        <f>IF(B211="","",COUNTIFS(DB_All!$G$2:$G$1000,B211,DB_All!$L$2:$L$1000,"تحت إجراءات التعاقد"))</f>
        <v/>
      </c>
      <c r="H211" t="str">
        <f>IF(B211="","",SUMIFS(DB_All!$N$2:$N$1000,DB_All!$G$2:$G$1000,B211,DB_All!$L$2:$L$1000,"تم التوقيع"))</f>
        <v/>
      </c>
      <c r="I211" t="str">
        <f>IF(B211="","",COUNTIFS(DB_All!$G$2:$G$1000,B211,DB_All!$L$2:$L$1000,"تم التوقيع"))</f>
        <v/>
      </c>
      <c r="J211">
        <f t="shared" si="9"/>
        <v>0</v>
      </c>
      <c r="K211" t="str">
        <f>IF(B211="","",SUMIFS('المطالبات 2026'!$J:$J,'المطالبات 2026'!$E:$E,B211,'المطالبات 2026'!$I:$I,"مطالبة مرفوعة للمالية") + SUMIFS('المطالبات 2025'!$J:$J,'المطالبات 2025'!$E:$E,B211,'المطالبات 2025'!$I:$I,"مطالبة مرفوعة للمالية"))</f>
        <v/>
      </c>
      <c r="L211" t="str">
        <f>IF(B211="","",COUNTIFS('المطالبات 2026'!$E:$E,B211,'المطالبات 2026'!$I:$I,"مطالبة مرفوعة للمالية") + COUNTIFS('المطالبات 2025'!$E:$E,B211,'المطالبات 2025'!$I:$I,"مطالبة مرفوعة للمالية"))</f>
        <v/>
      </c>
      <c r="M211">
        <f t="shared" si="10"/>
        <v>0</v>
      </c>
      <c r="N211" t="str">
        <f>IF(B211="","",SUMIFS(DB_All!$N$2:$N$1000,DB_All!$G$2:$G$1000,B211,DB_All!$L$2:$L$1000,"تحت إجراءات التوريد"))</f>
        <v/>
      </c>
      <c r="O211" t="str">
        <f>IF(B211="","",COUNTIFS(DB_All!$G$2:$G$1000,B211,DB_All!$L$2:$L$1000,"تحت إجراءات التوريد"))</f>
        <v/>
      </c>
      <c r="P211" t="str">
        <f>IF(B211="","",SUMIFS(DB_All!$N$2:$N$1000,DB_All!$G$2:$G$1000,B211,DB_All!$L$2:$L$1000,"بانتظار سندات الاستلام \ شهادة الإنجاز"))</f>
        <v/>
      </c>
      <c r="Q211" t="str">
        <f>IF(B211="","",COUNTIFS(DB_All!$G$2:$G$1000,B211,DB_All!$L$2:$L$1000,"بانتظار سندات الاستلام \ شهادة الإنجاز"))</f>
        <v/>
      </c>
      <c r="R211" t="str">
        <f t="shared" si="11"/>
        <v/>
      </c>
    </row>
    <row r="212" spans="6:18" x14ac:dyDescent="0.3">
      <c r="F212" t="str">
        <f>IF(B212="","",SUMIFS(DB_All!$M$2:$M$1000,DB_All!$G$2:$G$1000,B212,DB_All!$L$2:$L$1000,"تحت إجراءات التعاقد"))</f>
        <v/>
      </c>
      <c r="G212" t="str">
        <f>IF(B212="","",COUNTIFS(DB_All!$G$2:$G$1000,B212,DB_All!$L$2:$L$1000,"تحت إجراءات التعاقد"))</f>
        <v/>
      </c>
      <c r="H212" t="str">
        <f>IF(B212="","",SUMIFS(DB_All!$N$2:$N$1000,DB_All!$G$2:$G$1000,B212,DB_All!$L$2:$L$1000,"تم التوقيع"))</f>
        <v/>
      </c>
      <c r="I212" t="str">
        <f>IF(B212="","",COUNTIFS(DB_All!$G$2:$G$1000,B212,DB_All!$L$2:$L$1000,"تم التوقيع"))</f>
        <v/>
      </c>
      <c r="J212">
        <f t="shared" si="9"/>
        <v>0</v>
      </c>
      <c r="K212" t="str">
        <f>IF(B212="","",SUMIFS('المطالبات 2026'!$J:$J,'المطالبات 2026'!$E:$E,B212,'المطالبات 2026'!$I:$I,"مطالبة مرفوعة للمالية") + SUMIFS('المطالبات 2025'!$J:$J,'المطالبات 2025'!$E:$E,B212,'المطالبات 2025'!$I:$I,"مطالبة مرفوعة للمالية"))</f>
        <v/>
      </c>
      <c r="L212" t="str">
        <f>IF(B212="","",COUNTIFS('المطالبات 2026'!$E:$E,B212,'المطالبات 2026'!$I:$I,"مطالبة مرفوعة للمالية") + COUNTIFS('المطالبات 2025'!$E:$E,B212,'المطالبات 2025'!$I:$I,"مطالبة مرفوعة للمالية"))</f>
        <v/>
      </c>
      <c r="M212">
        <f t="shared" si="10"/>
        <v>0</v>
      </c>
      <c r="N212" t="str">
        <f>IF(B212="","",SUMIFS(DB_All!$N$2:$N$1000,DB_All!$G$2:$G$1000,B212,DB_All!$L$2:$L$1000,"تحت إجراءات التوريد"))</f>
        <v/>
      </c>
      <c r="O212" t="str">
        <f>IF(B212="","",COUNTIFS(DB_All!$G$2:$G$1000,B212,DB_All!$L$2:$L$1000,"تحت إجراءات التوريد"))</f>
        <v/>
      </c>
      <c r="P212" t="str">
        <f>IF(B212="","",SUMIFS(DB_All!$N$2:$N$1000,DB_All!$G$2:$G$1000,B212,DB_All!$L$2:$L$1000,"بانتظار سندات الاستلام \ شهادة الإنجاز"))</f>
        <v/>
      </c>
      <c r="Q212" t="str">
        <f>IF(B212="","",COUNTIFS(DB_All!$G$2:$G$1000,B212,DB_All!$L$2:$L$1000,"بانتظار سندات الاستلام \ شهادة الإنجاز"))</f>
        <v/>
      </c>
      <c r="R212" t="str">
        <f t="shared" si="11"/>
        <v/>
      </c>
    </row>
    <row r="213" spans="6:18" x14ac:dyDescent="0.3">
      <c r="F213" t="str">
        <f>IF(B213="","",SUMIFS(DB_All!$M$2:$M$1000,DB_All!$G$2:$G$1000,B213,DB_All!$L$2:$L$1000,"تحت إجراءات التعاقد"))</f>
        <v/>
      </c>
      <c r="G213" t="str">
        <f>IF(B213="","",COUNTIFS(DB_All!$G$2:$G$1000,B213,DB_All!$L$2:$L$1000,"تحت إجراءات التعاقد"))</f>
        <v/>
      </c>
      <c r="H213" t="str">
        <f>IF(B213="","",SUMIFS(DB_All!$N$2:$N$1000,DB_All!$G$2:$G$1000,B213,DB_All!$L$2:$L$1000,"تم التوقيع"))</f>
        <v/>
      </c>
      <c r="I213" t="str">
        <f>IF(B213="","",COUNTIFS(DB_All!$G$2:$G$1000,B213,DB_All!$L$2:$L$1000,"تم التوقيع"))</f>
        <v/>
      </c>
      <c r="J213">
        <f t="shared" si="9"/>
        <v>0</v>
      </c>
      <c r="K213" t="str">
        <f>IF(B213="","",SUMIFS('المطالبات 2026'!$J:$J,'المطالبات 2026'!$E:$E,B213,'المطالبات 2026'!$I:$I,"مطالبة مرفوعة للمالية") + SUMIFS('المطالبات 2025'!$J:$J,'المطالبات 2025'!$E:$E,B213,'المطالبات 2025'!$I:$I,"مطالبة مرفوعة للمالية"))</f>
        <v/>
      </c>
      <c r="L213" t="str">
        <f>IF(B213="","",COUNTIFS('المطالبات 2026'!$E:$E,B213,'المطالبات 2026'!$I:$I,"مطالبة مرفوعة للمالية") + COUNTIFS('المطالبات 2025'!$E:$E,B213,'المطالبات 2025'!$I:$I,"مطالبة مرفوعة للمالية"))</f>
        <v/>
      </c>
      <c r="M213">
        <f t="shared" si="10"/>
        <v>0</v>
      </c>
      <c r="N213" t="str">
        <f>IF(B213="","",SUMIFS(DB_All!$N$2:$N$1000,DB_All!$G$2:$G$1000,B213,DB_All!$L$2:$L$1000,"تحت إجراءات التوريد"))</f>
        <v/>
      </c>
      <c r="O213" t="str">
        <f>IF(B213="","",COUNTIFS(DB_All!$G$2:$G$1000,B213,DB_All!$L$2:$L$1000,"تحت إجراءات التوريد"))</f>
        <v/>
      </c>
      <c r="P213" t="str">
        <f>IF(B213="","",SUMIFS(DB_All!$N$2:$N$1000,DB_All!$G$2:$G$1000,B213,DB_All!$L$2:$L$1000,"بانتظار سندات الاستلام \ شهادة الإنجاز"))</f>
        <v/>
      </c>
      <c r="Q213" t="str">
        <f>IF(B213="","",COUNTIFS(DB_All!$G$2:$G$1000,B213,DB_All!$L$2:$L$1000,"بانتظار سندات الاستلام \ شهادة الإنجاز"))</f>
        <v/>
      </c>
      <c r="R213" t="str">
        <f t="shared" si="11"/>
        <v/>
      </c>
    </row>
    <row r="214" spans="6:18" x14ac:dyDescent="0.3">
      <c r="F214" t="str">
        <f>IF(B214="","",SUMIFS(DB_All!$M$2:$M$1000,DB_All!$G$2:$G$1000,B214,DB_All!$L$2:$L$1000,"تحت إجراءات التعاقد"))</f>
        <v/>
      </c>
      <c r="G214" t="str">
        <f>IF(B214="","",COUNTIFS(DB_All!$G$2:$G$1000,B214,DB_All!$L$2:$L$1000,"تحت إجراءات التعاقد"))</f>
        <v/>
      </c>
      <c r="H214" t="str">
        <f>IF(B214="","",SUMIFS(DB_All!$N$2:$N$1000,DB_All!$G$2:$G$1000,B214,DB_All!$L$2:$L$1000,"تم التوقيع"))</f>
        <v/>
      </c>
      <c r="I214" t="str">
        <f>IF(B214="","",COUNTIFS(DB_All!$G$2:$G$1000,B214,DB_All!$L$2:$L$1000,"تم التوقيع"))</f>
        <v/>
      </c>
      <c r="J214">
        <f t="shared" si="9"/>
        <v>0</v>
      </c>
      <c r="K214" t="str">
        <f>IF(B214="","",SUMIFS('المطالبات 2026'!$J:$J,'المطالبات 2026'!$E:$E,B214,'المطالبات 2026'!$I:$I,"مطالبة مرفوعة للمالية") + SUMIFS('المطالبات 2025'!$J:$J,'المطالبات 2025'!$E:$E,B214,'المطالبات 2025'!$I:$I,"مطالبة مرفوعة للمالية"))</f>
        <v/>
      </c>
      <c r="L214" t="str">
        <f>IF(B214="","",COUNTIFS('المطالبات 2026'!$E:$E,B214,'المطالبات 2026'!$I:$I,"مطالبة مرفوعة للمالية") + COUNTIFS('المطالبات 2025'!$E:$E,B214,'المطالبات 2025'!$I:$I,"مطالبة مرفوعة للمالية"))</f>
        <v/>
      </c>
      <c r="M214">
        <f t="shared" si="10"/>
        <v>0</v>
      </c>
      <c r="N214" t="str">
        <f>IF(B214="","",SUMIFS(DB_All!$N$2:$N$1000,DB_All!$G$2:$G$1000,B214,DB_All!$L$2:$L$1000,"تحت إجراءات التوريد"))</f>
        <v/>
      </c>
      <c r="O214" t="str">
        <f>IF(B214="","",COUNTIFS(DB_All!$G$2:$G$1000,B214,DB_All!$L$2:$L$1000,"تحت إجراءات التوريد"))</f>
        <v/>
      </c>
      <c r="P214" t="str">
        <f>IF(B214="","",SUMIFS(DB_All!$N$2:$N$1000,DB_All!$G$2:$G$1000,B214,DB_All!$L$2:$L$1000,"بانتظار سندات الاستلام \ شهادة الإنجاز"))</f>
        <v/>
      </c>
      <c r="Q214" t="str">
        <f>IF(B214="","",COUNTIFS(DB_All!$G$2:$G$1000,B214,DB_All!$L$2:$L$1000,"بانتظار سندات الاستلام \ شهادة الإنجاز"))</f>
        <v/>
      </c>
      <c r="R214" t="str">
        <f t="shared" si="11"/>
        <v/>
      </c>
    </row>
    <row r="215" spans="6:18" x14ac:dyDescent="0.3">
      <c r="F215" t="str">
        <f>IF(B215="","",SUMIFS(DB_All!$M$2:$M$1000,DB_All!$G$2:$G$1000,B215,DB_All!$L$2:$L$1000,"تحت إجراءات التعاقد"))</f>
        <v/>
      </c>
      <c r="G215" t="str">
        <f>IF(B215="","",COUNTIFS(DB_All!$G$2:$G$1000,B215,DB_All!$L$2:$L$1000,"تحت إجراءات التعاقد"))</f>
        <v/>
      </c>
      <c r="H215" t="str">
        <f>IF(B215="","",SUMIFS(DB_All!$N$2:$N$1000,DB_All!$G$2:$G$1000,B215,DB_All!$L$2:$L$1000,"تم التوقيع"))</f>
        <v/>
      </c>
      <c r="I215" t="str">
        <f>IF(B215="","",COUNTIFS(DB_All!$G$2:$G$1000,B215,DB_All!$L$2:$L$1000,"تم التوقيع"))</f>
        <v/>
      </c>
      <c r="J215">
        <f t="shared" si="9"/>
        <v>0</v>
      </c>
      <c r="K215" t="str">
        <f>IF(B215="","",SUMIFS('المطالبات 2026'!$J:$J,'المطالبات 2026'!$E:$E,B215,'المطالبات 2026'!$I:$I,"مطالبة مرفوعة للمالية") + SUMIFS('المطالبات 2025'!$J:$J,'المطالبات 2025'!$E:$E,B215,'المطالبات 2025'!$I:$I,"مطالبة مرفوعة للمالية"))</f>
        <v/>
      </c>
      <c r="L215" t="str">
        <f>IF(B215="","",COUNTIFS('المطالبات 2026'!$E:$E,B215,'المطالبات 2026'!$I:$I,"مطالبة مرفوعة للمالية") + COUNTIFS('المطالبات 2025'!$E:$E,B215,'المطالبات 2025'!$I:$I,"مطالبة مرفوعة للمالية"))</f>
        <v/>
      </c>
      <c r="M215">
        <f t="shared" si="10"/>
        <v>0</v>
      </c>
      <c r="N215" t="str">
        <f>IF(B215="","",SUMIFS(DB_All!$N$2:$N$1000,DB_All!$G$2:$G$1000,B215,DB_All!$L$2:$L$1000,"تحت إجراءات التوريد"))</f>
        <v/>
      </c>
      <c r="O215" t="str">
        <f>IF(B215="","",COUNTIFS(DB_All!$G$2:$G$1000,B215,DB_All!$L$2:$L$1000,"تحت إجراءات التوريد"))</f>
        <v/>
      </c>
      <c r="P215" t="str">
        <f>IF(B215="","",SUMIFS(DB_All!$N$2:$N$1000,DB_All!$G$2:$G$1000,B215,DB_All!$L$2:$L$1000,"بانتظار سندات الاستلام \ شهادة الإنجاز"))</f>
        <v/>
      </c>
      <c r="Q215" t="str">
        <f>IF(B215="","",COUNTIFS(DB_All!$G$2:$G$1000,B215,DB_All!$L$2:$L$1000,"بانتظار سندات الاستلام \ شهادة الإنجاز"))</f>
        <v/>
      </c>
      <c r="R215" t="str">
        <f t="shared" si="11"/>
        <v/>
      </c>
    </row>
    <row r="216" spans="6:18" x14ac:dyDescent="0.3">
      <c r="F216" t="str">
        <f>IF(B216="","",SUMIFS(DB_All!$M$2:$M$1000,DB_All!$G$2:$G$1000,B216,DB_All!$L$2:$L$1000,"تحت إجراءات التعاقد"))</f>
        <v/>
      </c>
      <c r="G216" t="str">
        <f>IF(B216="","",COUNTIFS(DB_All!$G$2:$G$1000,B216,DB_All!$L$2:$L$1000,"تحت إجراءات التعاقد"))</f>
        <v/>
      </c>
      <c r="H216" t="str">
        <f>IF(B216="","",SUMIFS(DB_All!$N$2:$N$1000,DB_All!$G$2:$G$1000,B216,DB_All!$L$2:$L$1000,"تم التوقيع"))</f>
        <v/>
      </c>
      <c r="I216" t="str">
        <f>IF(B216="","",COUNTIFS(DB_All!$G$2:$G$1000,B216,DB_All!$L$2:$L$1000,"تم التوقيع"))</f>
        <v/>
      </c>
      <c r="J216">
        <f t="shared" si="9"/>
        <v>0</v>
      </c>
      <c r="K216" t="str">
        <f>IF(B216="","",SUMIFS('المطالبات 2026'!$J:$J,'المطالبات 2026'!$E:$E,B216,'المطالبات 2026'!$I:$I,"مطالبة مرفوعة للمالية") + SUMIFS('المطالبات 2025'!$J:$J,'المطالبات 2025'!$E:$E,B216,'المطالبات 2025'!$I:$I,"مطالبة مرفوعة للمالية"))</f>
        <v/>
      </c>
      <c r="L216" t="str">
        <f>IF(B216="","",COUNTIFS('المطالبات 2026'!$E:$E,B216,'المطالبات 2026'!$I:$I,"مطالبة مرفوعة للمالية") + COUNTIFS('المطالبات 2025'!$E:$E,B216,'المطالبات 2025'!$I:$I,"مطالبة مرفوعة للمالية"))</f>
        <v/>
      </c>
      <c r="M216">
        <f t="shared" si="10"/>
        <v>0</v>
      </c>
      <c r="N216" t="str">
        <f>IF(B216="","",SUMIFS(DB_All!$N$2:$N$1000,DB_All!$G$2:$G$1000,B216,DB_All!$L$2:$L$1000,"تحت إجراءات التوريد"))</f>
        <v/>
      </c>
      <c r="O216" t="str">
        <f>IF(B216="","",COUNTIFS(DB_All!$G$2:$G$1000,B216,DB_All!$L$2:$L$1000,"تحت إجراءات التوريد"))</f>
        <v/>
      </c>
      <c r="P216" t="str">
        <f>IF(B216="","",SUMIFS(DB_All!$N$2:$N$1000,DB_All!$G$2:$G$1000,B216,DB_All!$L$2:$L$1000,"بانتظار سندات الاستلام \ شهادة الإنجاز"))</f>
        <v/>
      </c>
      <c r="Q216" t="str">
        <f>IF(B216="","",COUNTIFS(DB_All!$G$2:$G$1000,B216,DB_All!$L$2:$L$1000,"بانتظار سندات الاستلام \ شهادة الإنجاز"))</f>
        <v/>
      </c>
      <c r="R216" t="str">
        <f t="shared" si="11"/>
        <v/>
      </c>
    </row>
    <row r="217" spans="6:18" x14ac:dyDescent="0.3">
      <c r="F217" t="str">
        <f>IF(B217="","",SUMIFS(DB_All!$M$2:$M$1000,DB_All!$G$2:$G$1000,B217,DB_All!$L$2:$L$1000,"تحت إجراءات التعاقد"))</f>
        <v/>
      </c>
      <c r="G217" t="str">
        <f>IF(B217="","",COUNTIFS(DB_All!$G$2:$G$1000,B217,DB_All!$L$2:$L$1000,"تحت إجراءات التعاقد"))</f>
        <v/>
      </c>
      <c r="H217" t="str">
        <f>IF(B217="","",SUMIFS(DB_All!$N$2:$N$1000,DB_All!$G$2:$G$1000,B217,DB_All!$L$2:$L$1000,"تم التوقيع"))</f>
        <v/>
      </c>
      <c r="I217" t="str">
        <f>IF(B217="","",COUNTIFS(DB_All!$G$2:$G$1000,B217,DB_All!$L$2:$L$1000,"تم التوقيع"))</f>
        <v/>
      </c>
      <c r="J217">
        <f t="shared" si="9"/>
        <v>0</v>
      </c>
      <c r="K217" t="str">
        <f>IF(B217="","",SUMIFS('المطالبات 2026'!$J:$J,'المطالبات 2026'!$E:$E,B217,'المطالبات 2026'!$I:$I,"مطالبة مرفوعة للمالية") + SUMIFS('المطالبات 2025'!$J:$J,'المطالبات 2025'!$E:$E,B217,'المطالبات 2025'!$I:$I,"مطالبة مرفوعة للمالية"))</f>
        <v/>
      </c>
      <c r="L217" t="str">
        <f>IF(B217="","",COUNTIFS('المطالبات 2026'!$E:$E,B217,'المطالبات 2026'!$I:$I,"مطالبة مرفوعة للمالية") + COUNTIFS('المطالبات 2025'!$E:$E,B217,'المطالبات 2025'!$I:$I,"مطالبة مرفوعة للمالية"))</f>
        <v/>
      </c>
      <c r="M217">
        <f t="shared" si="10"/>
        <v>0</v>
      </c>
      <c r="N217" t="str">
        <f>IF(B217="","",SUMIFS(DB_All!$N$2:$N$1000,DB_All!$G$2:$G$1000,B217,DB_All!$L$2:$L$1000,"تحت إجراءات التوريد"))</f>
        <v/>
      </c>
      <c r="O217" t="str">
        <f>IF(B217="","",COUNTIFS(DB_All!$G$2:$G$1000,B217,DB_All!$L$2:$L$1000,"تحت إجراءات التوريد"))</f>
        <v/>
      </c>
      <c r="P217" t="str">
        <f>IF(B217="","",SUMIFS(DB_All!$N$2:$N$1000,DB_All!$G$2:$G$1000,B217,DB_All!$L$2:$L$1000,"بانتظار سندات الاستلام \ شهادة الإنجاز"))</f>
        <v/>
      </c>
      <c r="Q217" t="str">
        <f>IF(B217="","",COUNTIFS(DB_All!$G$2:$G$1000,B217,DB_All!$L$2:$L$1000,"بانتظار سندات الاستلام \ شهادة الإنجاز"))</f>
        <v/>
      </c>
      <c r="R217" t="str">
        <f t="shared" si="11"/>
        <v/>
      </c>
    </row>
    <row r="218" spans="6:18" x14ac:dyDescent="0.3">
      <c r="F218" t="str">
        <f>IF(B218="","",SUMIFS(DB_All!$M$2:$M$1000,DB_All!$G$2:$G$1000,B218,DB_All!$L$2:$L$1000,"تحت إجراءات التعاقد"))</f>
        <v/>
      </c>
      <c r="G218" t="str">
        <f>IF(B218="","",COUNTIFS(DB_All!$G$2:$G$1000,B218,DB_All!$L$2:$L$1000,"تحت إجراءات التعاقد"))</f>
        <v/>
      </c>
      <c r="H218" t="str">
        <f>IF(B218="","",SUMIFS(DB_All!$N$2:$N$1000,DB_All!$G$2:$G$1000,B218,DB_All!$L$2:$L$1000,"تم التوقيع"))</f>
        <v/>
      </c>
      <c r="I218" t="str">
        <f>IF(B218="","",COUNTIFS(DB_All!$G$2:$G$1000,B218,DB_All!$L$2:$L$1000,"تم التوقيع"))</f>
        <v/>
      </c>
      <c r="J218">
        <f t="shared" si="9"/>
        <v>0</v>
      </c>
      <c r="K218" t="str">
        <f>IF(B218="","",SUMIFS('المطالبات 2026'!$J:$J,'المطالبات 2026'!$E:$E,B218,'المطالبات 2026'!$I:$I,"مطالبة مرفوعة للمالية") + SUMIFS('المطالبات 2025'!$J:$J,'المطالبات 2025'!$E:$E,B218,'المطالبات 2025'!$I:$I,"مطالبة مرفوعة للمالية"))</f>
        <v/>
      </c>
      <c r="L218" t="str">
        <f>IF(B218="","",COUNTIFS('المطالبات 2026'!$E:$E,B218,'المطالبات 2026'!$I:$I,"مطالبة مرفوعة للمالية") + COUNTIFS('المطالبات 2025'!$E:$E,B218,'المطالبات 2025'!$I:$I,"مطالبة مرفوعة للمالية"))</f>
        <v/>
      </c>
      <c r="M218">
        <f t="shared" si="10"/>
        <v>0</v>
      </c>
      <c r="N218" t="str">
        <f>IF(B218="","",SUMIFS(DB_All!$N$2:$N$1000,DB_All!$G$2:$G$1000,B218,DB_All!$L$2:$L$1000,"تحت إجراءات التوريد"))</f>
        <v/>
      </c>
      <c r="O218" t="str">
        <f>IF(B218="","",COUNTIFS(DB_All!$G$2:$G$1000,B218,DB_All!$L$2:$L$1000,"تحت إجراءات التوريد"))</f>
        <v/>
      </c>
      <c r="P218" t="str">
        <f>IF(B218="","",SUMIFS(DB_All!$N$2:$N$1000,DB_All!$G$2:$G$1000,B218,DB_All!$L$2:$L$1000,"بانتظار سندات الاستلام \ شهادة الإنجاز"))</f>
        <v/>
      </c>
      <c r="Q218" t="str">
        <f>IF(B218="","",COUNTIFS(DB_All!$G$2:$G$1000,B218,DB_All!$L$2:$L$1000,"بانتظار سندات الاستلام \ شهادة الإنجاز"))</f>
        <v/>
      </c>
      <c r="R218" t="str">
        <f t="shared" si="11"/>
        <v/>
      </c>
    </row>
    <row r="219" spans="6:18" x14ac:dyDescent="0.3">
      <c r="F219" t="str">
        <f>IF(B219="","",SUMIFS(DB_All!$M$2:$M$1000,DB_All!$G$2:$G$1000,B219,DB_All!$L$2:$L$1000,"تحت إجراءات التعاقد"))</f>
        <v/>
      </c>
      <c r="G219" t="str">
        <f>IF(B219="","",COUNTIFS(DB_All!$G$2:$G$1000,B219,DB_All!$L$2:$L$1000,"تحت إجراءات التعاقد"))</f>
        <v/>
      </c>
      <c r="H219" t="str">
        <f>IF(B219="","",SUMIFS(DB_All!$N$2:$N$1000,DB_All!$G$2:$G$1000,B219,DB_All!$L$2:$L$1000,"تم التوقيع"))</f>
        <v/>
      </c>
      <c r="I219" t="str">
        <f>IF(B219="","",COUNTIFS(DB_All!$G$2:$G$1000,B219,DB_All!$L$2:$L$1000,"تم التوقيع"))</f>
        <v/>
      </c>
      <c r="J219">
        <f t="shared" si="9"/>
        <v>0</v>
      </c>
      <c r="K219" t="str">
        <f>IF(B219="","",SUMIFS('المطالبات 2026'!$J:$J,'المطالبات 2026'!$E:$E,B219,'المطالبات 2026'!$I:$I,"مطالبة مرفوعة للمالية") + SUMIFS('المطالبات 2025'!$J:$J,'المطالبات 2025'!$E:$E,B219,'المطالبات 2025'!$I:$I,"مطالبة مرفوعة للمالية"))</f>
        <v/>
      </c>
      <c r="L219" t="str">
        <f>IF(B219="","",COUNTIFS('المطالبات 2026'!$E:$E,B219,'المطالبات 2026'!$I:$I,"مطالبة مرفوعة للمالية") + COUNTIFS('المطالبات 2025'!$E:$E,B219,'المطالبات 2025'!$I:$I,"مطالبة مرفوعة للمالية"))</f>
        <v/>
      </c>
      <c r="M219">
        <f t="shared" si="10"/>
        <v>0</v>
      </c>
      <c r="N219" t="str">
        <f>IF(B219="","",SUMIFS(DB_All!$N$2:$N$1000,DB_All!$G$2:$G$1000,B219,DB_All!$L$2:$L$1000,"تحت إجراءات التوريد"))</f>
        <v/>
      </c>
      <c r="O219" t="str">
        <f>IF(B219="","",COUNTIFS(DB_All!$G$2:$G$1000,B219,DB_All!$L$2:$L$1000,"تحت إجراءات التوريد"))</f>
        <v/>
      </c>
      <c r="P219" t="str">
        <f>IF(B219="","",SUMIFS(DB_All!$N$2:$N$1000,DB_All!$G$2:$G$1000,B219,DB_All!$L$2:$L$1000,"بانتظار سندات الاستلام \ شهادة الإنجاز"))</f>
        <v/>
      </c>
      <c r="Q219" t="str">
        <f>IF(B219="","",COUNTIFS(DB_All!$G$2:$G$1000,B219,DB_All!$L$2:$L$1000,"بانتظار سندات الاستلام \ شهادة الإنجاز"))</f>
        <v/>
      </c>
      <c r="R219" t="str">
        <f t="shared" si="11"/>
        <v/>
      </c>
    </row>
    <row r="220" spans="6:18" x14ac:dyDescent="0.3">
      <c r="F220" t="str">
        <f>IF(B220="","",SUMIFS(DB_All!$M$2:$M$1000,DB_All!$G$2:$G$1000,B220,DB_All!$L$2:$L$1000,"تحت إجراءات التعاقد"))</f>
        <v/>
      </c>
      <c r="G220" t="str">
        <f>IF(B220="","",COUNTIFS(DB_All!$G$2:$G$1000,B220,DB_All!$L$2:$L$1000,"تحت إجراءات التعاقد"))</f>
        <v/>
      </c>
      <c r="H220" t="str">
        <f>IF(B220="","",SUMIFS(DB_All!$N$2:$N$1000,DB_All!$G$2:$G$1000,B220,DB_All!$L$2:$L$1000,"تم التوقيع"))</f>
        <v/>
      </c>
      <c r="I220" t="str">
        <f>IF(B220="","",COUNTIFS(DB_All!$G$2:$G$1000,B220,DB_All!$L$2:$L$1000,"تم التوقيع"))</f>
        <v/>
      </c>
      <c r="J220">
        <f t="shared" si="9"/>
        <v>0</v>
      </c>
      <c r="K220" t="str">
        <f>IF(B220="","",SUMIFS('المطالبات 2026'!$J:$J,'المطالبات 2026'!$E:$E,B220,'المطالبات 2026'!$I:$I,"مطالبة مرفوعة للمالية") + SUMIFS('المطالبات 2025'!$J:$J,'المطالبات 2025'!$E:$E,B220,'المطالبات 2025'!$I:$I,"مطالبة مرفوعة للمالية"))</f>
        <v/>
      </c>
      <c r="L220" t="str">
        <f>IF(B220="","",COUNTIFS('المطالبات 2026'!$E:$E,B220,'المطالبات 2026'!$I:$I,"مطالبة مرفوعة للمالية") + COUNTIFS('المطالبات 2025'!$E:$E,B220,'المطالبات 2025'!$I:$I,"مطالبة مرفوعة للمالية"))</f>
        <v/>
      </c>
      <c r="M220">
        <f t="shared" si="10"/>
        <v>0</v>
      </c>
      <c r="N220" t="str">
        <f>IF(B220="","",SUMIFS(DB_All!$N$2:$N$1000,DB_All!$G$2:$G$1000,B220,DB_All!$L$2:$L$1000,"تحت إجراءات التوريد"))</f>
        <v/>
      </c>
      <c r="O220" t="str">
        <f>IF(B220="","",COUNTIFS(DB_All!$G$2:$G$1000,B220,DB_All!$L$2:$L$1000,"تحت إجراءات التوريد"))</f>
        <v/>
      </c>
      <c r="P220" t="str">
        <f>IF(B220="","",SUMIFS(DB_All!$N$2:$N$1000,DB_All!$G$2:$G$1000,B220,DB_All!$L$2:$L$1000,"بانتظار سندات الاستلام \ شهادة الإنجاز"))</f>
        <v/>
      </c>
      <c r="Q220" t="str">
        <f>IF(B220="","",COUNTIFS(DB_All!$G$2:$G$1000,B220,DB_All!$L$2:$L$1000,"بانتظار سندات الاستلام \ شهادة الإنجاز"))</f>
        <v/>
      </c>
      <c r="R220" t="str">
        <f t="shared" si="11"/>
        <v/>
      </c>
    </row>
    <row r="221" spans="6:18" x14ac:dyDescent="0.3">
      <c r="F221" t="str">
        <f>IF(B221="","",SUMIFS(DB_All!$M$2:$M$1000,DB_All!$G$2:$G$1000,B221,DB_All!$L$2:$L$1000,"تحت إجراءات التعاقد"))</f>
        <v/>
      </c>
      <c r="G221" t="str">
        <f>IF(B221="","",COUNTIFS(DB_All!$G$2:$G$1000,B221,DB_All!$L$2:$L$1000,"تحت إجراءات التعاقد"))</f>
        <v/>
      </c>
      <c r="H221" t="str">
        <f>IF(B221="","",SUMIFS(DB_All!$N$2:$N$1000,DB_All!$G$2:$G$1000,B221,DB_All!$L$2:$L$1000,"تم التوقيع"))</f>
        <v/>
      </c>
      <c r="I221" t="str">
        <f>IF(B221="","",COUNTIFS(DB_All!$G$2:$G$1000,B221,DB_All!$L$2:$L$1000,"تم التوقيع"))</f>
        <v/>
      </c>
      <c r="J221">
        <f t="shared" si="9"/>
        <v>0</v>
      </c>
      <c r="K221" t="str">
        <f>IF(B221="","",SUMIFS('المطالبات 2026'!$J:$J,'المطالبات 2026'!$E:$E,B221,'المطالبات 2026'!$I:$I,"مطالبة مرفوعة للمالية") + SUMIFS('المطالبات 2025'!$J:$J,'المطالبات 2025'!$E:$E,B221,'المطالبات 2025'!$I:$I,"مطالبة مرفوعة للمالية"))</f>
        <v/>
      </c>
      <c r="L221" t="str">
        <f>IF(B221="","",COUNTIFS('المطالبات 2026'!$E:$E,B221,'المطالبات 2026'!$I:$I,"مطالبة مرفوعة للمالية") + COUNTIFS('المطالبات 2025'!$E:$E,B221,'المطالبات 2025'!$I:$I,"مطالبة مرفوعة للمالية"))</f>
        <v/>
      </c>
      <c r="M221">
        <f t="shared" si="10"/>
        <v>0</v>
      </c>
      <c r="N221" t="str">
        <f>IF(B221="","",SUMIFS(DB_All!$N$2:$N$1000,DB_All!$G$2:$G$1000,B221,DB_All!$L$2:$L$1000,"تحت إجراءات التوريد"))</f>
        <v/>
      </c>
      <c r="O221" t="str">
        <f>IF(B221="","",COUNTIFS(DB_All!$G$2:$G$1000,B221,DB_All!$L$2:$L$1000,"تحت إجراءات التوريد"))</f>
        <v/>
      </c>
      <c r="P221" t="str">
        <f>IF(B221="","",SUMIFS(DB_All!$N$2:$N$1000,DB_All!$G$2:$G$1000,B221,DB_All!$L$2:$L$1000,"بانتظار سندات الاستلام \ شهادة الإنجاز"))</f>
        <v/>
      </c>
      <c r="Q221" t="str">
        <f>IF(B221="","",COUNTIFS(DB_All!$G$2:$G$1000,B221,DB_All!$L$2:$L$1000,"بانتظار سندات الاستلام \ شهادة الإنجاز"))</f>
        <v/>
      </c>
      <c r="R221" t="str">
        <f t="shared" si="11"/>
        <v/>
      </c>
    </row>
    <row r="222" spans="6:18" x14ac:dyDescent="0.3">
      <c r="F222" t="str">
        <f>IF(B222="","",SUMIFS(DB_All!$M$2:$M$1000,DB_All!$G$2:$G$1000,B222,DB_All!$L$2:$L$1000,"تحت إجراءات التعاقد"))</f>
        <v/>
      </c>
      <c r="G222" t="str">
        <f>IF(B222="","",COUNTIFS(DB_All!$G$2:$G$1000,B222,DB_All!$L$2:$L$1000,"تحت إجراءات التعاقد"))</f>
        <v/>
      </c>
      <c r="H222" t="str">
        <f>IF(B222="","",SUMIFS(DB_All!$N$2:$N$1000,DB_All!$G$2:$G$1000,B222,DB_All!$L$2:$L$1000,"تم التوقيع"))</f>
        <v/>
      </c>
      <c r="I222" t="str">
        <f>IF(B222="","",COUNTIFS(DB_All!$G$2:$G$1000,B222,DB_All!$L$2:$L$1000,"تم التوقيع"))</f>
        <v/>
      </c>
      <c r="J222">
        <f t="shared" si="9"/>
        <v>0</v>
      </c>
      <c r="K222" t="str">
        <f>IF(B222="","",SUMIFS('المطالبات 2026'!$J:$J,'المطالبات 2026'!$E:$E,B222,'المطالبات 2026'!$I:$I,"مطالبة مرفوعة للمالية") + SUMIFS('المطالبات 2025'!$J:$J,'المطالبات 2025'!$E:$E,B222,'المطالبات 2025'!$I:$I,"مطالبة مرفوعة للمالية"))</f>
        <v/>
      </c>
      <c r="L222" t="str">
        <f>IF(B222="","",COUNTIFS('المطالبات 2026'!$E:$E,B222,'المطالبات 2026'!$I:$I,"مطالبة مرفوعة للمالية") + COUNTIFS('المطالبات 2025'!$E:$E,B222,'المطالبات 2025'!$I:$I,"مطالبة مرفوعة للمالية"))</f>
        <v/>
      </c>
      <c r="M222">
        <f t="shared" si="10"/>
        <v>0</v>
      </c>
      <c r="N222" t="str">
        <f>IF(B222="","",SUMIFS(DB_All!$N$2:$N$1000,DB_All!$G$2:$G$1000,B222,DB_All!$L$2:$L$1000,"تحت إجراءات التوريد"))</f>
        <v/>
      </c>
      <c r="O222" t="str">
        <f>IF(B222="","",COUNTIFS(DB_All!$G$2:$G$1000,B222,DB_All!$L$2:$L$1000,"تحت إجراءات التوريد"))</f>
        <v/>
      </c>
      <c r="P222" t="str">
        <f>IF(B222="","",SUMIFS(DB_All!$N$2:$N$1000,DB_All!$G$2:$G$1000,B222,DB_All!$L$2:$L$1000,"بانتظار سندات الاستلام \ شهادة الإنجاز"))</f>
        <v/>
      </c>
      <c r="Q222" t="str">
        <f>IF(B222="","",COUNTIFS(DB_All!$G$2:$G$1000,B222,DB_All!$L$2:$L$1000,"بانتظار سندات الاستلام \ شهادة الإنجاز"))</f>
        <v/>
      </c>
      <c r="R222" t="str">
        <f t="shared" si="11"/>
        <v/>
      </c>
    </row>
    <row r="223" spans="6:18" x14ac:dyDescent="0.3">
      <c r="F223" t="str">
        <f>IF(B223="","",SUMIFS(DB_All!$M$2:$M$1000,DB_All!$G$2:$G$1000,B223,DB_All!$L$2:$L$1000,"تحت إجراءات التعاقد"))</f>
        <v/>
      </c>
      <c r="G223" t="str">
        <f>IF(B223="","",COUNTIFS(DB_All!$G$2:$G$1000,B223,DB_All!$L$2:$L$1000,"تحت إجراءات التعاقد"))</f>
        <v/>
      </c>
      <c r="H223" t="str">
        <f>IF(B223="","",SUMIFS(DB_All!$N$2:$N$1000,DB_All!$G$2:$G$1000,B223,DB_All!$L$2:$L$1000,"تم التوقيع"))</f>
        <v/>
      </c>
      <c r="I223" t="str">
        <f>IF(B223="","",COUNTIFS(DB_All!$G$2:$G$1000,B223,DB_All!$L$2:$L$1000,"تم التوقيع"))</f>
        <v/>
      </c>
      <c r="J223">
        <f t="shared" si="9"/>
        <v>0</v>
      </c>
      <c r="K223" t="str">
        <f>IF(B223="","",SUMIFS('المطالبات 2026'!$J:$J,'المطالبات 2026'!$E:$E,B223,'المطالبات 2026'!$I:$I,"مطالبة مرفوعة للمالية") + SUMIFS('المطالبات 2025'!$J:$J,'المطالبات 2025'!$E:$E,B223,'المطالبات 2025'!$I:$I,"مطالبة مرفوعة للمالية"))</f>
        <v/>
      </c>
      <c r="L223" t="str">
        <f>IF(B223="","",COUNTIFS('المطالبات 2026'!$E:$E,B223,'المطالبات 2026'!$I:$I,"مطالبة مرفوعة للمالية") + COUNTIFS('المطالبات 2025'!$E:$E,B223,'المطالبات 2025'!$I:$I,"مطالبة مرفوعة للمالية"))</f>
        <v/>
      </c>
      <c r="M223">
        <f t="shared" si="10"/>
        <v>0</v>
      </c>
      <c r="N223" t="str">
        <f>IF(B223="","",SUMIFS(DB_All!$N$2:$N$1000,DB_All!$G$2:$G$1000,B223,DB_All!$L$2:$L$1000,"تحت إجراءات التوريد"))</f>
        <v/>
      </c>
      <c r="O223" t="str">
        <f>IF(B223="","",COUNTIFS(DB_All!$G$2:$G$1000,B223,DB_All!$L$2:$L$1000,"تحت إجراءات التوريد"))</f>
        <v/>
      </c>
      <c r="P223" t="str">
        <f>IF(B223="","",SUMIFS(DB_All!$N$2:$N$1000,DB_All!$G$2:$G$1000,B223,DB_All!$L$2:$L$1000,"بانتظار سندات الاستلام \ شهادة الإنجاز"))</f>
        <v/>
      </c>
      <c r="Q223" t="str">
        <f>IF(B223="","",COUNTIFS(DB_All!$G$2:$G$1000,B223,DB_All!$L$2:$L$1000,"بانتظار سندات الاستلام \ شهادة الإنجاز"))</f>
        <v/>
      </c>
      <c r="R223" t="str">
        <f t="shared" si="11"/>
        <v/>
      </c>
    </row>
    <row r="224" spans="6:18" x14ac:dyDescent="0.3">
      <c r="F224" t="str">
        <f>IF(B224="","",SUMIFS(DB_All!$M$2:$M$1000,DB_All!$G$2:$G$1000,B224,DB_All!$L$2:$L$1000,"تحت إجراءات التعاقد"))</f>
        <v/>
      </c>
      <c r="G224" t="str">
        <f>IF(B224="","",COUNTIFS(DB_All!$G$2:$G$1000,B224,DB_All!$L$2:$L$1000,"تحت إجراءات التعاقد"))</f>
        <v/>
      </c>
      <c r="H224" t="str">
        <f>IF(B224="","",SUMIFS(DB_All!$N$2:$N$1000,DB_All!$G$2:$G$1000,B224,DB_All!$L$2:$L$1000,"تم التوقيع"))</f>
        <v/>
      </c>
      <c r="I224" t="str">
        <f>IF(B224="","",COUNTIFS(DB_All!$G$2:$G$1000,B224,DB_All!$L$2:$L$1000,"تم التوقيع"))</f>
        <v/>
      </c>
      <c r="J224">
        <f t="shared" si="9"/>
        <v>0</v>
      </c>
      <c r="K224" t="str">
        <f>IF(B224="","",SUMIFS('المطالبات 2026'!$J:$J,'المطالبات 2026'!$E:$E,B224,'المطالبات 2026'!$I:$I,"مطالبة مرفوعة للمالية") + SUMIFS('المطالبات 2025'!$J:$J,'المطالبات 2025'!$E:$E,B224,'المطالبات 2025'!$I:$I,"مطالبة مرفوعة للمالية"))</f>
        <v/>
      </c>
      <c r="L224" t="str">
        <f>IF(B224="","",COUNTIFS('المطالبات 2026'!$E:$E,B224,'المطالبات 2026'!$I:$I,"مطالبة مرفوعة للمالية") + COUNTIFS('المطالبات 2025'!$E:$E,B224,'المطالبات 2025'!$I:$I,"مطالبة مرفوعة للمالية"))</f>
        <v/>
      </c>
      <c r="M224">
        <f t="shared" si="10"/>
        <v>0</v>
      </c>
      <c r="N224" t="str">
        <f>IF(B224="","",SUMIFS(DB_All!$N$2:$N$1000,DB_All!$G$2:$G$1000,B224,DB_All!$L$2:$L$1000,"تحت إجراءات التوريد"))</f>
        <v/>
      </c>
      <c r="O224" t="str">
        <f>IF(B224="","",COUNTIFS(DB_All!$G$2:$G$1000,B224,DB_All!$L$2:$L$1000,"تحت إجراءات التوريد"))</f>
        <v/>
      </c>
      <c r="P224" t="str">
        <f>IF(B224="","",SUMIFS(DB_All!$N$2:$N$1000,DB_All!$G$2:$G$1000,B224,DB_All!$L$2:$L$1000,"بانتظار سندات الاستلام \ شهادة الإنجاز"))</f>
        <v/>
      </c>
      <c r="Q224" t="str">
        <f>IF(B224="","",COUNTIFS(DB_All!$G$2:$G$1000,B224,DB_All!$L$2:$L$1000,"بانتظار سندات الاستلام \ شهادة الإنجاز"))</f>
        <v/>
      </c>
      <c r="R224" t="str">
        <f t="shared" si="11"/>
        <v/>
      </c>
    </row>
    <row r="225" spans="6:18" x14ac:dyDescent="0.3">
      <c r="F225" t="str">
        <f>IF(B225="","",SUMIFS(DB_All!$M$2:$M$1000,DB_All!$G$2:$G$1000,B225,DB_All!$L$2:$L$1000,"تحت إجراءات التعاقد"))</f>
        <v/>
      </c>
      <c r="G225" t="str">
        <f>IF(B225="","",COUNTIFS(DB_All!$G$2:$G$1000,B225,DB_All!$L$2:$L$1000,"تحت إجراءات التعاقد"))</f>
        <v/>
      </c>
      <c r="H225" t="str">
        <f>IF(B225="","",SUMIFS(DB_All!$N$2:$N$1000,DB_All!$G$2:$G$1000,B225,DB_All!$L$2:$L$1000,"تم التوقيع"))</f>
        <v/>
      </c>
      <c r="I225" t="str">
        <f>IF(B225="","",COUNTIFS(DB_All!$G$2:$G$1000,B225,DB_All!$L$2:$L$1000,"تم التوقيع"))</f>
        <v/>
      </c>
      <c r="J225">
        <f t="shared" si="9"/>
        <v>0</v>
      </c>
      <c r="K225" t="str">
        <f>IF(B225="","",SUMIFS('المطالبات 2026'!$J:$J,'المطالبات 2026'!$E:$E,B225,'المطالبات 2026'!$I:$I,"مطالبة مرفوعة للمالية") + SUMIFS('المطالبات 2025'!$J:$J,'المطالبات 2025'!$E:$E,B225,'المطالبات 2025'!$I:$I,"مطالبة مرفوعة للمالية"))</f>
        <v/>
      </c>
      <c r="L225" t="str">
        <f>IF(B225="","",COUNTIFS('المطالبات 2026'!$E:$E,B225,'المطالبات 2026'!$I:$I,"مطالبة مرفوعة للمالية") + COUNTIFS('المطالبات 2025'!$E:$E,B225,'المطالبات 2025'!$I:$I,"مطالبة مرفوعة للمالية"))</f>
        <v/>
      </c>
      <c r="M225">
        <f t="shared" si="10"/>
        <v>0</v>
      </c>
      <c r="N225" t="str">
        <f>IF(B225="","",SUMIFS(DB_All!$N$2:$N$1000,DB_All!$G$2:$G$1000,B225,DB_All!$L$2:$L$1000,"تحت إجراءات التوريد"))</f>
        <v/>
      </c>
      <c r="O225" t="str">
        <f>IF(B225="","",COUNTIFS(DB_All!$G$2:$G$1000,B225,DB_All!$L$2:$L$1000,"تحت إجراءات التوريد"))</f>
        <v/>
      </c>
      <c r="P225" t="str">
        <f>IF(B225="","",SUMIFS(DB_All!$N$2:$N$1000,DB_All!$G$2:$G$1000,B225,DB_All!$L$2:$L$1000,"بانتظار سندات الاستلام \ شهادة الإنجاز"))</f>
        <v/>
      </c>
      <c r="Q225" t="str">
        <f>IF(B225="","",COUNTIFS(DB_All!$G$2:$G$1000,B225,DB_All!$L$2:$L$1000,"بانتظار سندات الاستلام \ شهادة الإنجاز"))</f>
        <v/>
      </c>
      <c r="R225" t="str">
        <f t="shared" si="11"/>
        <v/>
      </c>
    </row>
    <row r="226" spans="6:18" x14ac:dyDescent="0.3">
      <c r="F226" t="str">
        <f>IF(B226="","",SUMIFS(DB_All!$M$2:$M$1000,DB_All!$G$2:$G$1000,B226,DB_All!$L$2:$L$1000,"تحت إجراءات التعاقد"))</f>
        <v/>
      </c>
      <c r="G226" t="str">
        <f>IF(B226="","",COUNTIFS(DB_All!$G$2:$G$1000,B226,DB_All!$L$2:$L$1000,"تحت إجراءات التعاقد"))</f>
        <v/>
      </c>
      <c r="H226" t="str">
        <f>IF(B226="","",SUMIFS(DB_All!$N$2:$N$1000,DB_All!$G$2:$G$1000,B226,DB_All!$L$2:$L$1000,"تم التوقيع"))</f>
        <v/>
      </c>
      <c r="I226" t="str">
        <f>IF(B226="","",COUNTIFS(DB_All!$G$2:$G$1000,B226,DB_All!$L$2:$L$1000,"تم التوقيع"))</f>
        <v/>
      </c>
      <c r="J226">
        <f t="shared" si="9"/>
        <v>0</v>
      </c>
      <c r="K226" t="str">
        <f>IF(B226="","",SUMIFS('المطالبات 2026'!$J:$J,'المطالبات 2026'!$E:$E,B226,'المطالبات 2026'!$I:$I,"مطالبة مرفوعة للمالية") + SUMIFS('المطالبات 2025'!$J:$J,'المطالبات 2025'!$E:$E,B226,'المطالبات 2025'!$I:$I,"مطالبة مرفوعة للمالية"))</f>
        <v/>
      </c>
      <c r="L226" t="str">
        <f>IF(B226="","",COUNTIFS('المطالبات 2026'!$E:$E,B226,'المطالبات 2026'!$I:$I,"مطالبة مرفوعة للمالية") + COUNTIFS('المطالبات 2025'!$E:$E,B226,'المطالبات 2025'!$I:$I,"مطالبة مرفوعة للمالية"))</f>
        <v/>
      </c>
      <c r="M226">
        <f t="shared" si="10"/>
        <v>0</v>
      </c>
      <c r="N226" t="str">
        <f>IF(B226="","",SUMIFS(DB_All!$N$2:$N$1000,DB_All!$G$2:$G$1000,B226,DB_All!$L$2:$L$1000,"تحت إجراءات التوريد"))</f>
        <v/>
      </c>
      <c r="O226" t="str">
        <f>IF(B226="","",COUNTIFS(DB_All!$G$2:$G$1000,B226,DB_All!$L$2:$L$1000,"تحت إجراءات التوريد"))</f>
        <v/>
      </c>
      <c r="P226" t="str">
        <f>IF(B226="","",SUMIFS(DB_All!$N$2:$N$1000,DB_All!$G$2:$G$1000,B226,DB_All!$L$2:$L$1000,"بانتظار سندات الاستلام \ شهادة الإنجاز"))</f>
        <v/>
      </c>
      <c r="Q226" t="str">
        <f>IF(B226="","",COUNTIFS(DB_All!$G$2:$G$1000,B226,DB_All!$L$2:$L$1000,"بانتظار سندات الاستلام \ شهادة الإنجاز"))</f>
        <v/>
      </c>
      <c r="R226" t="str">
        <f t="shared" si="11"/>
        <v/>
      </c>
    </row>
    <row r="227" spans="6:18" x14ac:dyDescent="0.3">
      <c r="F227" t="str">
        <f>IF(B227="","",SUMIFS(DB_All!$M$2:$M$1000,DB_All!$G$2:$G$1000,B227,DB_All!$L$2:$L$1000,"تحت إجراءات التعاقد"))</f>
        <v/>
      </c>
      <c r="G227" t="str">
        <f>IF(B227="","",COUNTIFS(DB_All!$G$2:$G$1000,B227,DB_All!$L$2:$L$1000,"تحت إجراءات التعاقد"))</f>
        <v/>
      </c>
      <c r="H227" t="str">
        <f>IF(B227="","",SUMIFS(DB_All!$N$2:$N$1000,DB_All!$G$2:$G$1000,B227,DB_All!$L$2:$L$1000,"تم التوقيع"))</f>
        <v/>
      </c>
      <c r="I227" t="str">
        <f>IF(B227="","",COUNTIFS(DB_All!$G$2:$G$1000,B227,DB_All!$L$2:$L$1000,"تم التوقيع"))</f>
        <v/>
      </c>
      <c r="J227">
        <f t="shared" si="9"/>
        <v>0</v>
      </c>
      <c r="K227" t="str">
        <f>IF(B227="","",SUMIFS('المطالبات 2026'!$J:$J,'المطالبات 2026'!$E:$E,B227,'المطالبات 2026'!$I:$I,"مطالبة مرفوعة للمالية") + SUMIFS('المطالبات 2025'!$J:$J,'المطالبات 2025'!$E:$E,B227,'المطالبات 2025'!$I:$I,"مطالبة مرفوعة للمالية"))</f>
        <v/>
      </c>
      <c r="L227" t="str">
        <f>IF(B227="","",COUNTIFS('المطالبات 2026'!$E:$E,B227,'المطالبات 2026'!$I:$I,"مطالبة مرفوعة للمالية") + COUNTIFS('المطالبات 2025'!$E:$E,B227,'المطالبات 2025'!$I:$I,"مطالبة مرفوعة للمالية"))</f>
        <v/>
      </c>
      <c r="M227">
        <f t="shared" si="10"/>
        <v>0</v>
      </c>
      <c r="N227" t="str">
        <f>IF(B227="","",SUMIFS(DB_All!$N$2:$N$1000,DB_All!$G$2:$G$1000,B227,DB_All!$L$2:$L$1000,"تحت إجراءات التوريد"))</f>
        <v/>
      </c>
      <c r="O227" t="str">
        <f>IF(B227="","",COUNTIFS(DB_All!$G$2:$G$1000,B227,DB_All!$L$2:$L$1000,"تحت إجراءات التوريد"))</f>
        <v/>
      </c>
      <c r="P227" t="str">
        <f>IF(B227="","",SUMIFS(DB_All!$N$2:$N$1000,DB_All!$G$2:$G$1000,B227,DB_All!$L$2:$L$1000,"بانتظار سندات الاستلام \ شهادة الإنجاز"))</f>
        <v/>
      </c>
      <c r="Q227" t="str">
        <f>IF(B227="","",COUNTIFS(DB_All!$G$2:$G$1000,B227,DB_All!$L$2:$L$1000,"بانتظار سندات الاستلام \ شهادة الإنجاز"))</f>
        <v/>
      </c>
      <c r="R227" t="str">
        <f t="shared" si="11"/>
        <v/>
      </c>
    </row>
    <row r="228" spans="6:18" x14ac:dyDescent="0.3">
      <c r="F228" t="str">
        <f>IF(B228="","",SUMIFS(DB_All!$M$2:$M$1000,DB_All!$G$2:$G$1000,B228,DB_All!$L$2:$L$1000,"تحت إجراءات التعاقد"))</f>
        <v/>
      </c>
      <c r="G228" t="str">
        <f>IF(B228="","",COUNTIFS(DB_All!$G$2:$G$1000,B228,DB_All!$L$2:$L$1000,"تحت إجراءات التعاقد"))</f>
        <v/>
      </c>
      <c r="H228" t="str">
        <f>IF(B228="","",SUMIFS(DB_All!$N$2:$N$1000,DB_All!$G$2:$G$1000,B228,DB_All!$L$2:$L$1000,"تم التوقيع"))</f>
        <v/>
      </c>
      <c r="I228" t="str">
        <f>IF(B228="","",COUNTIFS(DB_All!$G$2:$G$1000,B228,DB_All!$L$2:$L$1000,"تم التوقيع"))</f>
        <v/>
      </c>
      <c r="J228">
        <f t="shared" si="9"/>
        <v>0</v>
      </c>
      <c r="K228" t="str">
        <f>IF(B228="","",SUMIFS('المطالبات 2026'!$J:$J,'المطالبات 2026'!$E:$E,B228,'المطالبات 2026'!$I:$I,"مطالبة مرفوعة للمالية") + SUMIFS('المطالبات 2025'!$J:$J,'المطالبات 2025'!$E:$E,B228,'المطالبات 2025'!$I:$I,"مطالبة مرفوعة للمالية"))</f>
        <v/>
      </c>
      <c r="L228" t="str">
        <f>IF(B228="","",COUNTIFS('المطالبات 2026'!$E:$E,B228,'المطالبات 2026'!$I:$I,"مطالبة مرفوعة للمالية") + COUNTIFS('المطالبات 2025'!$E:$E,B228,'المطالبات 2025'!$I:$I,"مطالبة مرفوعة للمالية"))</f>
        <v/>
      </c>
      <c r="M228">
        <f t="shared" si="10"/>
        <v>0</v>
      </c>
      <c r="N228" t="str">
        <f>IF(B228="","",SUMIFS(DB_All!$N$2:$N$1000,DB_All!$G$2:$G$1000,B228,DB_All!$L$2:$L$1000,"تحت إجراءات التوريد"))</f>
        <v/>
      </c>
      <c r="O228" t="str">
        <f>IF(B228="","",COUNTIFS(DB_All!$G$2:$G$1000,B228,DB_All!$L$2:$L$1000,"تحت إجراءات التوريد"))</f>
        <v/>
      </c>
      <c r="P228" t="str">
        <f>IF(B228="","",SUMIFS(DB_All!$N$2:$N$1000,DB_All!$G$2:$G$1000,B228,DB_All!$L$2:$L$1000,"بانتظار سندات الاستلام \ شهادة الإنجاز"))</f>
        <v/>
      </c>
      <c r="Q228" t="str">
        <f>IF(B228="","",COUNTIFS(DB_All!$G$2:$G$1000,B228,DB_All!$L$2:$L$1000,"بانتظار سندات الاستلام \ شهادة الإنجاز"))</f>
        <v/>
      </c>
      <c r="R228" t="str">
        <f t="shared" si="11"/>
        <v/>
      </c>
    </row>
    <row r="229" spans="6:18" x14ac:dyDescent="0.3">
      <c r="F229" t="str">
        <f>IF(B229="","",SUMIFS(DB_All!$M$2:$M$1000,DB_All!$G$2:$G$1000,B229,DB_All!$L$2:$L$1000,"تحت إجراءات التعاقد"))</f>
        <v/>
      </c>
      <c r="G229" t="str">
        <f>IF(B229="","",COUNTIFS(DB_All!$G$2:$G$1000,B229,DB_All!$L$2:$L$1000,"تحت إجراءات التعاقد"))</f>
        <v/>
      </c>
      <c r="H229" t="str">
        <f>IF(B229="","",SUMIFS(DB_All!$N$2:$N$1000,DB_All!$G$2:$G$1000,B229,DB_All!$L$2:$L$1000,"تم التوقيع"))</f>
        <v/>
      </c>
      <c r="I229" t="str">
        <f>IF(B229="","",COUNTIFS(DB_All!$G$2:$G$1000,B229,DB_All!$L$2:$L$1000,"تم التوقيع"))</f>
        <v/>
      </c>
      <c r="J229">
        <f t="shared" si="9"/>
        <v>0</v>
      </c>
      <c r="K229" t="str">
        <f>IF(B229="","",SUMIFS('المطالبات 2026'!$J:$J,'المطالبات 2026'!$E:$E,B229,'المطالبات 2026'!$I:$I,"مطالبة مرفوعة للمالية") + SUMIFS('المطالبات 2025'!$J:$J,'المطالبات 2025'!$E:$E,B229,'المطالبات 2025'!$I:$I,"مطالبة مرفوعة للمالية"))</f>
        <v/>
      </c>
      <c r="L229" t="str">
        <f>IF(B229="","",COUNTIFS('المطالبات 2026'!$E:$E,B229,'المطالبات 2026'!$I:$I,"مطالبة مرفوعة للمالية") + COUNTIFS('المطالبات 2025'!$E:$E,B229,'المطالبات 2025'!$I:$I,"مطالبة مرفوعة للمالية"))</f>
        <v/>
      </c>
      <c r="M229">
        <f t="shared" si="10"/>
        <v>0</v>
      </c>
      <c r="N229" t="str">
        <f>IF(B229="","",SUMIFS(DB_All!$N$2:$N$1000,DB_All!$G$2:$G$1000,B229,DB_All!$L$2:$L$1000,"تحت إجراءات التوريد"))</f>
        <v/>
      </c>
      <c r="O229" t="str">
        <f>IF(B229="","",COUNTIFS(DB_All!$G$2:$G$1000,B229,DB_All!$L$2:$L$1000,"تحت إجراءات التوريد"))</f>
        <v/>
      </c>
      <c r="P229" t="str">
        <f>IF(B229="","",SUMIFS(DB_All!$N$2:$N$1000,DB_All!$G$2:$G$1000,B229,DB_All!$L$2:$L$1000,"بانتظار سندات الاستلام \ شهادة الإنجاز"))</f>
        <v/>
      </c>
      <c r="Q229" t="str">
        <f>IF(B229="","",COUNTIFS(DB_All!$G$2:$G$1000,B229,DB_All!$L$2:$L$1000,"بانتظار سندات الاستلام \ شهادة الإنجاز"))</f>
        <v/>
      </c>
      <c r="R229" t="str">
        <f t="shared" si="11"/>
        <v/>
      </c>
    </row>
    <row r="230" spans="6:18" x14ac:dyDescent="0.3">
      <c r="F230" t="str">
        <f>IF(B230="","",SUMIFS(DB_All!$M$2:$M$1000,DB_All!$G$2:$G$1000,B230,DB_All!$L$2:$L$1000,"تحت إجراءات التعاقد"))</f>
        <v/>
      </c>
      <c r="G230" t="str">
        <f>IF(B230="","",COUNTIFS(DB_All!$G$2:$G$1000,B230,DB_All!$L$2:$L$1000,"تحت إجراءات التعاقد"))</f>
        <v/>
      </c>
      <c r="H230" t="str">
        <f>IF(B230="","",SUMIFS(DB_All!$N$2:$N$1000,DB_All!$G$2:$G$1000,B230,DB_All!$L$2:$L$1000,"تم التوقيع"))</f>
        <v/>
      </c>
      <c r="I230" t="str">
        <f>IF(B230="","",COUNTIFS(DB_All!$G$2:$G$1000,B230,DB_All!$L$2:$L$1000,"تم التوقيع"))</f>
        <v/>
      </c>
      <c r="J230">
        <f t="shared" si="9"/>
        <v>0</v>
      </c>
      <c r="K230" t="str">
        <f>IF(B230="","",SUMIFS('المطالبات 2026'!$J:$J,'المطالبات 2026'!$E:$E,B230,'المطالبات 2026'!$I:$I,"مطالبة مرفوعة للمالية") + SUMIFS('المطالبات 2025'!$J:$J,'المطالبات 2025'!$E:$E,B230,'المطالبات 2025'!$I:$I,"مطالبة مرفوعة للمالية"))</f>
        <v/>
      </c>
      <c r="L230" t="str">
        <f>IF(B230="","",COUNTIFS('المطالبات 2026'!$E:$E,B230,'المطالبات 2026'!$I:$I,"مطالبة مرفوعة للمالية") + COUNTIFS('المطالبات 2025'!$E:$E,B230,'المطالبات 2025'!$I:$I,"مطالبة مرفوعة للمالية"))</f>
        <v/>
      </c>
      <c r="M230">
        <f t="shared" si="10"/>
        <v>0</v>
      </c>
      <c r="N230" t="str">
        <f>IF(B230="","",SUMIFS(DB_All!$N$2:$N$1000,DB_All!$G$2:$G$1000,B230,DB_All!$L$2:$L$1000,"تحت إجراءات التوريد"))</f>
        <v/>
      </c>
      <c r="O230" t="str">
        <f>IF(B230="","",COUNTIFS(DB_All!$G$2:$G$1000,B230,DB_All!$L$2:$L$1000,"تحت إجراءات التوريد"))</f>
        <v/>
      </c>
      <c r="P230" t="str">
        <f>IF(B230="","",SUMIFS(DB_All!$N$2:$N$1000,DB_All!$G$2:$G$1000,B230,DB_All!$L$2:$L$1000,"بانتظار سندات الاستلام \ شهادة الإنجاز"))</f>
        <v/>
      </c>
      <c r="Q230" t="str">
        <f>IF(B230="","",COUNTIFS(DB_All!$G$2:$G$1000,B230,DB_All!$L$2:$L$1000,"بانتظار سندات الاستلام \ شهادة الإنجاز"))</f>
        <v/>
      </c>
      <c r="R230" t="str">
        <f t="shared" si="11"/>
        <v/>
      </c>
    </row>
    <row r="231" spans="6:18" x14ac:dyDescent="0.3">
      <c r="F231" t="str">
        <f>IF(B231="","",SUMIFS(DB_All!$M$2:$M$1000,DB_All!$G$2:$G$1000,B231,DB_All!$L$2:$L$1000,"تحت إجراءات التعاقد"))</f>
        <v/>
      </c>
      <c r="G231" t="str">
        <f>IF(B231="","",COUNTIFS(DB_All!$G$2:$G$1000,B231,DB_All!$L$2:$L$1000,"تحت إجراءات التعاقد"))</f>
        <v/>
      </c>
      <c r="H231" t="str">
        <f>IF(B231="","",SUMIFS(DB_All!$N$2:$N$1000,DB_All!$G$2:$G$1000,B231,DB_All!$L$2:$L$1000,"تم التوقيع"))</f>
        <v/>
      </c>
      <c r="I231" t="str">
        <f>IF(B231="","",COUNTIFS(DB_All!$G$2:$G$1000,B231,DB_All!$L$2:$L$1000,"تم التوقيع"))</f>
        <v/>
      </c>
      <c r="J231">
        <f t="shared" si="9"/>
        <v>0</v>
      </c>
      <c r="K231" t="str">
        <f>IF(B231="","",SUMIFS('المطالبات 2026'!$J:$J,'المطالبات 2026'!$E:$E,B231,'المطالبات 2026'!$I:$I,"مطالبة مرفوعة للمالية") + SUMIFS('المطالبات 2025'!$J:$J,'المطالبات 2025'!$E:$E,B231,'المطالبات 2025'!$I:$I,"مطالبة مرفوعة للمالية"))</f>
        <v/>
      </c>
      <c r="L231" t="str">
        <f>IF(B231="","",COUNTIFS('المطالبات 2026'!$E:$E,B231,'المطالبات 2026'!$I:$I,"مطالبة مرفوعة للمالية") + COUNTIFS('المطالبات 2025'!$E:$E,B231,'المطالبات 2025'!$I:$I,"مطالبة مرفوعة للمالية"))</f>
        <v/>
      </c>
      <c r="M231">
        <f t="shared" si="10"/>
        <v>0</v>
      </c>
      <c r="N231" t="str">
        <f>IF(B231="","",SUMIFS(DB_All!$N$2:$N$1000,DB_All!$G$2:$G$1000,B231,DB_All!$L$2:$L$1000,"تحت إجراءات التوريد"))</f>
        <v/>
      </c>
      <c r="O231" t="str">
        <f>IF(B231="","",COUNTIFS(DB_All!$G$2:$G$1000,B231,DB_All!$L$2:$L$1000,"تحت إجراءات التوريد"))</f>
        <v/>
      </c>
      <c r="P231" t="str">
        <f>IF(B231="","",SUMIFS(DB_All!$N$2:$N$1000,DB_All!$G$2:$G$1000,B231,DB_All!$L$2:$L$1000,"بانتظار سندات الاستلام \ شهادة الإنجاز"))</f>
        <v/>
      </c>
      <c r="Q231" t="str">
        <f>IF(B231="","",COUNTIFS(DB_All!$G$2:$G$1000,B231,DB_All!$L$2:$L$1000,"بانتظار سندات الاستلام \ شهادة الإنجاز"))</f>
        <v/>
      </c>
      <c r="R231" t="str">
        <f t="shared" si="11"/>
        <v/>
      </c>
    </row>
    <row r="232" spans="6:18" x14ac:dyDescent="0.3">
      <c r="F232" t="str">
        <f>IF(B232="","",SUMIFS(DB_All!$M$2:$M$1000,DB_All!$G$2:$G$1000,B232,DB_All!$L$2:$L$1000,"تحت إجراءات التعاقد"))</f>
        <v/>
      </c>
      <c r="G232" t="str">
        <f>IF(B232="","",COUNTIFS(DB_All!$G$2:$G$1000,B232,DB_All!$L$2:$L$1000,"تحت إجراءات التعاقد"))</f>
        <v/>
      </c>
      <c r="H232" t="str">
        <f>IF(B232="","",SUMIFS(DB_All!$N$2:$N$1000,DB_All!$G$2:$G$1000,B232,DB_All!$L$2:$L$1000,"تم التوقيع"))</f>
        <v/>
      </c>
      <c r="I232" t="str">
        <f>IF(B232="","",COUNTIFS(DB_All!$G$2:$G$1000,B232,DB_All!$L$2:$L$1000,"تم التوقيع"))</f>
        <v/>
      </c>
      <c r="J232">
        <f t="shared" si="9"/>
        <v>0</v>
      </c>
      <c r="K232" t="str">
        <f>IF(B232="","",SUMIFS('المطالبات 2026'!$J:$J,'المطالبات 2026'!$E:$E,B232,'المطالبات 2026'!$I:$I,"مطالبة مرفوعة للمالية") + SUMIFS('المطالبات 2025'!$J:$J,'المطالبات 2025'!$E:$E,B232,'المطالبات 2025'!$I:$I,"مطالبة مرفوعة للمالية"))</f>
        <v/>
      </c>
      <c r="L232" t="str">
        <f>IF(B232="","",COUNTIFS('المطالبات 2026'!$E:$E,B232,'المطالبات 2026'!$I:$I,"مطالبة مرفوعة للمالية") + COUNTIFS('المطالبات 2025'!$E:$E,B232,'المطالبات 2025'!$I:$I,"مطالبة مرفوعة للمالية"))</f>
        <v/>
      </c>
      <c r="M232">
        <f t="shared" si="10"/>
        <v>0</v>
      </c>
      <c r="N232" t="str">
        <f>IF(B232="","",SUMIFS(DB_All!$N$2:$N$1000,DB_All!$G$2:$G$1000,B232,DB_All!$L$2:$L$1000,"تحت إجراءات التوريد"))</f>
        <v/>
      </c>
      <c r="O232" t="str">
        <f>IF(B232="","",COUNTIFS(DB_All!$G$2:$G$1000,B232,DB_All!$L$2:$L$1000,"تحت إجراءات التوريد"))</f>
        <v/>
      </c>
      <c r="P232" t="str">
        <f>IF(B232="","",SUMIFS(DB_All!$N$2:$N$1000,DB_All!$G$2:$G$1000,B232,DB_All!$L$2:$L$1000,"بانتظار سندات الاستلام \ شهادة الإنجاز"))</f>
        <v/>
      </c>
      <c r="Q232" t="str">
        <f>IF(B232="","",COUNTIFS(DB_All!$G$2:$G$1000,B232,DB_All!$L$2:$L$1000,"بانتظار سندات الاستلام \ شهادة الإنجاز"))</f>
        <v/>
      </c>
      <c r="R232" t="str">
        <f t="shared" si="11"/>
        <v/>
      </c>
    </row>
    <row r="233" spans="6:18" x14ac:dyDescent="0.3">
      <c r="F233" t="str">
        <f>IF(B233="","",SUMIFS(DB_All!$M$2:$M$1000,DB_All!$G$2:$G$1000,B233,DB_All!$L$2:$L$1000,"تحت إجراءات التعاقد"))</f>
        <v/>
      </c>
      <c r="G233" t="str">
        <f>IF(B233="","",COUNTIFS(DB_All!$G$2:$G$1000,B233,DB_All!$L$2:$L$1000,"تحت إجراءات التعاقد"))</f>
        <v/>
      </c>
      <c r="H233" t="str">
        <f>IF(B233="","",SUMIFS(DB_All!$N$2:$N$1000,DB_All!$G$2:$G$1000,B233,DB_All!$L$2:$L$1000,"تم التوقيع"))</f>
        <v/>
      </c>
      <c r="I233" t="str">
        <f>IF(B233="","",COUNTIFS(DB_All!$G$2:$G$1000,B233,DB_All!$L$2:$L$1000,"تم التوقيع"))</f>
        <v/>
      </c>
      <c r="J233">
        <f t="shared" si="9"/>
        <v>0</v>
      </c>
      <c r="K233" t="str">
        <f>IF(B233="","",SUMIFS('المطالبات 2026'!$J:$J,'المطالبات 2026'!$E:$E,B233,'المطالبات 2026'!$I:$I,"مطالبة مرفوعة للمالية") + SUMIFS('المطالبات 2025'!$J:$J,'المطالبات 2025'!$E:$E,B233,'المطالبات 2025'!$I:$I,"مطالبة مرفوعة للمالية"))</f>
        <v/>
      </c>
      <c r="L233" t="str">
        <f>IF(B233="","",COUNTIFS('المطالبات 2026'!$E:$E,B233,'المطالبات 2026'!$I:$I,"مطالبة مرفوعة للمالية") + COUNTIFS('المطالبات 2025'!$E:$E,B233,'المطالبات 2025'!$I:$I,"مطالبة مرفوعة للمالية"))</f>
        <v/>
      </c>
      <c r="M233">
        <f t="shared" si="10"/>
        <v>0</v>
      </c>
      <c r="N233" t="str">
        <f>IF(B233="","",SUMIFS(DB_All!$N$2:$N$1000,DB_All!$G$2:$G$1000,B233,DB_All!$L$2:$L$1000,"تحت إجراءات التوريد"))</f>
        <v/>
      </c>
      <c r="O233" t="str">
        <f>IF(B233="","",COUNTIFS(DB_All!$G$2:$G$1000,B233,DB_All!$L$2:$L$1000,"تحت إجراءات التوريد"))</f>
        <v/>
      </c>
      <c r="P233" t="str">
        <f>IF(B233="","",SUMIFS(DB_All!$N$2:$N$1000,DB_All!$G$2:$G$1000,B233,DB_All!$L$2:$L$1000,"بانتظار سندات الاستلام \ شهادة الإنجاز"))</f>
        <v/>
      </c>
      <c r="Q233" t="str">
        <f>IF(B233="","",COUNTIFS(DB_All!$G$2:$G$1000,B233,DB_All!$L$2:$L$1000,"بانتظار سندات الاستلام \ شهادة الإنجاز"))</f>
        <v/>
      </c>
      <c r="R233" t="str">
        <f t="shared" si="11"/>
        <v/>
      </c>
    </row>
    <row r="234" spans="6:18" x14ac:dyDescent="0.3">
      <c r="F234" t="str">
        <f>IF(B234="","",SUMIFS(DB_All!$M$2:$M$1000,DB_All!$G$2:$G$1000,B234,DB_All!$L$2:$L$1000,"تحت إجراءات التعاقد"))</f>
        <v/>
      </c>
      <c r="G234" t="str">
        <f>IF(B234="","",COUNTIFS(DB_All!$G$2:$G$1000,B234,DB_All!$L$2:$L$1000,"تحت إجراءات التعاقد"))</f>
        <v/>
      </c>
      <c r="H234" t="str">
        <f>IF(B234="","",SUMIFS(DB_All!$N$2:$N$1000,DB_All!$G$2:$G$1000,B234,DB_All!$L$2:$L$1000,"تم التوقيع"))</f>
        <v/>
      </c>
      <c r="I234" t="str">
        <f>IF(B234="","",COUNTIFS(DB_All!$G$2:$G$1000,B234,DB_All!$L$2:$L$1000,"تم التوقيع"))</f>
        <v/>
      </c>
      <c r="J234">
        <f t="shared" si="9"/>
        <v>0</v>
      </c>
      <c r="K234" t="str">
        <f>IF(B234="","",SUMIFS('المطالبات 2026'!$J:$J,'المطالبات 2026'!$E:$E,B234,'المطالبات 2026'!$I:$I,"مطالبة مرفوعة للمالية") + SUMIFS('المطالبات 2025'!$J:$J,'المطالبات 2025'!$E:$E,B234,'المطالبات 2025'!$I:$I,"مطالبة مرفوعة للمالية"))</f>
        <v/>
      </c>
      <c r="L234" t="str">
        <f>IF(B234="","",COUNTIFS('المطالبات 2026'!$E:$E,B234,'المطالبات 2026'!$I:$I,"مطالبة مرفوعة للمالية") + COUNTIFS('المطالبات 2025'!$E:$E,B234,'المطالبات 2025'!$I:$I,"مطالبة مرفوعة للمالية"))</f>
        <v/>
      </c>
      <c r="M234">
        <f t="shared" si="10"/>
        <v>0</v>
      </c>
      <c r="N234" t="str">
        <f>IF(B234="","",SUMIFS(DB_All!$N$2:$N$1000,DB_All!$G$2:$G$1000,B234,DB_All!$L$2:$L$1000,"تحت إجراءات التوريد"))</f>
        <v/>
      </c>
      <c r="O234" t="str">
        <f>IF(B234="","",COUNTIFS(DB_All!$G$2:$G$1000,B234,DB_All!$L$2:$L$1000,"تحت إجراءات التوريد"))</f>
        <v/>
      </c>
      <c r="P234" t="str">
        <f>IF(B234="","",SUMIFS(DB_All!$N$2:$N$1000,DB_All!$G$2:$G$1000,B234,DB_All!$L$2:$L$1000,"بانتظار سندات الاستلام \ شهادة الإنجاز"))</f>
        <v/>
      </c>
      <c r="Q234" t="str">
        <f>IF(B234="","",COUNTIFS(DB_All!$G$2:$G$1000,B234,DB_All!$L$2:$L$1000,"بانتظار سندات الاستلام \ شهادة الإنجاز"))</f>
        <v/>
      </c>
      <c r="R234" t="str">
        <f t="shared" si="11"/>
        <v/>
      </c>
    </row>
    <row r="235" spans="6:18" x14ac:dyDescent="0.3">
      <c r="F235" t="str">
        <f>IF(B235="","",SUMIFS(DB_All!$M$2:$M$1000,DB_All!$G$2:$G$1000,B235,DB_All!$L$2:$L$1000,"تحت إجراءات التعاقد"))</f>
        <v/>
      </c>
      <c r="G235" t="str">
        <f>IF(B235="","",COUNTIFS(DB_All!$G$2:$G$1000,B235,DB_All!$L$2:$L$1000,"تحت إجراءات التعاقد"))</f>
        <v/>
      </c>
      <c r="H235" t="str">
        <f>IF(B235="","",SUMIFS(DB_All!$N$2:$N$1000,DB_All!$G$2:$G$1000,B235,DB_All!$L$2:$L$1000,"تم التوقيع"))</f>
        <v/>
      </c>
      <c r="I235" t="str">
        <f>IF(B235="","",COUNTIFS(DB_All!$G$2:$G$1000,B235,DB_All!$L$2:$L$1000,"تم التوقيع"))</f>
        <v/>
      </c>
      <c r="J235">
        <f t="shared" si="9"/>
        <v>0</v>
      </c>
      <c r="K235" t="str">
        <f>IF(B235="","",SUMIFS('المطالبات 2026'!$J:$J,'المطالبات 2026'!$E:$E,B235,'المطالبات 2026'!$I:$I,"مطالبة مرفوعة للمالية") + SUMIFS('المطالبات 2025'!$J:$J,'المطالبات 2025'!$E:$E,B235,'المطالبات 2025'!$I:$I,"مطالبة مرفوعة للمالية"))</f>
        <v/>
      </c>
      <c r="L235" t="str">
        <f>IF(B235="","",COUNTIFS('المطالبات 2026'!$E:$E,B235,'المطالبات 2026'!$I:$I,"مطالبة مرفوعة للمالية") + COUNTIFS('المطالبات 2025'!$E:$E,B235,'المطالبات 2025'!$I:$I,"مطالبة مرفوعة للمالية"))</f>
        <v/>
      </c>
      <c r="M235">
        <f t="shared" si="10"/>
        <v>0</v>
      </c>
      <c r="N235" t="str">
        <f>IF(B235="","",SUMIFS(DB_All!$N$2:$N$1000,DB_All!$G$2:$G$1000,B235,DB_All!$L$2:$L$1000,"تحت إجراءات التوريد"))</f>
        <v/>
      </c>
      <c r="O235" t="str">
        <f>IF(B235="","",COUNTIFS(DB_All!$G$2:$G$1000,B235,DB_All!$L$2:$L$1000,"تحت إجراءات التوريد"))</f>
        <v/>
      </c>
      <c r="P235" t="str">
        <f>IF(B235="","",SUMIFS(DB_All!$N$2:$N$1000,DB_All!$G$2:$G$1000,B235,DB_All!$L$2:$L$1000,"بانتظار سندات الاستلام \ شهادة الإنجاز"))</f>
        <v/>
      </c>
      <c r="Q235" t="str">
        <f>IF(B235="","",COUNTIFS(DB_All!$G$2:$G$1000,B235,DB_All!$L$2:$L$1000,"بانتظار سندات الاستلام \ شهادة الإنجاز"))</f>
        <v/>
      </c>
      <c r="R235" t="str">
        <f t="shared" si="11"/>
        <v/>
      </c>
    </row>
    <row r="236" spans="6:18" x14ac:dyDescent="0.3">
      <c r="F236" t="str">
        <f>IF(B236="","",SUMIFS(DB_All!$M$2:$M$1000,DB_All!$G$2:$G$1000,B236,DB_All!$L$2:$L$1000,"تحت إجراءات التعاقد"))</f>
        <v/>
      </c>
      <c r="G236" t="str">
        <f>IF(B236="","",COUNTIFS(DB_All!$G$2:$G$1000,B236,DB_All!$L$2:$L$1000,"تحت إجراءات التعاقد"))</f>
        <v/>
      </c>
      <c r="H236" t="str">
        <f>IF(B236="","",SUMIFS(DB_All!$N$2:$N$1000,DB_All!$G$2:$G$1000,B236,DB_All!$L$2:$L$1000,"تم التوقيع"))</f>
        <v/>
      </c>
      <c r="I236" t="str">
        <f>IF(B236="","",COUNTIFS(DB_All!$G$2:$G$1000,B236,DB_All!$L$2:$L$1000,"تم التوقيع"))</f>
        <v/>
      </c>
      <c r="J236">
        <f t="shared" si="9"/>
        <v>0</v>
      </c>
      <c r="K236" t="str">
        <f>IF(B236="","",SUMIFS('المطالبات 2026'!$J:$J,'المطالبات 2026'!$E:$E,B236,'المطالبات 2026'!$I:$I,"مطالبة مرفوعة للمالية") + SUMIFS('المطالبات 2025'!$J:$J,'المطالبات 2025'!$E:$E,B236,'المطالبات 2025'!$I:$I,"مطالبة مرفوعة للمالية"))</f>
        <v/>
      </c>
      <c r="L236" t="str">
        <f>IF(B236="","",COUNTIFS('المطالبات 2026'!$E:$E,B236,'المطالبات 2026'!$I:$I,"مطالبة مرفوعة للمالية") + COUNTIFS('المطالبات 2025'!$E:$E,B236,'المطالبات 2025'!$I:$I,"مطالبة مرفوعة للمالية"))</f>
        <v/>
      </c>
      <c r="M236">
        <f t="shared" si="10"/>
        <v>0</v>
      </c>
      <c r="N236" t="str">
        <f>IF(B236="","",SUMIFS(DB_All!$N$2:$N$1000,DB_All!$G$2:$G$1000,B236,DB_All!$L$2:$L$1000,"تحت إجراءات التوريد"))</f>
        <v/>
      </c>
      <c r="O236" t="str">
        <f>IF(B236="","",COUNTIFS(DB_All!$G$2:$G$1000,B236,DB_All!$L$2:$L$1000,"تحت إجراءات التوريد"))</f>
        <v/>
      </c>
      <c r="P236" t="str">
        <f>IF(B236="","",SUMIFS(DB_All!$N$2:$N$1000,DB_All!$G$2:$G$1000,B236,DB_All!$L$2:$L$1000,"بانتظار سندات الاستلام \ شهادة الإنجاز"))</f>
        <v/>
      </c>
      <c r="Q236" t="str">
        <f>IF(B236="","",COUNTIFS(DB_All!$G$2:$G$1000,B236,DB_All!$L$2:$L$1000,"بانتظار سندات الاستلام \ شهادة الإنجاز"))</f>
        <v/>
      </c>
      <c r="R236" t="str">
        <f t="shared" si="11"/>
        <v/>
      </c>
    </row>
    <row r="237" spans="6:18" x14ac:dyDescent="0.3">
      <c r="F237" t="str">
        <f>IF(B237="","",SUMIFS(DB_All!$M$2:$M$1000,DB_All!$G$2:$G$1000,B237,DB_All!$L$2:$L$1000,"تحت إجراءات التعاقد"))</f>
        <v/>
      </c>
      <c r="G237" t="str">
        <f>IF(B237="","",COUNTIFS(DB_All!$G$2:$G$1000,B237,DB_All!$L$2:$L$1000,"تحت إجراءات التعاقد"))</f>
        <v/>
      </c>
      <c r="H237" t="str">
        <f>IF(B237="","",SUMIFS(DB_All!$N$2:$N$1000,DB_All!$G$2:$G$1000,B237,DB_All!$L$2:$L$1000,"تم التوقيع"))</f>
        <v/>
      </c>
      <c r="I237" t="str">
        <f>IF(B237="","",COUNTIFS(DB_All!$G$2:$G$1000,B237,DB_All!$L$2:$L$1000,"تم التوقيع"))</f>
        <v/>
      </c>
      <c r="J237">
        <f t="shared" si="9"/>
        <v>0</v>
      </c>
      <c r="K237" t="str">
        <f>IF(B237="","",SUMIFS('المطالبات 2026'!$J:$J,'المطالبات 2026'!$E:$E,B237,'المطالبات 2026'!$I:$I,"مطالبة مرفوعة للمالية") + SUMIFS('المطالبات 2025'!$J:$J,'المطالبات 2025'!$E:$E,B237,'المطالبات 2025'!$I:$I,"مطالبة مرفوعة للمالية"))</f>
        <v/>
      </c>
      <c r="L237" t="str">
        <f>IF(B237="","",COUNTIFS('المطالبات 2026'!$E:$E,B237,'المطالبات 2026'!$I:$I,"مطالبة مرفوعة للمالية") + COUNTIFS('المطالبات 2025'!$E:$E,B237,'المطالبات 2025'!$I:$I,"مطالبة مرفوعة للمالية"))</f>
        <v/>
      </c>
      <c r="M237">
        <f t="shared" si="10"/>
        <v>0</v>
      </c>
      <c r="N237" t="str">
        <f>IF(B237="","",SUMIFS(DB_All!$N$2:$N$1000,DB_All!$G$2:$G$1000,B237,DB_All!$L$2:$L$1000,"تحت إجراءات التوريد"))</f>
        <v/>
      </c>
      <c r="O237" t="str">
        <f>IF(B237="","",COUNTIFS(DB_All!$G$2:$G$1000,B237,DB_All!$L$2:$L$1000,"تحت إجراءات التوريد"))</f>
        <v/>
      </c>
      <c r="P237" t="str">
        <f>IF(B237="","",SUMIFS(DB_All!$N$2:$N$1000,DB_All!$G$2:$G$1000,B237,DB_All!$L$2:$L$1000,"بانتظار سندات الاستلام \ شهادة الإنجاز"))</f>
        <v/>
      </c>
      <c r="Q237" t="str">
        <f>IF(B237="","",COUNTIFS(DB_All!$G$2:$G$1000,B237,DB_All!$L$2:$L$1000,"بانتظار سندات الاستلام \ شهادة الإنجاز"))</f>
        <v/>
      </c>
      <c r="R237" t="str">
        <f t="shared" si="11"/>
        <v/>
      </c>
    </row>
    <row r="238" spans="6:18" x14ac:dyDescent="0.3">
      <c r="F238" t="str">
        <f>IF(B238="","",SUMIFS(DB_All!$M$2:$M$1000,DB_All!$G$2:$G$1000,B238,DB_All!$L$2:$L$1000,"تحت إجراءات التعاقد"))</f>
        <v/>
      </c>
      <c r="G238" t="str">
        <f>IF(B238="","",COUNTIFS(DB_All!$G$2:$G$1000,B238,DB_All!$L$2:$L$1000,"تحت إجراءات التعاقد"))</f>
        <v/>
      </c>
      <c r="H238" t="str">
        <f>IF(B238="","",SUMIFS(DB_All!$N$2:$N$1000,DB_All!$G$2:$G$1000,B238,DB_All!$L$2:$L$1000,"تم التوقيع"))</f>
        <v/>
      </c>
      <c r="I238" t="str">
        <f>IF(B238="","",COUNTIFS(DB_All!$G$2:$G$1000,B238,DB_All!$L$2:$L$1000,"تم التوقيع"))</f>
        <v/>
      </c>
      <c r="J238">
        <f t="shared" si="9"/>
        <v>0</v>
      </c>
      <c r="K238" t="str">
        <f>IF(B238="","",SUMIFS('المطالبات 2026'!$J:$J,'المطالبات 2026'!$E:$E,B238,'المطالبات 2026'!$I:$I,"مطالبة مرفوعة للمالية") + SUMIFS('المطالبات 2025'!$J:$J,'المطالبات 2025'!$E:$E,B238,'المطالبات 2025'!$I:$I,"مطالبة مرفوعة للمالية"))</f>
        <v/>
      </c>
      <c r="L238" t="str">
        <f>IF(B238="","",COUNTIFS('المطالبات 2026'!$E:$E,B238,'المطالبات 2026'!$I:$I,"مطالبة مرفوعة للمالية") + COUNTIFS('المطالبات 2025'!$E:$E,B238,'المطالبات 2025'!$I:$I,"مطالبة مرفوعة للمالية"))</f>
        <v/>
      </c>
      <c r="M238">
        <f t="shared" si="10"/>
        <v>0</v>
      </c>
      <c r="N238" t="str">
        <f>IF(B238="","",SUMIFS(DB_All!$N$2:$N$1000,DB_All!$G$2:$G$1000,B238,DB_All!$L$2:$L$1000,"تحت إجراءات التوريد"))</f>
        <v/>
      </c>
      <c r="O238" t="str">
        <f>IF(B238="","",COUNTIFS(DB_All!$G$2:$G$1000,B238,DB_All!$L$2:$L$1000,"تحت إجراءات التوريد"))</f>
        <v/>
      </c>
      <c r="P238" t="str">
        <f>IF(B238="","",SUMIFS(DB_All!$N$2:$N$1000,DB_All!$G$2:$G$1000,B238,DB_All!$L$2:$L$1000,"بانتظار سندات الاستلام \ شهادة الإنجاز"))</f>
        <v/>
      </c>
      <c r="Q238" t="str">
        <f>IF(B238="","",COUNTIFS(DB_All!$G$2:$G$1000,B238,DB_All!$L$2:$L$1000,"بانتظار سندات الاستلام \ شهادة الإنجاز"))</f>
        <v/>
      </c>
      <c r="R238" t="str">
        <f t="shared" si="11"/>
        <v/>
      </c>
    </row>
    <row r="239" spans="6:18" x14ac:dyDescent="0.3">
      <c r="F239" t="str">
        <f>IF(B239="","",SUMIFS(DB_All!$M$2:$M$1000,DB_All!$G$2:$G$1000,B239,DB_All!$L$2:$L$1000,"تحت إجراءات التعاقد"))</f>
        <v/>
      </c>
      <c r="G239" t="str">
        <f>IF(B239="","",COUNTIFS(DB_All!$G$2:$G$1000,B239,DB_All!$L$2:$L$1000,"تحت إجراءات التعاقد"))</f>
        <v/>
      </c>
      <c r="H239" t="str">
        <f>IF(B239="","",SUMIFS(DB_All!$N$2:$N$1000,DB_All!$G$2:$G$1000,B239,DB_All!$L$2:$L$1000,"تم التوقيع"))</f>
        <v/>
      </c>
      <c r="I239" t="str">
        <f>IF(B239="","",COUNTIFS(DB_All!$G$2:$G$1000,B239,DB_All!$L$2:$L$1000,"تم التوقيع"))</f>
        <v/>
      </c>
      <c r="J239">
        <f t="shared" si="9"/>
        <v>0</v>
      </c>
      <c r="K239" t="str">
        <f>IF(B239="","",SUMIFS('المطالبات 2026'!$J:$J,'المطالبات 2026'!$E:$E,B239,'المطالبات 2026'!$I:$I,"مطالبة مرفوعة للمالية") + SUMIFS('المطالبات 2025'!$J:$J,'المطالبات 2025'!$E:$E,B239,'المطالبات 2025'!$I:$I,"مطالبة مرفوعة للمالية"))</f>
        <v/>
      </c>
      <c r="L239" t="str">
        <f>IF(B239="","",COUNTIFS('المطالبات 2026'!$E:$E,B239,'المطالبات 2026'!$I:$I,"مطالبة مرفوعة للمالية") + COUNTIFS('المطالبات 2025'!$E:$E,B239,'المطالبات 2025'!$I:$I,"مطالبة مرفوعة للمالية"))</f>
        <v/>
      </c>
      <c r="M239">
        <f t="shared" si="10"/>
        <v>0</v>
      </c>
      <c r="N239" t="str">
        <f>IF(B239="","",SUMIFS(DB_All!$N$2:$N$1000,DB_All!$G$2:$G$1000,B239,DB_All!$L$2:$L$1000,"تحت إجراءات التوريد"))</f>
        <v/>
      </c>
      <c r="O239" t="str">
        <f>IF(B239="","",COUNTIFS(DB_All!$G$2:$G$1000,B239,DB_All!$L$2:$L$1000,"تحت إجراءات التوريد"))</f>
        <v/>
      </c>
      <c r="P239" t="str">
        <f>IF(B239="","",SUMIFS(DB_All!$N$2:$N$1000,DB_All!$G$2:$G$1000,B239,DB_All!$L$2:$L$1000,"بانتظار سندات الاستلام \ شهادة الإنجاز"))</f>
        <v/>
      </c>
      <c r="Q239" t="str">
        <f>IF(B239="","",COUNTIFS(DB_All!$G$2:$G$1000,B239,DB_All!$L$2:$L$1000,"بانتظار سندات الاستلام \ شهادة الإنجاز"))</f>
        <v/>
      </c>
      <c r="R239" t="str">
        <f t="shared" si="11"/>
        <v/>
      </c>
    </row>
    <row r="240" spans="6:18" x14ac:dyDescent="0.3">
      <c r="F240" t="str">
        <f>IF(B240="","",SUMIFS(DB_All!$M$2:$M$1000,DB_All!$G$2:$G$1000,B240,DB_All!$L$2:$L$1000,"تحت إجراءات التعاقد"))</f>
        <v/>
      </c>
      <c r="G240" t="str">
        <f>IF(B240="","",COUNTIFS(DB_All!$G$2:$G$1000,B240,DB_All!$L$2:$L$1000,"تحت إجراءات التعاقد"))</f>
        <v/>
      </c>
      <c r="H240" t="str">
        <f>IF(B240="","",SUMIFS(DB_All!$N$2:$N$1000,DB_All!$G$2:$G$1000,B240,DB_All!$L$2:$L$1000,"تم التوقيع"))</f>
        <v/>
      </c>
      <c r="I240" t="str">
        <f>IF(B240="","",COUNTIFS(DB_All!$G$2:$G$1000,B240,DB_All!$L$2:$L$1000,"تم التوقيع"))</f>
        <v/>
      </c>
      <c r="J240">
        <f t="shared" si="9"/>
        <v>0</v>
      </c>
      <c r="K240" t="str">
        <f>IF(B240="","",SUMIFS('المطالبات 2026'!$J:$J,'المطالبات 2026'!$E:$E,B240,'المطالبات 2026'!$I:$I,"مطالبة مرفوعة للمالية") + SUMIFS('المطالبات 2025'!$J:$J,'المطالبات 2025'!$E:$E,B240,'المطالبات 2025'!$I:$I,"مطالبة مرفوعة للمالية"))</f>
        <v/>
      </c>
      <c r="L240" t="str">
        <f>IF(B240="","",COUNTIFS('المطالبات 2026'!$E:$E,B240,'المطالبات 2026'!$I:$I,"مطالبة مرفوعة للمالية") + COUNTIFS('المطالبات 2025'!$E:$E,B240,'المطالبات 2025'!$I:$I,"مطالبة مرفوعة للمالية"))</f>
        <v/>
      </c>
      <c r="M240">
        <f t="shared" si="10"/>
        <v>0</v>
      </c>
      <c r="N240" t="str">
        <f>IF(B240="","",SUMIFS(DB_All!$N$2:$N$1000,DB_All!$G$2:$G$1000,B240,DB_All!$L$2:$L$1000,"تحت إجراءات التوريد"))</f>
        <v/>
      </c>
      <c r="O240" t="str">
        <f>IF(B240="","",COUNTIFS(DB_All!$G$2:$G$1000,B240,DB_All!$L$2:$L$1000,"تحت إجراءات التوريد"))</f>
        <v/>
      </c>
      <c r="P240" t="str">
        <f>IF(B240="","",SUMIFS(DB_All!$N$2:$N$1000,DB_All!$G$2:$G$1000,B240,DB_All!$L$2:$L$1000,"بانتظار سندات الاستلام \ شهادة الإنجاز"))</f>
        <v/>
      </c>
      <c r="Q240" t="str">
        <f>IF(B240="","",COUNTIFS(DB_All!$G$2:$G$1000,B240,DB_All!$L$2:$L$1000,"بانتظار سندات الاستلام \ شهادة الإنجاز"))</f>
        <v/>
      </c>
      <c r="R240" t="str">
        <f t="shared" si="11"/>
        <v/>
      </c>
    </row>
    <row r="241" spans="6:18" x14ac:dyDescent="0.3">
      <c r="F241" t="str">
        <f>IF(B241="","",SUMIFS(DB_All!$M$2:$M$1000,DB_All!$G$2:$G$1000,B241,DB_All!$L$2:$L$1000,"تحت إجراءات التعاقد"))</f>
        <v/>
      </c>
      <c r="G241" t="str">
        <f>IF(B241="","",COUNTIFS(DB_All!$G$2:$G$1000,B241,DB_All!$L$2:$L$1000,"تحت إجراءات التعاقد"))</f>
        <v/>
      </c>
      <c r="H241" t="str">
        <f>IF(B241="","",SUMIFS(DB_All!$N$2:$N$1000,DB_All!$G$2:$G$1000,B241,DB_All!$L$2:$L$1000,"تم التوقيع"))</f>
        <v/>
      </c>
      <c r="I241" t="str">
        <f>IF(B241="","",COUNTIFS(DB_All!$G$2:$G$1000,B241,DB_All!$L$2:$L$1000,"تم التوقيع"))</f>
        <v/>
      </c>
      <c r="J241">
        <f t="shared" si="9"/>
        <v>0</v>
      </c>
      <c r="K241" t="str">
        <f>IF(B241="","",SUMIFS('المطالبات 2026'!$J:$J,'المطالبات 2026'!$E:$E,B241,'المطالبات 2026'!$I:$I,"مطالبة مرفوعة للمالية") + SUMIFS('المطالبات 2025'!$J:$J,'المطالبات 2025'!$E:$E,B241,'المطالبات 2025'!$I:$I,"مطالبة مرفوعة للمالية"))</f>
        <v/>
      </c>
      <c r="L241" t="str">
        <f>IF(B241="","",COUNTIFS('المطالبات 2026'!$E:$E,B241,'المطالبات 2026'!$I:$I,"مطالبة مرفوعة للمالية") + COUNTIFS('المطالبات 2025'!$E:$E,B241,'المطالبات 2025'!$I:$I,"مطالبة مرفوعة للمالية"))</f>
        <v/>
      </c>
      <c r="M241">
        <f t="shared" si="10"/>
        <v>0</v>
      </c>
      <c r="N241" t="str">
        <f>IF(B241="","",SUMIFS(DB_All!$N$2:$N$1000,DB_All!$G$2:$G$1000,B241,DB_All!$L$2:$L$1000,"تحت إجراءات التوريد"))</f>
        <v/>
      </c>
      <c r="O241" t="str">
        <f>IF(B241="","",COUNTIFS(DB_All!$G$2:$G$1000,B241,DB_All!$L$2:$L$1000,"تحت إجراءات التوريد"))</f>
        <v/>
      </c>
      <c r="P241" t="str">
        <f>IF(B241="","",SUMIFS(DB_All!$N$2:$N$1000,DB_All!$G$2:$G$1000,B241,DB_All!$L$2:$L$1000,"بانتظار سندات الاستلام \ شهادة الإنجاز"))</f>
        <v/>
      </c>
      <c r="Q241" t="str">
        <f>IF(B241="","",COUNTIFS(DB_All!$G$2:$G$1000,B241,DB_All!$L$2:$L$1000,"بانتظار سندات الاستلام \ شهادة الإنجاز"))</f>
        <v/>
      </c>
      <c r="R241" t="str">
        <f t="shared" si="11"/>
        <v/>
      </c>
    </row>
    <row r="242" spans="6:18" x14ac:dyDescent="0.3">
      <c r="F242" t="str">
        <f>IF(B242="","",SUMIFS(DB_All!$M$2:$M$1000,DB_All!$G$2:$G$1000,B242,DB_All!$L$2:$L$1000,"تحت إجراءات التعاقد"))</f>
        <v/>
      </c>
      <c r="G242" t="str">
        <f>IF(B242="","",COUNTIFS(DB_All!$G$2:$G$1000,B242,DB_All!$L$2:$L$1000,"تحت إجراءات التعاقد"))</f>
        <v/>
      </c>
      <c r="H242" t="str">
        <f>IF(B242="","",SUMIFS(DB_All!$N$2:$N$1000,DB_All!$G$2:$G$1000,B242,DB_All!$L$2:$L$1000,"تم التوقيع"))</f>
        <v/>
      </c>
      <c r="I242" t="str">
        <f>IF(B242="","",COUNTIFS(DB_All!$G$2:$G$1000,B242,DB_All!$L$2:$L$1000,"تم التوقيع"))</f>
        <v/>
      </c>
      <c r="J242">
        <f t="shared" si="9"/>
        <v>0</v>
      </c>
      <c r="K242" t="str">
        <f>IF(B242="","",SUMIFS('المطالبات 2026'!$J:$J,'المطالبات 2026'!$E:$E,B242,'المطالبات 2026'!$I:$I,"مطالبة مرفوعة للمالية") + SUMIFS('المطالبات 2025'!$J:$J,'المطالبات 2025'!$E:$E,B242,'المطالبات 2025'!$I:$I,"مطالبة مرفوعة للمالية"))</f>
        <v/>
      </c>
      <c r="L242" t="str">
        <f>IF(B242="","",COUNTIFS('المطالبات 2026'!$E:$E,B242,'المطالبات 2026'!$I:$I,"مطالبة مرفوعة للمالية") + COUNTIFS('المطالبات 2025'!$E:$E,B242,'المطالبات 2025'!$I:$I,"مطالبة مرفوعة للمالية"))</f>
        <v/>
      </c>
      <c r="M242">
        <f t="shared" si="10"/>
        <v>0</v>
      </c>
      <c r="N242" t="str">
        <f>IF(B242="","",SUMIFS(DB_All!$N$2:$N$1000,DB_All!$G$2:$G$1000,B242,DB_All!$L$2:$L$1000,"تحت إجراءات التوريد"))</f>
        <v/>
      </c>
      <c r="O242" t="str">
        <f>IF(B242="","",COUNTIFS(DB_All!$G$2:$G$1000,B242,DB_All!$L$2:$L$1000,"تحت إجراءات التوريد"))</f>
        <v/>
      </c>
      <c r="P242" t="str">
        <f>IF(B242="","",SUMIFS(DB_All!$N$2:$N$1000,DB_All!$G$2:$G$1000,B242,DB_All!$L$2:$L$1000,"بانتظار سندات الاستلام \ شهادة الإنجاز"))</f>
        <v/>
      </c>
      <c r="Q242" t="str">
        <f>IF(B242="","",COUNTIFS(DB_All!$G$2:$G$1000,B242,DB_All!$L$2:$L$1000,"بانتظار سندات الاستلام \ شهادة الإنجاز"))</f>
        <v/>
      </c>
      <c r="R242" t="str">
        <f t="shared" si="11"/>
        <v/>
      </c>
    </row>
    <row r="243" spans="6:18" x14ac:dyDescent="0.3">
      <c r="F243" t="str">
        <f>IF(B243="","",SUMIFS(DB_All!$M$2:$M$1000,DB_All!$G$2:$G$1000,B243,DB_All!$L$2:$L$1000,"تحت إجراءات التعاقد"))</f>
        <v/>
      </c>
      <c r="G243" t="str">
        <f>IF(B243="","",COUNTIFS(DB_All!$G$2:$G$1000,B243,DB_All!$L$2:$L$1000,"تحت إجراءات التعاقد"))</f>
        <v/>
      </c>
      <c r="H243" t="str">
        <f>IF(B243="","",SUMIFS(DB_All!$N$2:$N$1000,DB_All!$G$2:$G$1000,B243,DB_All!$L$2:$L$1000,"تم التوقيع"))</f>
        <v/>
      </c>
      <c r="I243" t="str">
        <f>IF(B243="","",COUNTIFS(DB_All!$G$2:$G$1000,B243,DB_All!$L$2:$L$1000,"تم التوقيع"))</f>
        <v/>
      </c>
      <c r="J243">
        <f t="shared" si="9"/>
        <v>0</v>
      </c>
      <c r="K243" t="str">
        <f>IF(B243="","",SUMIFS('المطالبات 2026'!$J:$J,'المطالبات 2026'!$E:$E,B243,'المطالبات 2026'!$I:$I,"مطالبة مرفوعة للمالية") + SUMIFS('المطالبات 2025'!$J:$J,'المطالبات 2025'!$E:$E,B243,'المطالبات 2025'!$I:$I,"مطالبة مرفوعة للمالية"))</f>
        <v/>
      </c>
      <c r="L243" t="str">
        <f>IF(B243="","",COUNTIFS('المطالبات 2026'!$E:$E,B243,'المطالبات 2026'!$I:$I,"مطالبة مرفوعة للمالية") + COUNTIFS('المطالبات 2025'!$E:$E,B243,'المطالبات 2025'!$I:$I,"مطالبة مرفوعة للمالية"))</f>
        <v/>
      </c>
      <c r="M243">
        <f t="shared" si="10"/>
        <v>0</v>
      </c>
      <c r="N243" t="str">
        <f>IF(B243="","",SUMIFS(DB_All!$N$2:$N$1000,DB_All!$G$2:$G$1000,B243,DB_All!$L$2:$L$1000,"تحت إجراءات التوريد"))</f>
        <v/>
      </c>
      <c r="O243" t="str">
        <f>IF(B243="","",COUNTIFS(DB_All!$G$2:$G$1000,B243,DB_All!$L$2:$L$1000,"تحت إجراءات التوريد"))</f>
        <v/>
      </c>
      <c r="P243" t="str">
        <f>IF(B243="","",SUMIFS(DB_All!$N$2:$N$1000,DB_All!$G$2:$G$1000,B243,DB_All!$L$2:$L$1000,"بانتظار سندات الاستلام \ شهادة الإنجاز"))</f>
        <v/>
      </c>
      <c r="Q243" t="str">
        <f>IF(B243="","",COUNTIFS(DB_All!$G$2:$G$1000,B243,DB_All!$L$2:$L$1000,"بانتظار سندات الاستلام \ شهادة الإنجاز"))</f>
        <v/>
      </c>
      <c r="R243" t="str">
        <f t="shared" si="11"/>
        <v/>
      </c>
    </row>
    <row r="244" spans="6:18" x14ac:dyDescent="0.3">
      <c r="F244" t="str">
        <f>IF(B244="","",SUMIFS(DB_All!$M$2:$M$1000,DB_All!$G$2:$G$1000,B244,DB_All!$L$2:$L$1000,"تحت إجراءات التعاقد"))</f>
        <v/>
      </c>
      <c r="G244" t="str">
        <f>IF(B244="","",COUNTIFS(DB_All!$G$2:$G$1000,B244,DB_All!$L$2:$L$1000,"تحت إجراءات التعاقد"))</f>
        <v/>
      </c>
      <c r="H244" t="str">
        <f>IF(B244="","",SUMIFS(DB_All!$N$2:$N$1000,DB_All!$G$2:$G$1000,B244,DB_All!$L$2:$L$1000,"تم التوقيع"))</f>
        <v/>
      </c>
      <c r="I244" t="str">
        <f>IF(B244="","",COUNTIFS(DB_All!$G$2:$G$1000,B244,DB_All!$L$2:$L$1000,"تم التوقيع"))</f>
        <v/>
      </c>
      <c r="J244">
        <f t="shared" si="9"/>
        <v>0</v>
      </c>
      <c r="K244" t="str">
        <f>IF(B244="","",SUMIFS('المطالبات 2026'!$J:$J,'المطالبات 2026'!$E:$E,B244,'المطالبات 2026'!$I:$I,"مطالبة مرفوعة للمالية") + SUMIFS('المطالبات 2025'!$J:$J,'المطالبات 2025'!$E:$E,B244,'المطالبات 2025'!$I:$I,"مطالبة مرفوعة للمالية"))</f>
        <v/>
      </c>
      <c r="L244" t="str">
        <f>IF(B244="","",COUNTIFS('المطالبات 2026'!$E:$E,B244,'المطالبات 2026'!$I:$I,"مطالبة مرفوعة للمالية") + COUNTIFS('المطالبات 2025'!$E:$E,B244,'المطالبات 2025'!$I:$I,"مطالبة مرفوعة للمالية"))</f>
        <v/>
      </c>
      <c r="M244">
        <f t="shared" si="10"/>
        <v>0</v>
      </c>
      <c r="N244" t="str">
        <f>IF(B244="","",SUMIFS(DB_All!$N$2:$N$1000,DB_All!$G$2:$G$1000,B244,DB_All!$L$2:$L$1000,"تحت إجراءات التوريد"))</f>
        <v/>
      </c>
      <c r="O244" t="str">
        <f>IF(B244="","",COUNTIFS(DB_All!$G$2:$G$1000,B244,DB_All!$L$2:$L$1000,"تحت إجراءات التوريد"))</f>
        <v/>
      </c>
      <c r="P244" t="str">
        <f>IF(B244="","",SUMIFS(DB_All!$N$2:$N$1000,DB_All!$G$2:$G$1000,B244,DB_All!$L$2:$L$1000,"بانتظار سندات الاستلام \ شهادة الإنجاز"))</f>
        <v/>
      </c>
      <c r="Q244" t="str">
        <f>IF(B244="","",COUNTIFS(DB_All!$G$2:$G$1000,B244,DB_All!$L$2:$L$1000,"بانتظار سندات الاستلام \ شهادة الإنجاز"))</f>
        <v/>
      </c>
      <c r="R244" t="str">
        <f t="shared" si="11"/>
        <v/>
      </c>
    </row>
    <row r="245" spans="6:18" x14ac:dyDescent="0.3">
      <c r="F245" t="str">
        <f>IF(B245="","",SUMIFS(DB_All!$M$2:$M$1000,DB_All!$G$2:$G$1000,B245,DB_All!$L$2:$L$1000,"تحت إجراءات التعاقد"))</f>
        <v/>
      </c>
      <c r="G245" t="str">
        <f>IF(B245="","",COUNTIFS(DB_All!$G$2:$G$1000,B245,DB_All!$L$2:$L$1000,"تحت إجراءات التعاقد"))</f>
        <v/>
      </c>
      <c r="H245" t="str">
        <f>IF(B245="","",SUMIFS(DB_All!$N$2:$N$1000,DB_All!$G$2:$G$1000,B245,DB_All!$L$2:$L$1000,"تم التوقيع"))</f>
        <v/>
      </c>
      <c r="I245" t="str">
        <f>IF(B245="","",COUNTIFS(DB_All!$G$2:$G$1000,B245,DB_All!$L$2:$L$1000,"تم التوقيع"))</f>
        <v/>
      </c>
      <c r="J245">
        <f t="shared" si="9"/>
        <v>0</v>
      </c>
      <c r="K245" t="str">
        <f>IF(B245="","",SUMIFS('المطالبات 2026'!$J:$J,'المطالبات 2026'!$E:$E,B245,'المطالبات 2026'!$I:$I,"مطالبة مرفوعة للمالية") + SUMIFS('المطالبات 2025'!$J:$J,'المطالبات 2025'!$E:$E,B245,'المطالبات 2025'!$I:$I,"مطالبة مرفوعة للمالية"))</f>
        <v/>
      </c>
      <c r="L245" t="str">
        <f>IF(B245="","",COUNTIFS('المطالبات 2026'!$E:$E,B245,'المطالبات 2026'!$I:$I,"مطالبة مرفوعة للمالية") + COUNTIFS('المطالبات 2025'!$E:$E,B245,'المطالبات 2025'!$I:$I,"مطالبة مرفوعة للمالية"))</f>
        <v/>
      </c>
      <c r="M245">
        <f t="shared" si="10"/>
        <v>0</v>
      </c>
      <c r="N245" t="str">
        <f>IF(B245="","",SUMIFS(DB_All!$N$2:$N$1000,DB_All!$G$2:$G$1000,B245,DB_All!$L$2:$L$1000,"تحت إجراءات التوريد"))</f>
        <v/>
      </c>
      <c r="O245" t="str">
        <f>IF(B245="","",COUNTIFS(DB_All!$G$2:$G$1000,B245,DB_All!$L$2:$L$1000,"تحت إجراءات التوريد"))</f>
        <v/>
      </c>
      <c r="P245" t="str">
        <f>IF(B245="","",SUMIFS(DB_All!$N$2:$N$1000,DB_All!$G$2:$G$1000,B245,DB_All!$L$2:$L$1000,"بانتظار سندات الاستلام \ شهادة الإنجاز"))</f>
        <v/>
      </c>
      <c r="Q245" t="str">
        <f>IF(B245="","",COUNTIFS(DB_All!$G$2:$G$1000,B245,DB_All!$L$2:$L$1000,"بانتظار سندات الاستلام \ شهادة الإنجاز"))</f>
        <v/>
      </c>
      <c r="R245" t="str">
        <f t="shared" si="11"/>
        <v/>
      </c>
    </row>
    <row r="246" spans="6:18" x14ac:dyDescent="0.3">
      <c r="F246" t="str">
        <f>IF(B246="","",SUMIFS(DB_All!$M$2:$M$1000,DB_All!$G$2:$G$1000,B246,DB_All!$L$2:$L$1000,"تحت إجراءات التعاقد"))</f>
        <v/>
      </c>
      <c r="G246" t="str">
        <f>IF(B246="","",COUNTIFS(DB_All!$G$2:$G$1000,B246,DB_All!$L$2:$L$1000,"تحت إجراءات التعاقد"))</f>
        <v/>
      </c>
      <c r="H246" t="str">
        <f>IF(B246="","",SUMIFS(DB_All!$N$2:$N$1000,DB_All!$G$2:$G$1000,B246,DB_All!$L$2:$L$1000,"تم التوقيع"))</f>
        <v/>
      </c>
      <c r="I246" t="str">
        <f>IF(B246="","",COUNTIFS(DB_All!$G$2:$G$1000,B246,DB_All!$L$2:$L$1000,"تم التوقيع"))</f>
        <v/>
      </c>
      <c r="J246">
        <f t="shared" si="9"/>
        <v>0</v>
      </c>
      <c r="K246" t="str">
        <f>IF(B246="","",SUMIFS('المطالبات 2026'!$J:$J,'المطالبات 2026'!$E:$E,B246,'المطالبات 2026'!$I:$I,"مطالبة مرفوعة للمالية") + SUMIFS('المطالبات 2025'!$J:$J,'المطالبات 2025'!$E:$E,B246,'المطالبات 2025'!$I:$I,"مطالبة مرفوعة للمالية"))</f>
        <v/>
      </c>
      <c r="L246" t="str">
        <f>IF(B246="","",COUNTIFS('المطالبات 2026'!$E:$E,B246,'المطالبات 2026'!$I:$I,"مطالبة مرفوعة للمالية") + COUNTIFS('المطالبات 2025'!$E:$E,B246,'المطالبات 2025'!$I:$I,"مطالبة مرفوعة للمالية"))</f>
        <v/>
      </c>
      <c r="M246">
        <f t="shared" si="10"/>
        <v>0</v>
      </c>
      <c r="N246" t="str">
        <f>IF(B246="","",SUMIFS(DB_All!$N$2:$N$1000,DB_All!$G$2:$G$1000,B246,DB_All!$L$2:$L$1000,"تحت إجراءات التوريد"))</f>
        <v/>
      </c>
      <c r="O246" t="str">
        <f>IF(B246="","",COUNTIFS(DB_All!$G$2:$G$1000,B246,DB_All!$L$2:$L$1000,"تحت إجراءات التوريد"))</f>
        <v/>
      </c>
      <c r="P246" t="str">
        <f>IF(B246="","",SUMIFS(DB_All!$N$2:$N$1000,DB_All!$G$2:$G$1000,B246,DB_All!$L$2:$L$1000,"بانتظار سندات الاستلام \ شهادة الإنجاز"))</f>
        <v/>
      </c>
      <c r="Q246" t="str">
        <f>IF(B246="","",COUNTIFS(DB_All!$G$2:$G$1000,B246,DB_All!$L$2:$L$1000,"بانتظار سندات الاستلام \ شهادة الإنجاز"))</f>
        <v/>
      </c>
      <c r="R246" t="str">
        <f t="shared" si="11"/>
        <v/>
      </c>
    </row>
    <row r="247" spans="6:18" x14ac:dyDescent="0.3">
      <c r="F247" t="str">
        <f>IF(B247="","",SUMIFS(DB_All!$M$2:$M$1000,DB_All!$G$2:$G$1000,B247,DB_All!$L$2:$L$1000,"تحت إجراءات التعاقد"))</f>
        <v/>
      </c>
      <c r="G247" t="str">
        <f>IF(B247="","",COUNTIFS(DB_All!$G$2:$G$1000,B247,DB_All!$L$2:$L$1000,"تحت إجراءات التعاقد"))</f>
        <v/>
      </c>
      <c r="H247" t="str">
        <f>IF(B247="","",SUMIFS(DB_All!$N$2:$N$1000,DB_All!$G$2:$G$1000,B247,DB_All!$L$2:$L$1000,"تم التوقيع"))</f>
        <v/>
      </c>
      <c r="I247" t="str">
        <f>IF(B247="","",COUNTIFS(DB_All!$G$2:$G$1000,B247,DB_All!$L$2:$L$1000,"تم التوقيع"))</f>
        <v/>
      </c>
      <c r="J247">
        <f t="shared" si="9"/>
        <v>0</v>
      </c>
      <c r="K247" t="str">
        <f>IF(B247="","",SUMIFS('المطالبات 2026'!$J:$J,'المطالبات 2026'!$E:$E,B247,'المطالبات 2026'!$I:$I,"مطالبة مرفوعة للمالية") + SUMIFS('المطالبات 2025'!$J:$J,'المطالبات 2025'!$E:$E,B247,'المطالبات 2025'!$I:$I,"مطالبة مرفوعة للمالية"))</f>
        <v/>
      </c>
      <c r="L247" t="str">
        <f>IF(B247="","",COUNTIFS('المطالبات 2026'!$E:$E,B247,'المطالبات 2026'!$I:$I,"مطالبة مرفوعة للمالية") + COUNTIFS('المطالبات 2025'!$E:$E,B247,'المطالبات 2025'!$I:$I,"مطالبة مرفوعة للمالية"))</f>
        <v/>
      </c>
      <c r="M247">
        <f t="shared" si="10"/>
        <v>0</v>
      </c>
      <c r="N247" t="str">
        <f>IF(B247="","",SUMIFS(DB_All!$N$2:$N$1000,DB_All!$G$2:$G$1000,B247,DB_All!$L$2:$L$1000,"تحت إجراءات التوريد"))</f>
        <v/>
      </c>
      <c r="O247" t="str">
        <f>IF(B247="","",COUNTIFS(DB_All!$G$2:$G$1000,B247,DB_All!$L$2:$L$1000,"تحت إجراءات التوريد"))</f>
        <v/>
      </c>
      <c r="P247" t="str">
        <f>IF(B247="","",SUMIFS(DB_All!$N$2:$N$1000,DB_All!$G$2:$G$1000,B247,DB_All!$L$2:$L$1000,"بانتظار سندات الاستلام \ شهادة الإنجاز"))</f>
        <v/>
      </c>
      <c r="Q247" t="str">
        <f>IF(B247="","",COUNTIFS(DB_All!$G$2:$G$1000,B247,DB_All!$L$2:$L$1000,"بانتظار سندات الاستلام \ شهادة الإنجاز"))</f>
        <v/>
      </c>
      <c r="R247" t="str">
        <f t="shared" si="11"/>
        <v/>
      </c>
    </row>
    <row r="248" spans="6:18" x14ac:dyDescent="0.3">
      <c r="F248" t="str">
        <f>IF(B248="","",SUMIFS(DB_All!$M$2:$M$1000,DB_All!$G$2:$G$1000,B248,DB_All!$L$2:$L$1000,"تحت إجراءات التعاقد"))</f>
        <v/>
      </c>
      <c r="G248" t="str">
        <f>IF(B248="","",COUNTIFS(DB_All!$G$2:$G$1000,B248,DB_All!$L$2:$L$1000,"تحت إجراءات التعاقد"))</f>
        <v/>
      </c>
      <c r="H248" t="str">
        <f>IF(B248="","",SUMIFS(DB_All!$N$2:$N$1000,DB_All!$G$2:$G$1000,B248,DB_All!$L$2:$L$1000,"تم التوقيع"))</f>
        <v/>
      </c>
      <c r="I248" t="str">
        <f>IF(B248="","",COUNTIFS(DB_All!$G$2:$G$1000,B248,DB_All!$L$2:$L$1000,"تم التوقيع"))</f>
        <v/>
      </c>
      <c r="J248">
        <f t="shared" si="9"/>
        <v>0</v>
      </c>
      <c r="K248" t="str">
        <f>IF(B248="","",SUMIFS('المطالبات 2026'!$J:$J,'المطالبات 2026'!$E:$E,B248,'المطالبات 2026'!$I:$I,"مطالبة مرفوعة للمالية") + SUMIFS('المطالبات 2025'!$J:$J,'المطالبات 2025'!$E:$E,B248,'المطالبات 2025'!$I:$I,"مطالبة مرفوعة للمالية"))</f>
        <v/>
      </c>
      <c r="L248" t="str">
        <f>IF(B248="","",COUNTIFS('المطالبات 2026'!$E:$E,B248,'المطالبات 2026'!$I:$I,"مطالبة مرفوعة للمالية") + COUNTIFS('المطالبات 2025'!$E:$E,B248,'المطالبات 2025'!$I:$I,"مطالبة مرفوعة للمالية"))</f>
        <v/>
      </c>
      <c r="M248">
        <f t="shared" si="10"/>
        <v>0</v>
      </c>
      <c r="N248" t="str">
        <f>IF(B248="","",SUMIFS(DB_All!$N$2:$N$1000,DB_All!$G$2:$G$1000,B248,DB_All!$L$2:$L$1000,"تحت إجراءات التوريد"))</f>
        <v/>
      </c>
      <c r="O248" t="str">
        <f>IF(B248="","",COUNTIFS(DB_All!$G$2:$G$1000,B248,DB_All!$L$2:$L$1000,"تحت إجراءات التوريد"))</f>
        <v/>
      </c>
      <c r="P248" t="str">
        <f>IF(B248="","",SUMIFS(DB_All!$N$2:$N$1000,DB_All!$G$2:$G$1000,B248,DB_All!$L$2:$L$1000,"بانتظار سندات الاستلام \ شهادة الإنجاز"))</f>
        <v/>
      </c>
      <c r="Q248" t="str">
        <f>IF(B248="","",COUNTIFS(DB_All!$G$2:$G$1000,B248,DB_All!$L$2:$L$1000,"بانتظار سندات الاستلام \ شهادة الإنجاز"))</f>
        <v/>
      </c>
      <c r="R248" t="str">
        <f t="shared" si="11"/>
        <v/>
      </c>
    </row>
    <row r="249" spans="6:18" x14ac:dyDescent="0.3">
      <c r="F249" t="str">
        <f>IF(B249="","",SUMIFS(DB_All!$M$2:$M$1000,DB_All!$G$2:$G$1000,B249,DB_All!$L$2:$L$1000,"تحت إجراءات التعاقد"))</f>
        <v/>
      </c>
      <c r="G249" t="str">
        <f>IF(B249="","",COUNTIFS(DB_All!$G$2:$G$1000,B249,DB_All!$L$2:$L$1000,"تحت إجراءات التعاقد"))</f>
        <v/>
      </c>
      <c r="H249" t="str">
        <f>IF(B249="","",SUMIFS(DB_All!$N$2:$N$1000,DB_All!$G$2:$G$1000,B249,DB_All!$L$2:$L$1000,"تم التوقيع"))</f>
        <v/>
      </c>
      <c r="I249" t="str">
        <f>IF(B249="","",COUNTIFS(DB_All!$G$2:$G$1000,B249,DB_All!$L$2:$L$1000,"تم التوقيع"))</f>
        <v/>
      </c>
      <c r="J249">
        <f t="shared" si="9"/>
        <v>0</v>
      </c>
      <c r="K249" t="str">
        <f>IF(B249="","",SUMIFS('المطالبات 2026'!$J:$J,'المطالبات 2026'!$E:$E,B249,'المطالبات 2026'!$I:$I,"مطالبة مرفوعة للمالية") + SUMIFS('المطالبات 2025'!$J:$J,'المطالبات 2025'!$E:$E,B249,'المطالبات 2025'!$I:$I,"مطالبة مرفوعة للمالية"))</f>
        <v/>
      </c>
      <c r="L249" t="str">
        <f>IF(B249="","",COUNTIFS('المطالبات 2026'!$E:$E,B249,'المطالبات 2026'!$I:$I,"مطالبة مرفوعة للمالية") + COUNTIFS('المطالبات 2025'!$E:$E,B249,'المطالبات 2025'!$I:$I,"مطالبة مرفوعة للمالية"))</f>
        <v/>
      </c>
      <c r="M249">
        <f t="shared" si="10"/>
        <v>0</v>
      </c>
      <c r="N249" t="str">
        <f>IF(B249="","",SUMIFS(DB_All!$N$2:$N$1000,DB_All!$G$2:$G$1000,B249,DB_All!$L$2:$L$1000,"تحت إجراءات التوريد"))</f>
        <v/>
      </c>
      <c r="O249" t="str">
        <f>IF(B249="","",COUNTIFS(DB_All!$G$2:$G$1000,B249,DB_All!$L$2:$L$1000,"تحت إجراءات التوريد"))</f>
        <v/>
      </c>
      <c r="P249" t="str">
        <f>IF(B249="","",SUMIFS(DB_All!$N$2:$N$1000,DB_All!$G$2:$G$1000,B249,DB_All!$L$2:$L$1000,"بانتظار سندات الاستلام \ شهادة الإنجاز"))</f>
        <v/>
      </c>
      <c r="Q249" t="str">
        <f>IF(B249="","",COUNTIFS(DB_All!$G$2:$G$1000,B249,DB_All!$L$2:$L$1000,"بانتظار سندات الاستلام \ شهادة الإنجاز"))</f>
        <v/>
      </c>
      <c r="R249" t="str">
        <f t="shared" si="11"/>
        <v/>
      </c>
    </row>
    <row r="250" spans="6:18" x14ac:dyDescent="0.3">
      <c r="F250" t="str">
        <f>IF(B250="","",SUMIFS(DB_All!$M$2:$M$1000,DB_All!$G$2:$G$1000,B250,DB_All!$L$2:$L$1000,"تحت إجراءات التعاقد"))</f>
        <v/>
      </c>
      <c r="G250" t="str">
        <f>IF(B250="","",COUNTIFS(DB_All!$G$2:$G$1000,B250,DB_All!$L$2:$L$1000,"تحت إجراءات التعاقد"))</f>
        <v/>
      </c>
      <c r="H250" t="str">
        <f>IF(B250="","",SUMIFS(DB_All!$N$2:$N$1000,DB_All!$G$2:$G$1000,B250,DB_All!$L$2:$L$1000,"تم التوقيع"))</f>
        <v/>
      </c>
      <c r="I250" t="str">
        <f>IF(B250="","",COUNTIFS(DB_All!$G$2:$G$1000,B250,DB_All!$L$2:$L$1000,"تم التوقيع"))</f>
        <v/>
      </c>
      <c r="J250">
        <f t="shared" si="9"/>
        <v>0</v>
      </c>
      <c r="K250" t="str">
        <f>IF(B250="","",SUMIFS('المطالبات 2026'!$J:$J,'المطالبات 2026'!$E:$E,B250,'المطالبات 2026'!$I:$I,"مطالبة مرفوعة للمالية") + SUMIFS('المطالبات 2025'!$J:$J,'المطالبات 2025'!$E:$E,B250,'المطالبات 2025'!$I:$I,"مطالبة مرفوعة للمالية"))</f>
        <v/>
      </c>
      <c r="L250" t="str">
        <f>IF(B250="","",COUNTIFS('المطالبات 2026'!$E:$E,B250,'المطالبات 2026'!$I:$I,"مطالبة مرفوعة للمالية") + COUNTIFS('المطالبات 2025'!$E:$E,B250,'المطالبات 2025'!$I:$I,"مطالبة مرفوعة للمالية"))</f>
        <v/>
      </c>
      <c r="M250">
        <f t="shared" si="10"/>
        <v>0</v>
      </c>
      <c r="N250" t="str">
        <f>IF(B250="","",SUMIFS(DB_All!$N$2:$N$1000,DB_All!$G$2:$G$1000,B250,DB_All!$L$2:$L$1000,"تحت إجراءات التوريد"))</f>
        <v/>
      </c>
      <c r="O250" t="str">
        <f>IF(B250="","",COUNTIFS(DB_All!$G$2:$G$1000,B250,DB_All!$L$2:$L$1000,"تحت إجراءات التوريد"))</f>
        <v/>
      </c>
      <c r="P250" t="str">
        <f>IF(B250="","",SUMIFS(DB_All!$N$2:$N$1000,DB_All!$G$2:$G$1000,B250,DB_All!$L$2:$L$1000,"بانتظار سندات الاستلام \ شهادة الإنجاز"))</f>
        <v/>
      </c>
      <c r="Q250" t="str">
        <f>IF(B250="","",COUNTIFS(DB_All!$G$2:$G$1000,B250,DB_All!$L$2:$L$1000,"بانتظار سندات الاستلام \ شهادة الإنجاز"))</f>
        <v/>
      </c>
      <c r="R250" t="str">
        <f t="shared" si="11"/>
        <v/>
      </c>
    </row>
    <row r="251" spans="6:18" x14ac:dyDescent="0.3">
      <c r="F251" t="str">
        <f>IF(B251="","",SUMIFS(DB_All!$M$2:$M$1000,DB_All!$G$2:$G$1000,B251,DB_All!$L$2:$L$1000,"تحت إجراءات التعاقد"))</f>
        <v/>
      </c>
      <c r="G251" t="str">
        <f>IF(B251="","",COUNTIFS(DB_All!$G$2:$G$1000,B251,DB_All!$L$2:$L$1000,"تحت إجراءات التعاقد"))</f>
        <v/>
      </c>
      <c r="H251" t="str">
        <f>IF(B251="","",SUMIFS(DB_All!$N$2:$N$1000,DB_All!$G$2:$G$1000,B251,DB_All!$L$2:$L$1000,"تم التوقيع"))</f>
        <v/>
      </c>
      <c r="I251" t="str">
        <f>IF(B251="","",COUNTIFS(DB_All!$G$2:$G$1000,B251,DB_All!$L$2:$L$1000,"تم التوقيع"))</f>
        <v/>
      </c>
      <c r="J251">
        <f t="shared" si="9"/>
        <v>0</v>
      </c>
      <c r="K251" t="str">
        <f>IF(B251="","",SUMIFS('المطالبات 2026'!$J:$J,'المطالبات 2026'!$E:$E,B251,'المطالبات 2026'!$I:$I,"مطالبة مرفوعة للمالية") + SUMIFS('المطالبات 2025'!$J:$J,'المطالبات 2025'!$E:$E,B251,'المطالبات 2025'!$I:$I,"مطالبة مرفوعة للمالية"))</f>
        <v/>
      </c>
      <c r="L251" t="str">
        <f>IF(B251="","",COUNTIFS('المطالبات 2026'!$E:$E,B251,'المطالبات 2026'!$I:$I,"مطالبة مرفوعة للمالية") + COUNTIFS('المطالبات 2025'!$E:$E,B251,'المطالبات 2025'!$I:$I,"مطالبة مرفوعة للمالية"))</f>
        <v/>
      </c>
      <c r="M251">
        <f t="shared" si="10"/>
        <v>0</v>
      </c>
      <c r="N251" t="str">
        <f>IF(B251="","",SUMIFS(DB_All!$N$2:$N$1000,DB_All!$G$2:$G$1000,B251,DB_All!$L$2:$L$1000,"تحت إجراءات التوريد"))</f>
        <v/>
      </c>
      <c r="O251" t="str">
        <f>IF(B251="","",COUNTIFS(DB_All!$G$2:$G$1000,B251,DB_All!$L$2:$L$1000,"تحت إجراءات التوريد"))</f>
        <v/>
      </c>
      <c r="P251" t="str">
        <f>IF(B251="","",SUMIFS(DB_All!$N$2:$N$1000,DB_All!$G$2:$G$1000,B251,DB_All!$L$2:$L$1000,"بانتظار سندات الاستلام \ شهادة الإنجاز"))</f>
        <v/>
      </c>
      <c r="Q251" t="str">
        <f>IF(B251="","",COUNTIFS(DB_All!$G$2:$G$1000,B251,DB_All!$L$2:$L$1000,"بانتظار سندات الاستلام \ شهادة الإنجاز"))</f>
        <v/>
      </c>
      <c r="R251" t="str">
        <f t="shared" si="11"/>
        <v/>
      </c>
    </row>
    <row r="252" spans="6:18" x14ac:dyDescent="0.3">
      <c r="F252" t="str">
        <f>IF(B252="","",SUMIFS(DB_All!$M$2:$M$1000,DB_All!$G$2:$G$1000,B252,DB_All!$L$2:$L$1000,"تحت إجراءات التعاقد"))</f>
        <v/>
      </c>
      <c r="G252" t="str">
        <f>IF(B252="","",COUNTIFS(DB_All!$G$2:$G$1000,B252,DB_All!$L$2:$L$1000,"تحت إجراءات التعاقد"))</f>
        <v/>
      </c>
      <c r="H252" t="str">
        <f>IF(B252="","",SUMIFS(DB_All!$N$2:$N$1000,DB_All!$G$2:$G$1000,B252,DB_All!$L$2:$L$1000,"تم التوقيع"))</f>
        <v/>
      </c>
      <c r="I252" t="str">
        <f>IF(B252="","",COUNTIFS(DB_All!$G$2:$G$1000,B252,DB_All!$L$2:$L$1000,"تم التوقيع"))</f>
        <v/>
      </c>
      <c r="J252">
        <f t="shared" si="9"/>
        <v>0</v>
      </c>
      <c r="K252" t="str">
        <f>IF(B252="","",SUMIFS('المطالبات 2026'!$J:$J,'المطالبات 2026'!$E:$E,B252,'المطالبات 2026'!$I:$I,"مطالبة مرفوعة للمالية") + SUMIFS('المطالبات 2025'!$J:$J,'المطالبات 2025'!$E:$E,B252,'المطالبات 2025'!$I:$I,"مطالبة مرفوعة للمالية"))</f>
        <v/>
      </c>
      <c r="L252" t="str">
        <f>IF(B252="","",COUNTIFS('المطالبات 2026'!$E:$E,B252,'المطالبات 2026'!$I:$I,"مطالبة مرفوعة للمالية") + COUNTIFS('المطالبات 2025'!$E:$E,B252,'المطالبات 2025'!$I:$I,"مطالبة مرفوعة للمالية"))</f>
        <v/>
      </c>
      <c r="M252">
        <f t="shared" si="10"/>
        <v>0</v>
      </c>
      <c r="N252" t="str">
        <f>IF(B252="","",SUMIFS(DB_All!$N$2:$N$1000,DB_All!$G$2:$G$1000,B252,DB_All!$L$2:$L$1000,"تحت إجراءات التوريد"))</f>
        <v/>
      </c>
      <c r="O252" t="str">
        <f>IF(B252="","",COUNTIFS(DB_All!$G$2:$G$1000,B252,DB_All!$L$2:$L$1000,"تحت إجراءات التوريد"))</f>
        <v/>
      </c>
      <c r="P252" t="str">
        <f>IF(B252="","",SUMIFS(DB_All!$N$2:$N$1000,DB_All!$G$2:$G$1000,B252,DB_All!$L$2:$L$1000,"بانتظار سندات الاستلام \ شهادة الإنجاز"))</f>
        <v/>
      </c>
      <c r="Q252" t="str">
        <f>IF(B252="","",COUNTIFS(DB_All!$G$2:$G$1000,B252,DB_All!$L$2:$L$1000,"بانتظار سندات الاستلام \ شهادة الإنجاز"))</f>
        <v/>
      </c>
      <c r="R252" t="str">
        <f t="shared" si="11"/>
        <v/>
      </c>
    </row>
    <row r="253" spans="6:18" x14ac:dyDescent="0.3">
      <c r="F253" t="str">
        <f>IF(B253="","",SUMIFS(DB_All!$M$2:$M$1000,DB_All!$G$2:$G$1000,B253,DB_All!$L$2:$L$1000,"تحت إجراءات التعاقد"))</f>
        <v/>
      </c>
      <c r="G253" t="str">
        <f>IF(B253="","",COUNTIFS(DB_All!$G$2:$G$1000,B253,DB_All!$L$2:$L$1000,"تحت إجراءات التعاقد"))</f>
        <v/>
      </c>
      <c r="H253" t="str">
        <f>IF(B253="","",SUMIFS(DB_All!$N$2:$N$1000,DB_All!$G$2:$G$1000,B253,DB_All!$L$2:$L$1000,"تم التوقيع"))</f>
        <v/>
      </c>
      <c r="I253" t="str">
        <f>IF(B253="","",COUNTIFS(DB_All!$G$2:$G$1000,B253,DB_All!$L$2:$L$1000,"تم التوقيع"))</f>
        <v/>
      </c>
      <c r="J253">
        <f t="shared" si="9"/>
        <v>0</v>
      </c>
      <c r="K253" t="str">
        <f>IF(B253="","",SUMIFS('المطالبات 2026'!$J:$J,'المطالبات 2026'!$E:$E,B253,'المطالبات 2026'!$I:$I,"مطالبة مرفوعة للمالية") + SUMIFS('المطالبات 2025'!$J:$J,'المطالبات 2025'!$E:$E,B253,'المطالبات 2025'!$I:$I,"مطالبة مرفوعة للمالية"))</f>
        <v/>
      </c>
      <c r="L253" t="str">
        <f>IF(B253="","",COUNTIFS('المطالبات 2026'!$E:$E,B253,'المطالبات 2026'!$I:$I,"مطالبة مرفوعة للمالية") + COUNTIFS('المطالبات 2025'!$E:$E,B253,'المطالبات 2025'!$I:$I,"مطالبة مرفوعة للمالية"))</f>
        <v/>
      </c>
      <c r="M253">
        <f t="shared" si="10"/>
        <v>0</v>
      </c>
      <c r="N253" t="str">
        <f>IF(B253="","",SUMIFS(DB_All!$N$2:$N$1000,DB_All!$G$2:$G$1000,B253,DB_All!$L$2:$L$1000,"تحت إجراءات التوريد"))</f>
        <v/>
      </c>
      <c r="O253" t="str">
        <f>IF(B253="","",COUNTIFS(DB_All!$G$2:$G$1000,B253,DB_All!$L$2:$L$1000,"تحت إجراءات التوريد"))</f>
        <v/>
      </c>
      <c r="P253" t="str">
        <f>IF(B253="","",SUMIFS(DB_All!$N$2:$N$1000,DB_All!$G$2:$G$1000,B253,DB_All!$L$2:$L$1000,"بانتظار سندات الاستلام \ شهادة الإنجاز"))</f>
        <v/>
      </c>
      <c r="Q253" t="str">
        <f>IF(B253="","",COUNTIFS(DB_All!$G$2:$G$1000,B253,DB_All!$L$2:$L$1000,"بانتظار سندات الاستلام \ شهادة الإنجاز"))</f>
        <v/>
      </c>
      <c r="R253" t="str">
        <f t="shared" si="11"/>
        <v/>
      </c>
    </row>
    <row r="254" spans="6:18" x14ac:dyDescent="0.3">
      <c r="F254" t="str">
        <f>IF(B254="","",SUMIFS(DB_All!$M$2:$M$1000,DB_All!$G$2:$G$1000,B254,DB_All!$L$2:$L$1000,"تحت إجراءات التعاقد"))</f>
        <v/>
      </c>
      <c r="G254" t="str">
        <f>IF(B254="","",COUNTIFS(DB_All!$G$2:$G$1000,B254,DB_All!$L$2:$L$1000,"تحت إجراءات التعاقد"))</f>
        <v/>
      </c>
      <c r="H254" t="str">
        <f>IF(B254="","",SUMIFS(DB_All!$N$2:$N$1000,DB_All!$G$2:$G$1000,B254,DB_All!$L$2:$L$1000,"تم التوقيع"))</f>
        <v/>
      </c>
      <c r="I254" t="str">
        <f>IF(B254="","",COUNTIFS(DB_All!$G$2:$G$1000,B254,DB_All!$L$2:$L$1000,"تم التوقيع"))</f>
        <v/>
      </c>
      <c r="J254">
        <f t="shared" si="9"/>
        <v>0</v>
      </c>
      <c r="K254" t="str">
        <f>IF(B254="","",SUMIFS('المطالبات 2026'!$J:$J,'المطالبات 2026'!$E:$E,B254,'المطالبات 2026'!$I:$I,"مطالبة مرفوعة للمالية") + SUMIFS('المطالبات 2025'!$J:$J,'المطالبات 2025'!$E:$E,B254,'المطالبات 2025'!$I:$I,"مطالبة مرفوعة للمالية"))</f>
        <v/>
      </c>
      <c r="L254" t="str">
        <f>IF(B254="","",COUNTIFS('المطالبات 2026'!$E:$E,B254,'المطالبات 2026'!$I:$I,"مطالبة مرفوعة للمالية") + COUNTIFS('المطالبات 2025'!$E:$E,B254,'المطالبات 2025'!$I:$I,"مطالبة مرفوعة للمالية"))</f>
        <v/>
      </c>
      <c r="M254">
        <f t="shared" si="10"/>
        <v>0</v>
      </c>
      <c r="N254" t="str">
        <f>IF(B254="","",SUMIFS(DB_All!$N$2:$N$1000,DB_All!$G$2:$G$1000,B254,DB_All!$L$2:$L$1000,"تحت إجراءات التوريد"))</f>
        <v/>
      </c>
      <c r="O254" t="str">
        <f>IF(B254="","",COUNTIFS(DB_All!$G$2:$G$1000,B254,DB_All!$L$2:$L$1000,"تحت إجراءات التوريد"))</f>
        <v/>
      </c>
      <c r="P254" t="str">
        <f>IF(B254="","",SUMIFS(DB_All!$N$2:$N$1000,DB_All!$G$2:$G$1000,B254,DB_All!$L$2:$L$1000,"بانتظار سندات الاستلام \ شهادة الإنجاز"))</f>
        <v/>
      </c>
      <c r="Q254" t="str">
        <f>IF(B254="","",COUNTIFS(DB_All!$G$2:$G$1000,B254,DB_All!$L$2:$L$1000,"بانتظار سندات الاستلام \ شهادة الإنجاز"))</f>
        <v/>
      </c>
      <c r="R254" t="str">
        <f t="shared" si="11"/>
        <v/>
      </c>
    </row>
    <row r="255" spans="6:18" x14ac:dyDescent="0.3">
      <c r="F255" t="str">
        <f>IF(B255="","",SUMIFS(DB_All!$M$2:$M$1000,DB_All!$G$2:$G$1000,B255,DB_All!$L$2:$L$1000,"تحت إجراءات التعاقد"))</f>
        <v/>
      </c>
      <c r="G255" t="str">
        <f>IF(B255="","",COUNTIFS(DB_All!$G$2:$G$1000,B255,DB_All!$L$2:$L$1000,"تحت إجراءات التعاقد"))</f>
        <v/>
      </c>
      <c r="H255" t="str">
        <f>IF(B255="","",SUMIFS(DB_All!$N$2:$N$1000,DB_All!$G$2:$G$1000,B255,DB_All!$L$2:$L$1000,"تم التوقيع"))</f>
        <v/>
      </c>
      <c r="I255" t="str">
        <f>IF(B255="","",COUNTIFS(DB_All!$G$2:$G$1000,B255,DB_All!$L$2:$L$1000,"تم التوقيع"))</f>
        <v/>
      </c>
      <c r="J255">
        <f t="shared" si="9"/>
        <v>0</v>
      </c>
      <c r="K255" t="str">
        <f>IF(B255="","",SUMIFS('المطالبات 2026'!$J:$J,'المطالبات 2026'!$E:$E,B255,'المطالبات 2026'!$I:$I,"مطالبة مرفوعة للمالية") + SUMIFS('المطالبات 2025'!$J:$J,'المطالبات 2025'!$E:$E,B255,'المطالبات 2025'!$I:$I,"مطالبة مرفوعة للمالية"))</f>
        <v/>
      </c>
      <c r="L255" t="str">
        <f>IF(B255="","",COUNTIFS('المطالبات 2026'!$E:$E,B255,'المطالبات 2026'!$I:$I,"مطالبة مرفوعة للمالية") + COUNTIFS('المطالبات 2025'!$E:$E,B255,'المطالبات 2025'!$I:$I,"مطالبة مرفوعة للمالية"))</f>
        <v/>
      </c>
      <c r="M255">
        <f t="shared" si="10"/>
        <v>0</v>
      </c>
      <c r="N255" t="str">
        <f>IF(B255="","",SUMIFS(DB_All!$N$2:$N$1000,DB_All!$G$2:$G$1000,B255,DB_All!$L$2:$L$1000,"تحت إجراءات التوريد"))</f>
        <v/>
      </c>
      <c r="O255" t="str">
        <f>IF(B255="","",COUNTIFS(DB_All!$G$2:$G$1000,B255,DB_All!$L$2:$L$1000,"تحت إجراءات التوريد"))</f>
        <v/>
      </c>
      <c r="P255" t="str">
        <f>IF(B255="","",SUMIFS(DB_All!$N$2:$N$1000,DB_All!$G$2:$G$1000,B255,DB_All!$L$2:$L$1000,"بانتظار سندات الاستلام \ شهادة الإنجاز"))</f>
        <v/>
      </c>
      <c r="Q255" t="str">
        <f>IF(B255="","",COUNTIFS(DB_All!$G$2:$G$1000,B255,DB_All!$L$2:$L$1000,"بانتظار سندات الاستلام \ شهادة الإنجاز"))</f>
        <v/>
      </c>
      <c r="R255" t="str">
        <f t="shared" si="11"/>
        <v/>
      </c>
    </row>
    <row r="256" spans="6:18" x14ac:dyDescent="0.3">
      <c r="F256" t="str">
        <f>IF(B256="","",SUMIFS(DB_All!$M$2:$M$1000,DB_All!$G$2:$G$1000,B256,DB_All!$L$2:$L$1000,"تحت إجراءات التعاقد"))</f>
        <v/>
      </c>
      <c r="G256" t="str">
        <f>IF(B256="","",COUNTIFS(DB_All!$G$2:$G$1000,B256,DB_All!$L$2:$L$1000,"تحت إجراءات التعاقد"))</f>
        <v/>
      </c>
      <c r="H256" t="str">
        <f>IF(B256="","",SUMIFS(DB_All!$N$2:$N$1000,DB_All!$G$2:$G$1000,B256,DB_All!$L$2:$L$1000,"تم التوقيع"))</f>
        <v/>
      </c>
      <c r="I256" t="str">
        <f>IF(B256="","",COUNTIFS(DB_All!$G$2:$G$1000,B256,DB_All!$L$2:$L$1000,"تم التوقيع"))</f>
        <v/>
      </c>
      <c r="J256">
        <f t="shared" si="9"/>
        <v>0</v>
      </c>
      <c r="K256" t="str">
        <f>IF(B256="","",SUMIFS('المطالبات 2026'!$J:$J,'المطالبات 2026'!$E:$E,B256,'المطالبات 2026'!$I:$I,"مطالبة مرفوعة للمالية") + SUMIFS('المطالبات 2025'!$J:$J,'المطالبات 2025'!$E:$E,B256,'المطالبات 2025'!$I:$I,"مطالبة مرفوعة للمالية"))</f>
        <v/>
      </c>
      <c r="L256" t="str">
        <f>IF(B256="","",COUNTIFS('المطالبات 2026'!$E:$E,B256,'المطالبات 2026'!$I:$I,"مطالبة مرفوعة للمالية") + COUNTIFS('المطالبات 2025'!$E:$E,B256,'المطالبات 2025'!$I:$I,"مطالبة مرفوعة للمالية"))</f>
        <v/>
      </c>
      <c r="M256">
        <f t="shared" si="10"/>
        <v>0</v>
      </c>
      <c r="N256" t="str">
        <f>IF(B256="","",SUMIFS(DB_All!$N$2:$N$1000,DB_All!$G$2:$G$1000,B256,DB_All!$L$2:$L$1000,"تحت إجراءات التوريد"))</f>
        <v/>
      </c>
      <c r="O256" t="str">
        <f>IF(B256="","",COUNTIFS(DB_All!$G$2:$G$1000,B256,DB_All!$L$2:$L$1000,"تحت إجراءات التوريد"))</f>
        <v/>
      </c>
      <c r="P256" t="str">
        <f>IF(B256="","",SUMIFS(DB_All!$N$2:$N$1000,DB_All!$G$2:$G$1000,B256,DB_All!$L$2:$L$1000,"بانتظار سندات الاستلام \ شهادة الإنجاز"))</f>
        <v/>
      </c>
      <c r="Q256" t="str">
        <f>IF(B256="","",COUNTIFS(DB_All!$G$2:$G$1000,B256,DB_All!$L$2:$L$1000,"بانتظار سندات الاستلام \ شهادة الإنجاز"))</f>
        <v/>
      </c>
      <c r="R256" t="str">
        <f t="shared" si="11"/>
        <v/>
      </c>
    </row>
    <row r="257" spans="6:18" x14ac:dyDescent="0.3">
      <c r="F257" t="str">
        <f>IF(B257="","",SUMIFS(DB_All!$M$2:$M$1000,DB_All!$G$2:$G$1000,B257,DB_All!$L$2:$L$1000,"تحت إجراءات التعاقد"))</f>
        <v/>
      </c>
      <c r="G257" t="str">
        <f>IF(B257="","",COUNTIFS(DB_All!$G$2:$G$1000,B257,DB_All!$L$2:$L$1000,"تحت إجراءات التعاقد"))</f>
        <v/>
      </c>
      <c r="H257" t="str">
        <f>IF(B257="","",SUMIFS(DB_All!$N$2:$N$1000,DB_All!$G$2:$G$1000,B257,DB_All!$L$2:$L$1000,"تم التوقيع"))</f>
        <v/>
      </c>
      <c r="I257" t="str">
        <f>IF(B257="","",COUNTIFS(DB_All!$G$2:$G$1000,B257,DB_All!$L$2:$L$1000,"تم التوقيع"))</f>
        <v/>
      </c>
      <c r="J257">
        <f t="shared" si="9"/>
        <v>0</v>
      </c>
      <c r="K257" t="str">
        <f>IF(B257="","",SUMIFS('المطالبات 2026'!$J:$J,'المطالبات 2026'!$E:$E,B257,'المطالبات 2026'!$I:$I,"مطالبة مرفوعة للمالية") + SUMIFS('المطالبات 2025'!$J:$J,'المطالبات 2025'!$E:$E,B257,'المطالبات 2025'!$I:$I,"مطالبة مرفوعة للمالية"))</f>
        <v/>
      </c>
      <c r="L257" t="str">
        <f>IF(B257="","",COUNTIFS('المطالبات 2026'!$E:$E,B257,'المطالبات 2026'!$I:$I,"مطالبة مرفوعة للمالية") + COUNTIFS('المطالبات 2025'!$E:$E,B257,'المطالبات 2025'!$I:$I,"مطالبة مرفوعة للمالية"))</f>
        <v/>
      </c>
      <c r="M257">
        <f t="shared" si="10"/>
        <v>0</v>
      </c>
      <c r="N257" t="str">
        <f>IF(B257="","",SUMIFS(DB_All!$N$2:$N$1000,DB_All!$G$2:$G$1000,B257,DB_All!$L$2:$L$1000,"تحت إجراءات التوريد"))</f>
        <v/>
      </c>
      <c r="O257" t="str">
        <f>IF(B257="","",COUNTIFS(DB_All!$G$2:$G$1000,B257,DB_All!$L$2:$L$1000,"تحت إجراءات التوريد"))</f>
        <v/>
      </c>
      <c r="P257" t="str">
        <f>IF(B257="","",SUMIFS(DB_All!$N$2:$N$1000,DB_All!$G$2:$G$1000,B257,DB_All!$L$2:$L$1000,"بانتظار سندات الاستلام \ شهادة الإنجاز"))</f>
        <v/>
      </c>
      <c r="Q257" t="str">
        <f>IF(B257="","",COUNTIFS(DB_All!$G$2:$G$1000,B257,DB_All!$L$2:$L$1000,"بانتظار سندات الاستلام \ شهادة الإنجاز"))</f>
        <v/>
      </c>
      <c r="R257" t="str">
        <f t="shared" si="11"/>
        <v/>
      </c>
    </row>
    <row r="258" spans="6:18" x14ac:dyDescent="0.3">
      <c r="F258" t="str">
        <f>IF(B258="","",SUMIFS(DB_All!$M$2:$M$1000,DB_All!$G$2:$G$1000,B258,DB_All!$L$2:$L$1000,"تحت إجراءات التعاقد"))</f>
        <v/>
      </c>
      <c r="G258" t="str">
        <f>IF(B258="","",COUNTIFS(DB_All!$G$2:$G$1000,B258,DB_All!$L$2:$L$1000,"تحت إجراءات التعاقد"))</f>
        <v/>
      </c>
      <c r="H258" t="str">
        <f>IF(B258="","",SUMIFS(DB_All!$N$2:$N$1000,DB_All!$G$2:$G$1000,B258,DB_All!$L$2:$L$1000,"تم التوقيع"))</f>
        <v/>
      </c>
      <c r="I258" t="str">
        <f>IF(B258="","",COUNTIFS(DB_All!$G$2:$G$1000,B258,DB_All!$L$2:$L$1000,"تم التوقيع"))</f>
        <v/>
      </c>
      <c r="J258">
        <f t="shared" ref="J258:J321" si="12">IFERROR(H258/D258,0)</f>
        <v>0</v>
      </c>
      <c r="K258" t="str">
        <f>IF(B258="","",SUMIFS('المطالبات 2026'!$J:$J,'المطالبات 2026'!$E:$E,B258,'المطالبات 2026'!$I:$I,"مطالبة مرفوعة للمالية") + SUMIFS('المطالبات 2025'!$J:$J,'المطالبات 2025'!$E:$E,B258,'المطالبات 2025'!$I:$I,"مطالبة مرفوعة للمالية"))</f>
        <v/>
      </c>
      <c r="L258" t="str">
        <f>IF(B258="","",COUNTIFS('المطالبات 2026'!$E:$E,B258,'المطالبات 2026'!$I:$I,"مطالبة مرفوعة للمالية") + COUNTIFS('المطالبات 2025'!$E:$E,B258,'المطالبات 2025'!$I:$I,"مطالبة مرفوعة للمالية"))</f>
        <v/>
      </c>
      <c r="M258">
        <f t="shared" ref="M258:M321" si="13">IFERROR(K258/D258,0)</f>
        <v>0</v>
      </c>
      <c r="N258" t="str">
        <f>IF(B258="","",SUMIFS(DB_All!$N$2:$N$1000,DB_All!$G$2:$G$1000,B258,DB_All!$L$2:$L$1000,"تحت إجراءات التوريد"))</f>
        <v/>
      </c>
      <c r="O258" t="str">
        <f>IF(B258="","",COUNTIFS(DB_All!$G$2:$G$1000,B258,DB_All!$L$2:$L$1000,"تحت إجراءات التوريد"))</f>
        <v/>
      </c>
      <c r="P258" t="str">
        <f>IF(B258="","",SUMIFS(DB_All!$N$2:$N$1000,DB_All!$G$2:$G$1000,B258,DB_All!$L$2:$L$1000,"بانتظار سندات الاستلام \ شهادة الإنجاز"))</f>
        <v/>
      </c>
      <c r="Q258" t="str">
        <f>IF(B258="","",COUNTIFS(DB_All!$G$2:$G$1000,B258,DB_All!$L$2:$L$1000,"بانتظار سندات الاستلام \ شهادة الإنجاز"))</f>
        <v/>
      </c>
      <c r="R258" t="str">
        <f t="shared" ref="R258:R321" si="14">IF(B258="","",F258+H258)</f>
        <v/>
      </c>
    </row>
    <row r="259" spans="6:18" x14ac:dyDescent="0.3">
      <c r="F259" t="str">
        <f>IF(B259="","",SUMIFS(DB_All!$M$2:$M$1000,DB_All!$G$2:$G$1000,B259,DB_All!$L$2:$L$1000,"تحت إجراءات التعاقد"))</f>
        <v/>
      </c>
      <c r="G259" t="str">
        <f>IF(B259="","",COUNTIFS(DB_All!$G$2:$G$1000,B259,DB_All!$L$2:$L$1000,"تحت إجراءات التعاقد"))</f>
        <v/>
      </c>
      <c r="H259" t="str">
        <f>IF(B259="","",SUMIFS(DB_All!$N$2:$N$1000,DB_All!$G$2:$G$1000,B259,DB_All!$L$2:$L$1000,"تم التوقيع"))</f>
        <v/>
      </c>
      <c r="I259" t="str">
        <f>IF(B259="","",COUNTIFS(DB_All!$G$2:$G$1000,B259,DB_All!$L$2:$L$1000,"تم التوقيع"))</f>
        <v/>
      </c>
      <c r="J259">
        <f t="shared" si="12"/>
        <v>0</v>
      </c>
      <c r="K259" t="str">
        <f>IF(B259="","",SUMIFS('المطالبات 2026'!$J:$J,'المطالبات 2026'!$E:$E,B259,'المطالبات 2026'!$I:$I,"مطالبة مرفوعة للمالية") + SUMIFS('المطالبات 2025'!$J:$J,'المطالبات 2025'!$E:$E,B259,'المطالبات 2025'!$I:$I,"مطالبة مرفوعة للمالية"))</f>
        <v/>
      </c>
      <c r="L259" t="str">
        <f>IF(B259="","",COUNTIFS('المطالبات 2026'!$E:$E,B259,'المطالبات 2026'!$I:$I,"مطالبة مرفوعة للمالية") + COUNTIFS('المطالبات 2025'!$E:$E,B259,'المطالبات 2025'!$I:$I,"مطالبة مرفوعة للمالية"))</f>
        <v/>
      </c>
      <c r="M259">
        <f t="shared" si="13"/>
        <v>0</v>
      </c>
      <c r="N259" t="str">
        <f>IF(B259="","",SUMIFS(DB_All!$N$2:$N$1000,DB_All!$G$2:$G$1000,B259,DB_All!$L$2:$L$1000,"تحت إجراءات التوريد"))</f>
        <v/>
      </c>
      <c r="O259" t="str">
        <f>IF(B259="","",COUNTIFS(DB_All!$G$2:$G$1000,B259,DB_All!$L$2:$L$1000,"تحت إجراءات التوريد"))</f>
        <v/>
      </c>
      <c r="P259" t="str">
        <f>IF(B259="","",SUMIFS(DB_All!$N$2:$N$1000,DB_All!$G$2:$G$1000,B259,DB_All!$L$2:$L$1000,"بانتظار سندات الاستلام \ شهادة الإنجاز"))</f>
        <v/>
      </c>
      <c r="Q259" t="str">
        <f>IF(B259="","",COUNTIFS(DB_All!$G$2:$G$1000,B259,DB_All!$L$2:$L$1000,"بانتظار سندات الاستلام \ شهادة الإنجاز"))</f>
        <v/>
      </c>
      <c r="R259" t="str">
        <f t="shared" si="14"/>
        <v/>
      </c>
    </row>
    <row r="260" spans="6:18" x14ac:dyDescent="0.3">
      <c r="F260" t="str">
        <f>IF(B260="","",SUMIFS(DB_All!$M$2:$M$1000,DB_All!$G$2:$G$1000,B260,DB_All!$L$2:$L$1000,"تحت إجراءات التعاقد"))</f>
        <v/>
      </c>
      <c r="G260" t="str">
        <f>IF(B260="","",COUNTIFS(DB_All!$G$2:$G$1000,B260,DB_All!$L$2:$L$1000,"تحت إجراءات التعاقد"))</f>
        <v/>
      </c>
      <c r="H260" t="str">
        <f>IF(B260="","",SUMIFS(DB_All!$N$2:$N$1000,DB_All!$G$2:$G$1000,B260,DB_All!$L$2:$L$1000,"تم التوقيع"))</f>
        <v/>
      </c>
      <c r="I260" t="str">
        <f>IF(B260="","",COUNTIFS(DB_All!$G$2:$G$1000,B260,DB_All!$L$2:$L$1000,"تم التوقيع"))</f>
        <v/>
      </c>
      <c r="J260">
        <f t="shared" si="12"/>
        <v>0</v>
      </c>
      <c r="K260" t="str">
        <f>IF(B260="","",SUMIFS('المطالبات 2026'!$J:$J,'المطالبات 2026'!$E:$E,B260,'المطالبات 2026'!$I:$I,"مطالبة مرفوعة للمالية") + SUMIFS('المطالبات 2025'!$J:$J,'المطالبات 2025'!$E:$E,B260,'المطالبات 2025'!$I:$I,"مطالبة مرفوعة للمالية"))</f>
        <v/>
      </c>
      <c r="L260" t="str">
        <f>IF(B260="","",COUNTIFS('المطالبات 2026'!$E:$E,B260,'المطالبات 2026'!$I:$I,"مطالبة مرفوعة للمالية") + COUNTIFS('المطالبات 2025'!$E:$E,B260,'المطالبات 2025'!$I:$I,"مطالبة مرفوعة للمالية"))</f>
        <v/>
      </c>
      <c r="M260">
        <f t="shared" si="13"/>
        <v>0</v>
      </c>
      <c r="N260" t="str">
        <f>IF(B260="","",SUMIFS(DB_All!$N$2:$N$1000,DB_All!$G$2:$G$1000,B260,DB_All!$L$2:$L$1000,"تحت إجراءات التوريد"))</f>
        <v/>
      </c>
      <c r="O260" t="str">
        <f>IF(B260="","",COUNTIFS(DB_All!$G$2:$G$1000,B260,DB_All!$L$2:$L$1000,"تحت إجراءات التوريد"))</f>
        <v/>
      </c>
      <c r="P260" t="str">
        <f>IF(B260="","",SUMIFS(DB_All!$N$2:$N$1000,DB_All!$G$2:$G$1000,B260,DB_All!$L$2:$L$1000,"بانتظار سندات الاستلام \ شهادة الإنجاز"))</f>
        <v/>
      </c>
      <c r="Q260" t="str">
        <f>IF(B260="","",COUNTIFS(DB_All!$G$2:$G$1000,B260,DB_All!$L$2:$L$1000,"بانتظار سندات الاستلام \ شهادة الإنجاز"))</f>
        <v/>
      </c>
      <c r="R260" t="str">
        <f t="shared" si="14"/>
        <v/>
      </c>
    </row>
    <row r="261" spans="6:18" x14ac:dyDescent="0.3">
      <c r="F261" t="str">
        <f>IF(B261="","",SUMIFS(DB_All!$M$2:$M$1000,DB_All!$G$2:$G$1000,B261,DB_All!$L$2:$L$1000,"تحت إجراءات التعاقد"))</f>
        <v/>
      </c>
      <c r="G261" t="str">
        <f>IF(B261="","",COUNTIFS(DB_All!$G$2:$G$1000,B261,DB_All!$L$2:$L$1000,"تحت إجراءات التعاقد"))</f>
        <v/>
      </c>
      <c r="H261" t="str">
        <f>IF(B261="","",SUMIFS(DB_All!$N$2:$N$1000,DB_All!$G$2:$G$1000,B261,DB_All!$L$2:$L$1000,"تم التوقيع"))</f>
        <v/>
      </c>
      <c r="I261" t="str">
        <f>IF(B261="","",COUNTIFS(DB_All!$G$2:$G$1000,B261,DB_All!$L$2:$L$1000,"تم التوقيع"))</f>
        <v/>
      </c>
      <c r="J261">
        <f t="shared" si="12"/>
        <v>0</v>
      </c>
      <c r="K261" t="str">
        <f>IF(B261="","",SUMIFS('المطالبات 2026'!$J:$J,'المطالبات 2026'!$E:$E,B261,'المطالبات 2026'!$I:$I,"مطالبة مرفوعة للمالية") + SUMIFS('المطالبات 2025'!$J:$J,'المطالبات 2025'!$E:$E,B261,'المطالبات 2025'!$I:$I,"مطالبة مرفوعة للمالية"))</f>
        <v/>
      </c>
      <c r="L261" t="str">
        <f>IF(B261="","",COUNTIFS('المطالبات 2026'!$E:$E,B261,'المطالبات 2026'!$I:$I,"مطالبة مرفوعة للمالية") + COUNTIFS('المطالبات 2025'!$E:$E,B261,'المطالبات 2025'!$I:$I,"مطالبة مرفوعة للمالية"))</f>
        <v/>
      </c>
      <c r="M261">
        <f t="shared" si="13"/>
        <v>0</v>
      </c>
      <c r="N261" t="str">
        <f>IF(B261="","",SUMIFS(DB_All!$N$2:$N$1000,DB_All!$G$2:$G$1000,B261,DB_All!$L$2:$L$1000,"تحت إجراءات التوريد"))</f>
        <v/>
      </c>
      <c r="O261" t="str">
        <f>IF(B261="","",COUNTIFS(DB_All!$G$2:$G$1000,B261,DB_All!$L$2:$L$1000,"تحت إجراءات التوريد"))</f>
        <v/>
      </c>
      <c r="P261" t="str">
        <f>IF(B261="","",SUMIFS(DB_All!$N$2:$N$1000,DB_All!$G$2:$G$1000,B261,DB_All!$L$2:$L$1000,"بانتظار سندات الاستلام \ شهادة الإنجاز"))</f>
        <v/>
      </c>
      <c r="Q261" t="str">
        <f>IF(B261="","",COUNTIFS(DB_All!$G$2:$G$1000,B261,DB_All!$L$2:$L$1000,"بانتظار سندات الاستلام \ شهادة الإنجاز"))</f>
        <v/>
      </c>
      <c r="R261" t="str">
        <f t="shared" si="14"/>
        <v/>
      </c>
    </row>
    <row r="262" spans="6:18" x14ac:dyDescent="0.3">
      <c r="F262" t="str">
        <f>IF(B262="","",SUMIFS(DB_All!$M$2:$M$1000,DB_All!$G$2:$G$1000,B262,DB_All!$L$2:$L$1000,"تحت إجراءات التعاقد"))</f>
        <v/>
      </c>
      <c r="G262" t="str">
        <f>IF(B262="","",COUNTIFS(DB_All!$G$2:$G$1000,B262,DB_All!$L$2:$L$1000,"تحت إجراءات التعاقد"))</f>
        <v/>
      </c>
      <c r="H262" t="str">
        <f>IF(B262="","",SUMIFS(DB_All!$N$2:$N$1000,DB_All!$G$2:$G$1000,B262,DB_All!$L$2:$L$1000,"تم التوقيع"))</f>
        <v/>
      </c>
      <c r="I262" t="str">
        <f>IF(B262="","",COUNTIFS(DB_All!$G$2:$G$1000,B262,DB_All!$L$2:$L$1000,"تم التوقيع"))</f>
        <v/>
      </c>
      <c r="J262">
        <f t="shared" si="12"/>
        <v>0</v>
      </c>
      <c r="K262" t="str">
        <f>IF(B262="","",SUMIFS('المطالبات 2026'!$J:$J,'المطالبات 2026'!$E:$E,B262,'المطالبات 2026'!$I:$I,"مطالبة مرفوعة للمالية") + SUMIFS('المطالبات 2025'!$J:$J,'المطالبات 2025'!$E:$E,B262,'المطالبات 2025'!$I:$I,"مطالبة مرفوعة للمالية"))</f>
        <v/>
      </c>
      <c r="L262" t="str">
        <f>IF(B262="","",COUNTIFS('المطالبات 2026'!$E:$E,B262,'المطالبات 2026'!$I:$I,"مطالبة مرفوعة للمالية") + COUNTIFS('المطالبات 2025'!$E:$E,B262,'المطالبات 2025'!$I:$I,"مطالبة مرفوعة للمالية"))</f>
        <v/>
      </c>
      <c r="M262">
        <f t="shared" si="13"/>
        <v>0</v>
      </c>
      <c r="N262" t="str">
        <f>IF(B262="","",SUMIFS(DB_All!$N$2:$N$1000,DB_All!$G$2:$G$1000,B262,DB_All!$L$2:$L$1000,"تحت إجراءات التوريد"))</f>
        <v/>
      </c>
      <c r="O262" t="str">
        <f>IF(B262="","",COUNTIFS(DB_All!$G$2:$G$1000,B262,DB_All!$L$2:$L$1000,"تحت إجراءات التوريد"))</f>
        <v/>
      </c>
      <c r="P262" t="str">
        <f>IF(B262="","",SUMIFS(DB_All!$N$2:$N$1000,DB_All!$G$2:$G$1000,B262,DB_All!$L$2:$L$1000,"بانتظار سندات الاستلام \ شهادة الإنجاز"))</f>
        <v/>
      </c>
      <c r="Q262" t="str">
        <f>IF(B262="","",COUNTIFS(DB_All!$G$2:$G$1000,B262,DB_All!$L$2:$L$1000,"بانتظار سندات الاستلام \ شهادة الإنجاز"))</f>
        <v/>
      </c>
      <c r="R262" t="str">
        <f t="shared" si="14"/>
        <v/>
      </c>
    </row>
    <row r="263" spans="6:18" x14ac:dyDescent="0.3">
      <c r="F263" t="str">
        <f>IF(B263="","",SUMIFS(DB_All!$M$2:$M$1000,DB_All!$G$2:$G$1000,B263,DB_All!$L$2:$L$1000,"تحت إجراءات التعاقد"))</f>
        <v/>
      </c>
      <c r="G263" t="str">
        <f>IF(B263="","",COUNTIFS(DB_All!$G$2:$G$1000,B263,DB_All!$L$2:$L$1000,"تحت إجراءات التعاقد"))</f>
        <v/>
      </c>
      <c r="H263" t="str">
        <f>IF(B263="","",SUMIFS(DB_All!$N$2:$N$1000,DB_All!$G$2:$G$1000,B263,DB_All!$L$2:$L$1000,"تم التوقيع"))</f>
        <v/>
      </c>
      <c r="I263" t="str">
        <f>IF(B263="","",COUNTIFS(DB_All!$G$2:$G$1000,B263,DB_All!$L$2:$L$1000,"تم التوقيع"))</f>
        <v/>
      </c>
      <c r="J263">
        <f t="shared" si="12"/>
        <v>0</v>
      </c>
      <c r="K263" t="str">
        <f>IF(B263="","",SUMIFS('المطالبات 2026'!$J:$J,'المطالبات 2026'!$E:$E,B263,'المطالبات 2026'!$I:$I,"مطالبة مرفوعة للمالية") + SUMIFS('المطالبات 2025'!$J:$J,'المطالبات 2025'!$E:$E,B263,'المطالبات 2025'!$I:$I,"مطالبة مرفوعة للمالية"))</f>
        <v/>
      </c>
      <c r="L263" t="str">
        <f>IF(B263="","",COUNTIFS('المطالبات 2026'!$E:$E,B263,'المطالبات 2026'!$I:$I,"مطالبة مرفوعة للمالية") + COUNTIFS('المطالبات 2025'!$E:$E,B263,'المطالبات 2025'!$I:$I,"مطالبة مرفوعة للمالية"))</f>
        <v/>
      </c>
      <c r="M263">
        <f t="shared" si="13"/>
        <v>0</v>
      </c>
      <c r="N263" t="str">
        <f>IF(B263="","",SUMIFS(DB_All!$N$2:$N$1000,DB_All!$G$2:$G$1000,B263,DB_All!$L$2:$L$1000,"تحت إجراءات التوريد"))</f>
        <v/>
      </c>
      <c r="O263" t="str">
        <f>IF(B263="","",COUNTIFS(DB_All!$G$2:$G$1000,B263,DB_All!$L$2:$L$1000,"تحت إجراءات التوريد"))</f>
        <v/>
      </c>
      <c r="P263" t="str">
        <f>IF(B263="","",SUMIFS(DB_All!$N$2:$N$1000,DB_All!$G$2:$G$1000,B263,DB_All!$L$2:$L$1000,"بانتظار سندات الاستلام \ شهادة الإنجاز"))</f>
        <v/>
      </c>
      <c r="Q263" t="str">
        <f>IF(B263="","",COUNTIFS(DB_All!$G$2:$G$1000,B263,DB_All!$L$2:$L$1000,"بانتظار سندات الاستلام \ شهادة الإنجاز"))</f>
        <v/>
      </c>
      <c r="R263" t="str">
        <f t="shared" si="14"/>
        <v/>
      </c>
    </row>
    <row r="264" spans="6:18" x14ac:dyDescent="0.3">
      <c r="F264" t="str">
        <f>IF(B264="","",SUMIFS(DB_All!$M$2:$M$1000,DB_All!$G$2:$G$1000,B264,DB_All!$L$2:$L$1000,"تحت إجراءات التعاقد"))</f>
        <v/>
      </c>
      <c r="G264" t="str">
        <f>IF(B264="","",COUNTIFS(DB_All!$G$2:$G$1000,B264,DB_All!$L$2:$L$1000,"تحت إجراءات التعاقد"))</f>
        <v/>
      </c>
      <c r="H264" t="str">
        <f>IF(B264="","",SUMIFS(DB_All!$N$2:$N$1000,DB_All!$G$2:$G$1000,B264,DB_All!$L$2:$L$1000,"تم التوقيع"))</f>
        <v/>
      </c>
      <c r="I264" t="str">
        <f>IF(B264="","",COUNTIFS(DB_All!$G$2:$G$1000,B264,DB_All!$L$2:$L$1000,"تم التوقيع"))</f>
        <v/>
      </c>
      <c r="J264">
        <f t="shared" si="12"/>
        <v>0</v>
      </c>
      <c r="K264" t="str">
        <f>IF(B264="","",SUMIFS('المطالبات 2026'!$J:$J,'المطالبات 2026'!$E:$E,B264,'المطالبات 2026'!$I:$I,"مطالبة مرفوعة للمالية") + SUMIFS('المطالبات 2025'!$J:$J,'المطالبات 2025'!$E:$E,B264,'المطالبات 2025'!$I:$I,"مطالبة مرفوعة للمالية"))</f>
        <v/>
      </c>
      <c r="L264" t="str">
        <f>IF(B264="","",COUNTIFS('المطالبات 2026'!$E:$E,B264,'المطالبات 2026'!$I:$I,"مطالبة مرفوعة للمالية") + COUNTIFS('المطالبات 2025'!$E:$E,B264,'المطالبات 2025'!$I:$I,"مطالبة مرفوعة للمالية"))</f>
        <v/>
      </c>
      <c r="M264">
        <f t="shared" si="13"/>
        <v>0</v>
      </c>
      <c r="N264" t="str">
        <f>IF(B264="","",SUMIFS(DB_All!$N$2:$N$1000,DB_All!$G$2:$G$1000,B264,DB_All!$L$2:$L$1000,"تحت إجراءات التوريد"))</f>
        <v/>
      </c>
      <c r="O264" t="str">
        <f>IF(B264="","",COUNTIFS(DB_All!$G$2:$G$1000,B264,DB_All!$L$2:$L$1000,"تحت إجراءات التوريد"))</f>
        <v/>
      </c>
      <c r="P264" t="str">
        <f>IF(B264="","",SUMIFS(DB_All!$N$2:$N$1000,DB_All!$G$2:$G$1000,B264,DB_All!$L$2:$L$1000,"بانتظار سندات الاستلام \ شهادة الإنجاز"))</f>
        <v/>
      </c>
      <c r="Q264" t="str">
        <f>IF(B264="","",COUNTIFS(DB_All!$G$2:$G$1000,B264,DB_All!$L$2:$L$1000,"بانتظار سندات الاستلام \ شهادة الإنجاز"))</f>
        <v/>
      </c>
      <c r="R264" t="str">
        <f t="shared" si="14"/>
        <v/>
      </c>
    </row>
    <row r="265" spans="6:18" x14ac:dyDescent="0.3">
      <c r="F265" t="str">
        <f>IF(B265="","",SUMIFS(DB_All!$M$2:$M$1000,DB_All!$G$2:$G$1000,B265,DB_All!$L$2:$L$1000,"تحت إجراءات التعاقد"))</f>
        <v/>
      </c>
      <c r="G265" t="str">
        <f>IF(B265="","",COUNTIFS(DB_All!$G$2:$G$1000,B265,DB_All!$L$2:$L$1000,"تحت إجراءات التعاقد"))</f>
        <v/>
      </c>
      <c r="H265" t="str">
        <f>IF(B265="","",SUMIFS(DB_All!$N$2:$N$1000,DB_All!$G$2:$G$1000,B265,DB_All!$L$2:$L$1000,"تم التوقيع"))</f>
        <v/>
      </c>
      <c r="I265" t="str">
        <f>IF(B265="","",COUNTIFS(DB_All!$G$2:$G$1000,B265,DB_All!$L$2:$L$1000,"تم التوقيع"))</f>
        <v/>
      </c>
      <c r="J265">
        <f t="shared" si="12"/>
        <v>0</v>
      </c>
      <c r="K265" t="str">
        <f>IF(B265="","",SUMIFS('المطالبات 2026'!$J:$J,'المطالبات 2026'!$E:$E,B265,'المطالبات 2026'!$I:$I,"مطالبة مرفوعة للمالية") + SUMIFS('المطالبات 2025'!$J:$J,'المطالبات 2025'!$E:$E,B265,'المطالبات 2025'!$I:$I,"مطالبة مرفوعة للمالية"))</f>
        <v/>
      </c>
      <c r="L265" t="str">
        <f>IF(B265="","",COUNTIFS('المطالبات 2026'!$E:$E,B265,'المطالبات 2026'!$I:$I,"مطالبة مرفوعة للمالية") + COUNTIFS('المطالبات 2025'!$E:$E,B265,'المطالبات 2025'!$I:$I,"مطالبة مرفوعة للمالية"))</f>
        <v/>
      </c>
      <c r="M265">
        <f t="shared" si="13"/>
        <v>0</v>
      </c>
      <c r="N265" t="str">
        <f>IF(B265="","",SUMIFS(DB_All!$N$2:$N$1000,DB_All!$G$2:$G$1000,B265,DB_All!$L$2:$L$1000,"تحت إجراءات التوريد"))</f>
        <v/>
      </c>
      <c r="O265" t="str">
        <f>IF(B265="","",COUNTIFS(DB_All!$G$2:$G$1000,B265,DB_All!$L$2:$L$1000,"تحت إجراءات التوريد"))</f>
        <v/>
      </c>
      <c r="P265" t="str">
        <f>IF(B265="","",SUMIFS(DB_All!$N$2:$N$1000,DB_All!$G$2:$G$1000,B265,DB_All!$L$2:$L$1000,"بانتظار سندات الاستلام \ شهادة الإنجاز"))</f>
        <v/>
      </c>
      <c r="Q265" t="str">
        <f>IF(B265="","",COUNTIFS(DB_All!$G$2:$G$1000,B265,DB_All!$L$2:$L$1000,"بانتظار سندات الاستلام \ شهادة الإنجاز"))</f>
        <v/>
      </c>
      <c r="R265" t="str">
        <f t="shared" si="14"/>
        <v/>
      </c>
    </row>
    <row r="266" spans="6:18" x14ac:dyDescent="0.3">
      <c r="F266" t="str">
        <f>IF(B266="","",SUMIFS(DB_All!$M$2:$M$1000,DB_All!$G$2:$G$1000,B266,DB_All!$L$2:$L$1000,"تحت إجراءات التعاقد"))</f>
        <v/>
      </c>
      <c r="G266" t="str">
        <f>IF(B266="","",COUNTIFS(DB_All!$G$2:$G$1000,B266,DB_All!$L$2:$L$1000,"تحت إجراءات التعاقد"))</f>
        <v/>
      </c>
      <c r="H266" t="str">
        <f>IF(B266="","",SUMIFS(DB_All!$N$2:$N$1000,DB_All!$G$2:$G$1000,B266,DB_All!$L$2:$L$1000,"تم التوقيع"))</f>
        <v/>
      </c>
      <c r="I266" t="str">
        <f>IF(B266="","",COUNTIFS(DB_All!$G$2:$G$1000,B266,DB_All!$L$2:$L$1000,"تم التوقيع"))</f>
        <v/>
      </c>
      <c r="J266">
        <f t="shared" si="12"/>
        <v>0</v>
      </c>
      <c r="K266" t="str">
        <f>IF(B266="","",SUMIFS('المطالبات 2026'!$J:$J,'المطالبات 2026'!$E:$E,B266,'المطالبات 2026'!$I:$I,"مطالبة مرفوعة للمالية") + SUMIFS('المطالبات 2025'!$J:$J,'المطالبات 2025'!$E:$E,B266,'المطالبات 2025'!$I:$I,"مطالبة مرفوعة للمالية"))</f>
        <v/>
      </c>
      <c r="L266" t="str">
        <f>IF(B266="","",COUNTIFS('المطالبات 2026'!$E:$E,B266,'المطالبات 2026'!$I:$I,"مطالبة مرفوعة للمالية") + COUNTIFS('المطالبات 2025'!$E:$E,B266,'المطالبات 2025'!$I:$I,"مطالبة مرفوعة للمالية"))</f>
        <v/>
      </c>
      <c r="M266">
        <f t="shared" si="13"/>
        <v>0</v>
      </c>
      <c r="N266" t="str">
        <f>IF(B266="","",SUMIFS(DB_All!$N$2:$N$1000,DB_All!$G$2:$G$1000,B266,DB_All!$L$2:$L$1000,"تحت إجراءات التوريد"))</f>
        <v/>
      </c>
      <c r="O266" t="str">
        <f>IF(B266="","",COUNTIFS(DB_All!$G$2:$G$1000,B266,DB_All!$L$2:$L$1000,"تحت إجراءات التوريد"))</f>
        <v/>
      </c>
      <c r="P266" t="str">
        <f>IF(B266="","",SUMIFS(DB_All!$N$2:$N$1000,DB_All!$G$2:$G$1000,B266,DB_All!$L$2:$L$1000,"بانتظار سندات الاستلام \ شهادة الإنجاز"))</f>
        <v/>
      </c>
      <c r="Q266" t="str">
        <f>IF(B266="","",COUNTIFS(DB_All!$G$2:$G$1000,B266,DB_All!$L$2:$L$1000,"بانتظار سندات الاستلام \ شهادة الإنجاز"))</f>
        <v/>
      </c>
      <c r="R266" t="str">
        <f t="shared" si="14"/>
        <v/>
      </c>
    </row>
    <row r="267" spans="6:18" x14ac:dyDescent="0.3">
      <c r="F267" t="str">
        <f>IF(B267="","",SUMIFS(DB_All!$M$2:$M$1000,DB_All!$G$2:$G$1000,B267,DB_All!$L$2:$L$1000,"تحت إجراءات التعاقد"))</f>
        <v/>
      </c>
      <c r="G267" t="str">
        <f>IF(B267="","",COUNTIFS(DB_All!$G$2:$G$1000,B267,DB_All!$L$2:$L$1000,"تحت إجراءات التعاقد"))</f>
        <v/>
      </c>
      <c r="H267" t="str">
        <f>IF(B267="","",SUMIFS(DB_All!$N$2:$N$1000,DB_All!$G$2:$G$1000,B267,DB_All!$L$2:$L$1000,"تم التوقيع"))</f>
        <v/>
      </c>
      <c r="I267" t="str">
        <f>IF(B267="","",COUNTIFS(DB_All!$G$2:$G$1000,B267,DB_All!$L$2:$L$1000,"تم التوقيع"))</f>
        <v/>
      </c>
      <c r="J267">
        <f t="shared" si="12"/>
        <v>0</v>
      </c>
      <c r="K267" t="str">
        <f>IF(B267="","",SUMIFS('المطالبات 2026'!$J:$J,'المطالبات 2026'!$E:$E,B267,'المطالبات 2026'!$I:$I,"مطالبة مرفوعة للمالية") + SUMIFS('المطالبات 2025'!$J:$J,'المطالبات 2025'!$E:$E,B267,'المطالبات 2025'!$I:$I,"مطالبة مرفوعة للمالية"))</f>
        <v/>
      </c>
      <c r="L267" t="str">
        <f>IF(B267="","",COUNTIFS('المطالبات 2026'!$E:$E,B267,'المطالبات 2026'!$I:$I,"مطالبة مرفوعة للمالية") + COUNTIFS('المطالبات 2025'!$E:$E,B267,'المطالبات 2025'!$I:$I,"مطالبة مرفوعة للمالية"))</f>
        <v/>
      </c>
      <c r="M267">
        <f t="shared" si="13"/>
        <v>0</v>
      </c>
      <c r="N267" t="str">
        <f>IF(B267="","",SUMIFS(DB_All!$N$2:$N$1000,DB_All!$G$2:$G$1000,B267,DB_All!$L$2:$L$1000,"تحت إجراءات التوريد"))</f>
        <v/>
      </c>
      <c r="O267" t="str">
        <f>IF(B267="","",COUNTIFS(DB_All!$G$2:$G$1000,B267,DB_All!$L$2:$L$1000,"تحت إجراءات التوريد"))</f>
        <v/>
      </c>
      <c r="P267" t="str">
        <f>IF(B267="","",SUMIFS(DB_All!$N$2:$N$1000,DB_All!$G$2:$G$1000,B267,DB_All!$L$2:$L$1000,"بانتظار سندات الاستلام \ شهادة الإنجاز"))</f>
        <v/>
      </c>
      <c r="Q267" t="str">
        <f>IF(B267="","",COUNTIFS(DB_All!$G$2:$G$1000,B267,DB_All!$L$2:$L$1000,"بانتظار سندات الاستلام \ شهادة الإنجاز"))</f>
        <v/>
      </c>
      <c r="R267" t="str">
        <f t="shared" si="14"/>
        <v/>
      </c>
    </row>
    <row r="268" spans="6:18" x14ac:dyDescent="0.3">
      <c r="F268" t="str">
        <f>IF(B268="","",SUMIFS(DB_All!$M$2:$M$1000,DB_All!$G$2:$G$1000,B268,DB_All!$L$2:$L$1000,"تحت إجراءات التعاقد"))</f>
        <v/>
      </c>
      <c r="G268" t="str">
        <f>IF(B268="","",COUNTIFS(DB_All!$G$2:$G$1000,B268,DB_All!$L$2:$L$1000,"تحت إجراءات التعاقد"))</f>
        <v/>
      </c>
      <c r="H268" t="str">
        <f>IF(B268="","",SUMIFS(DB_All!$N$2:$N$1000,DB_All!$G$2:$G$1000,B268,DB_All!$L$2:$L$1000,"تم التوقيع"))</f>
        <v/>
      </c>
      <c r="I268" t="str">
        <f>IF(B268="","",COUNTIFS(DB_All!$G$2:$G$1000,B268,DB_All!$L$2:$L$1000,"تم التوقيع"))</f>
        <v/>
      </c>
      <c r="J268">
        <f t="shared" si="12"/>
        <v>0</v>
      </c>
      <c r="K268" t="str">
        <f>IF(B268="","",SUMIFS('المطالبات 2026'!$J:$J,'المطالبات 2026'!$E:$E,B268,'المطالبات 2026'!$I:$I,"مطالبة مرفوعة للمالية") + SUMIFS('المطالبات 2025'!$J:$J,'المطالبات 2025'!$E:$E,B268,'المطالبات 2025'!$I:$I,"مطالبة مرفوعة للمالية"))</f>
        <v/>
      </c>
      <c r="L268" t="str">
        <f>IF(B268="","",COUNTIFS('المطالبات 2026'!$E:$E,B268,'المطالبات 2026'!$I:$I,"مطالبة مرفوعة للمالية") + COUNTIFS('المطالبات 2025'!$E:$E,B268,'المطالبات 2025'!$I:$I,"مطالبة مرفوعة للمالية"))</f>
        <v/>
      </c>
      <c r="M268">
        <f t="shared" si="13"/>
        <v>0</v>
      </c>
      <c r="N268" t="str">
        <f>IF(B268="","",SUMIFS(DB_All!$N$2:$N$1000,DB_All!$G$2:$G$1000,B268,DB_All!$L$2:$L$1000,"تحت إجراءات التوريد"))</f>
        <v/>
      </c>
      <c r="O268" t="str">
        <f>IF(B268="","",COUNTIFS(DB_All!$G$2:$G$1000,B268,DB_All!$L$2:$L$1000,"تحت إجراءات التوريد"))</f>
        <v/>
      </c>
      <c r="P268" t="str">
        <f>IF(B268="","",SUMIFS(DB_All!$N$2:$N$1000,DB_All!$G$2:$G$1000,B268,DB_All!$L$2:$L$1000,"بانتظار سندات الاستلام \ شهادة الإنجاز"))</f>
        <v/>
      </c>
      <c r="Q268" t="str">
        <f>IF(B268="","",COUNTIFS(DB_All!$G$2:$G$1000,B268,DB_All!$L$2:$L$1000,"بانتظار سندات الاستلام \ شهادة الإنجاز"))</f>
        <v/>
      </c>
      <c r="R268" t="str">
        <f t="shared" si="14"/>
        <v/>
      </c>
    </row>
    <row r="269" spans="6:18" x14ac:dyDescent="0.3">
      <c r="F269" t="str">
        <f>IF(B269="","",SUMIFS(DB_All!$M$2:$M$1000,DB_All!$G$2:$G$1000,B269,DB_All!$L$2:$L$1000,"تحت إجراءات التعاقد"))</f>
        <v/>
      </c>
      <c r="G269" t="str">
        <f>IF(B269="","",COUNTIFS(DB_All!$G$2:$G$1000,B269,DB_All!$L$2:$L$1000,"تحت إجراءات التعاقد"))</f>
        <v/>
      </c>
      <c r="H269" t="str">
        <f>IF(B269="","",SUMIFS(DB_All!$N$2:$N$1000,DB_All!$G$2:$G$1000,B269,DB_All!$L$2:$L$1000,"تم التوقيع"))</f>
        <v/>
      </c>
      <c r="I269" t="str">
        <f>IF(B269="","",COUNTIFS(DB_All!$G$2:$G$1000,B269,DB_All!$L$2:$L$1000,"تم التوقيع"))</f>
        <v/>
      </c>
      <c r="J269">
        <f t="shared" si="12"/>
        <v>0</v>
      </c>
      <c r="K269" t="str">
        <f>IF(B269="","",SUMIFS('المطالبات 2026'!$J:$J,'المطالبات 2026'!$E:$E,B269,'المطالبات 2026'!$I:$I,"مطالبة مرفوعة للمالية") + SUMIFS('المطالبات 2025'!$J:$J,'المطالبات 2025'!$E:$E,B269,'المطالبات 2025'!$I:$I,"مطالبة مرفوعة للمالية"))</f>
        <v/>
      </c>
      <c r="L269" t="str">
        <f>IF(B269="","",COUNTIFS('المطالبات 2026'!$E:$E,B269,'المطالبات 2026'!$I:$I,"مطالبة مرفوعة للمالية") + COUNTIFS('المطالبات 2025'!$E:$E,B269,'المطالبات 2025'!$I:$I,"مطالبة مرفوعة للمالية"))</f>
        <v/>
      </c>
      <c r="M269">
        <f t="shared" si="13"/>
        <v>0</v>
      </c>
      <c r="N269" t="str">
        <f>IF(B269="","",SUMIFS(DB_All!$N$2:$N$1000,DB_All!$G$2:$G$1000,B269,DB_All!$L$2:$L$1000,"تحت إجراءات التوريد"))</f>
        <v/>
      </c>
      <c r="O269" t="str">
        <f>IF(B269="","",COUNTIFS(DB_All!$G$2:$G$1000,B269,DB_All!$L$2:$L$1000,"تحت إجراءات التوريد"))</f>
        <v/>
      </c>
      <c r="P269" t="str">
        <f>IF(B269="","",SUMIFS(DB_All!$N$2:$N$1000,DB_All!$G$2:$G$1000,B269,DB_All!$L$2:$L$1000,"بانتظار سندات الاستلام \ شهادة الإنجاز"))</f>
        <v/>
      </c>
      <c r="Q269" t="str">
        <f>IF(B269="","",COUNTIFS(DB_All!$G$2:$G$1000,B269,DB_All!$L$2:$L$1000,"بانتظار سندات الاستلام \ شهادة الإنجاز"))</f>
        <v/>
      </c>
      <c r="R269" t="str">
        <f t="shared" si="14"/>
        <v/>
      </c>
    </row>
    <row r="270" spans="6:18" x14ac:dyDescent="0.3">
      <c r="F270" t="str">
        <f>IF(B270="","",SUMIFS(DB_All!$M$2:$M$1000,DB_All!$G$2:$G$1000,B270,DB_All!$L$2:$L$1000,"تحت إجراءات التعاقد"))</f>
        <v/>
      </c>
      <c r="G270" t="str">
        <f>IF(B270="","",COUNTIFS(DB_All!$G$2:$G$1000,B270,DB_All!$L$2:$L$1000,"تحت إجراءات التعاقد"))</f>
        <v/>
      </c>
      <c r="H270" t="str">
        <f>IF(B270="","",SUMIFS(DB_All!$N$2:$N$1000,DB_All!$G$2:$G$1000,B270,DB_All!$L$2:$L$1000,"تم التوقيع"))</f>
        <v/>
      </c>
      <c r="I270" t="str">
        <f>IF(B270="","",COUNTIFS(DB_All!$G$2:$G$1000,B270,DB_All!$L$2:$L$1000,"تم التوقيع"))</f>
        <v/>
      </c>
      <c r="J270">
        <f t="shared" si="12"/>
        <v>0</v>
      </c>
      <c r="K270" t="str">
        <f>IF(B270="","",SUMIFS('المطالبات 2026'!$J:$J,'المطالبات 2026'!$E:$E,B270,'المطالبات 2026'!$I:$I,"مطالبة مرفوعة للمالية") + SUMIFS('المطالبات 2025'!$J:$J,'المطالبات 2025'!$E:$E,B270,'المطالبات 2025'!$I:$I,"مطالبة مرفوعة للمالية"))</f>
        <v/>
      </c>
      <c r="L270" t="str">
        <f>IF(B270="","",COUNTIFS('المطالبات 2026'!$E:$E,B270,'المطالبات 2026'!$I:$I,"مطالبة مرفوعة للمالية") + COUNTIFS('المطالبات 2025'!$E:$E,B270,'المطالبات 2025'!$I:$I,"مطالبة مرفوعة للمالية"))</f>
        <v/>
      </c>
      <c r="M270">
        <f t="shared" si="13"/>
        <v>0</v>
      </c>
      <c r="N270" t="str">
        <f>IF(B270="","",SUMIFS(DB_All!$N$2:$N$1000,DB_All!$G$2:$G$1000,B270,DB_All!$L$2:$L$1000,"تحت إجراءات التوريد"))</f>
        <v/>
      </c>
      <c r="O270" t="str">
        <f>IF(B270="","",COUNTIFS(DB_All!$G$2:$G$1000,B270,DB_All!$L$2:$L$1000,"تحت إجراءات التوريد"))</f>
        <v/>
      </c>
      <c r="P270" t="str">
        <f>IF(B270="","",SUMIFS(DB_All!$N$2:$N$1000,DB_All!$G$2:$G$1000,B270,DB_All!$L$2:$L$1000,"بانتظار سندات الاستلام \ شهادة الإنجاز"))</f>
        <v/>
      </c>
      <c r="Q270" t="str">
        <f>IF(B270="","",COUNTIFS(DB_All!$G$2:$G$1000,B270,DB_All!$L$2:$L$1000,"بانتظار سندات الاستلام \ شهادة الإنجاز"))</f>
        <v/>
      </c>
      <c r="R270" t="str">
        <f t="shared" si="14"/>
        <v/>
      </c>
    </row>
    <row r="271" spans="6:18" x14ac:dyDescent="0.3">
      <c r="F271" t="str">
        <f>IF(B271="","",SUMIFS(DB_All!$M$2:$M$1000,DB_All!$G$2:$G$1000,B271,DB_All!$L$2:$L$1000,"تحت إجراءات التعاقد"))</f>
        <v/>
      </c>
      <c r="G271" t="str">
        <f>IF(B271="","",COUNTIFS(DB_All!$G$2:$G$1000,B271,DB_All!$L$2:$L$1000,"تحت إجراءات التعاقد"))</f>
        <v/>
      </c>
      <c r="H271" t="str">
        <f>IF(B271="","",SUMIFS(DB_All!$N$2:$N$1000,DB_All!$G$2:$G$1000,B271,DB_All!$L$2:$L$1000,"تم التوقيع"))</f>
        <v/>
      </c>
      <c r="I271" t="str">
        <f>IF(B271="","",COUNTIFS(DB_All!$G$2:$G$1000,B271,DB_All!$L$2:$L$1000,"تم التوقيع"))</f>
        <v/>
      </c>
      <c r="J271">
        <f t="shared" si="12"/>
        <v>0</v>
      </c>
      <c r="K271" t="str">
        <f>IF(B271="","",SUMIFS('المطالبات 2026'!$J:$J,'المطالبات 2026'!$E:$E,B271,'المطالبات 2026'!$I:$I,"مطالبة مرفوعة للمالية") + SUMIFS('المطالبات 2025'!$J:$J,'المطالبات 2025'!$E:$E,B271,'المطالبات 2025'!$I:$I,"مطالبة مرفوعة للمالية"))</f>
        <v/>
      </c>
      <c r="L271" t="str">
        <f>IF(B271="","",COUNTIFS('المطالبات 2026'!$E:$E,B271,'المطالبات 2026'!$I:$I,"مطالبة مرفوعة للمالية") + COUNTIFS('المطالبات 2025'!$E:$E,B271,'المطالبات 2025'!$I:$I,"مطالبة مرفوعة للمالية"))</f>
        <v/>
      </c>
      <c r="M271">
        <f t="shared" si="13"/>
        <v>0</v>
      </c>
      <c r="N271" t="str">
        <f>IF(B271="","",SUMIFS(DB_All!$N$2:$N$1000,DB_All!$G$2:$G$1000,B271,DB_All!$L$2:$L$1000,"تحت إجراءات التوريد"))</f>
        <v/>
      </c>
      <c r="O271" t="str">
        <f>IF(B271="","",COUNTIFS(DB_All!$G$2:$G$1000,B271,DB_All!$L$2:$L$1000,"تحت إجراءات التوريد"))</f>
        <v/>
      </c>
      <c r="P271" t="str">
        <f>IF(B271="","",SUMIFS(DB_All!$N$2:$N$1000,DB_All!$G$2:$G$1000,B271,DB_All!$L$2:$L$1000,"بانتظار سندات الاستلام \ شهادة الإنجاز"))</f>
        <v/>
      </c>
      <c r="Q271" t="str">
        <f>IF(B271="","",COUNTIFS(DB_All!$G$2:$G$1000,B271,DB_All!$L$2:$L$1000,"بانتظار سندات الاستلام \ شهادة الإنجاز"))</f>
        <v/>
      </c>
      <c r="R271" t="str">
        <f t="shared" si="14"/>
        <v/>
      </c>
    </row>
    <row r="272" spans="6:18" x14ac:dyDescent="0.3">
      <c r="F272" t="str">
        <f>IF(B272="","",SUMIFS(DB_All!$M$2:$M$1000,DB_All!$G$2:$G$1000,B272,DB_All!$L$2:$L$1000,"تحت إجراءات التعاقد"))</f>
        <v/>
      </c>
      <c r="G272" t="str">
        <f>IF(B272="","",COUNTIFS(DB_All!$G$2:$G$1000,B272,DB_All!$L$2:$L$1000,"تحت إجراءات التعاقد"))</f>
        <v/>
      </c>
      <c r="H272" t="str">
        <f>IF(B272="","",SUMIFS(DB_All!$N$2:$N$1000,DB_All!$G$2:$G$1000,B272,DB_All!$L$2:$L$1000,"تم التوقيع"))</f>
        <v/>
      </c>
      <c r="I272" t="str">
        <f>IF(B272="","",COUNTIFS(DB_All!$G$2:$G$1000,B272,DB_All!$L$2:$L$1000,"تم التوقيع"))</f>
        <v/>
      </c>
      <c r="J272">
        <f t="shared" si="12"/>
        <v>0</v>
      </c>
      <c r="K272" t="str">
        <f>IF(B272="","",SUMIFS('المطالبات 2026'!$J:$J,'المطالبات 2026'!$E:$E,B272,'المطالبات 2026'!$I:$I,"مطالبة مرفوعة للمالية") + SUMIFS('المطالبات 2025'!$J:$J,'المطالبات 2025'!$E:$E,B272,'المطالبات 2025'!$I:$I,"مطالبة مرفوعة للمالية"))</f>
        <v/>
      </c>
      <c r="L272" t="str">
        <f>IF(B272="","",COUNTIFS('المطالبات 2026'!$E:$E,B272,'المطالبات 2026'!$I:$I,"مطالبة مرفوعة للمالية") + COUNTIFS('المطالبات 2025'!$E:$E,B272,'المطالبات 2025'!$I:$I,"مطالبة مرفوعة للمالية"))</f>
        <v/>
      </c>
      <c r="M272">
        <f t="shared" si="13"/>
        <v>0</v>
      </c>
      <c r="N272" t="str">
        <f>IF(B272="","",SUMIFS(DB_All!$N$2:$N$1000,DB_All!$G$2:$G$1000,B272,DB_All!$L$2:$L$1000,"تحت إجراءات التوريد"))</f>
        <v/>
      </c>
      <c r="O272" t="str">
        <f>IF(B272="","",COUNTIFS(DB_All!$G$2:$G$1000,B272,DB_All!$L$2:$L$1000,"تحت إجراءات التوريد"))</f>
        <v/>
      </c>
      <c r="P272" t="str">
        <f>IF(B272="","",SUMIFS(DB_All!$N$2:$N$1000,DB_All!$G$2:$G$1000,B272,DB_All!$L$2:$L$1000,"بانتظار سندات الاستلام \ شهادة الإنجاز"))</f>
        <v/>
      </c>
      <c r="Q272" t="str">
        <f>IF(B272="","",COUNTIFS(DB_All!$G$2:$G$1000,B272,DB_All!$L$2:$L$1000,"بانتظار سندات الاستلام \ شهادة الإنجاز"))</f>
        <v/>
      </c>
      <c r="R272" t="str">
        <f t="shared" si="14"/>
        <v/>
      </c>
    </row>
    <row r="273" spans="6:18" x14ac:dyDescent="0.3">
      <c r="F273" t="str">
        <f>IF(B273="","",SUMIFS(DB_All!$M$2:$M$1000,DB_All!$G$2:$G$1000,B273,DB_All!$L$2:$L$1000,"تحت إجراءات التعاقد"))</f>
        <v/>
      </c>
      <c r="G273" t="str">
        <f>IF(B273="","",COUNTIFS(DB_All!$G$2:$G$1000,B273,DB_All!$L$2:$L$1000,"تحت إجراءات التعاقد"))</f>
        <v/>
      </c>
      <c r="H273" t="str">
        <f>IF(B273="","",SUMIFS(DB_All!$N$2:$N$1000,DB_All!$G$2:$G$1000,B273,DB_All!$L$2:$L$1000,"تم التوقيع"))</f>
        <v/>
      </c>
      <c r="I273" t="str">
        <f>IF(B273="","",COUNTIFS(DB_All!$G$2:$G$1000,B273,DB_All!$L$2:$L$1000,"تم التوقيع"))</f>
        <v/>
      </c>
      <c r="J273">
        <f t="shared" si="12"/>
        <v>0</v>
      </c>
      <c r="K273" t="str">
        <f>IF(B273="","",SUMIFS('المطالبات 2026'!$J:$J,'المطالبات 2026'!$E:$E,B273,'المطالبات 2026'!$I:$I,"مطالبة مرفوعة للمالية") + SUMIFS('المطالبات 2025'!$J:$J,'المطالبات 2025'!$E:$E,B273,'المطالبات 2025'!$I:$I,"مطالبة مرفوعة للمالية"))</f>
        <v/>
      </c>
      <c r="L273" t="str">
        <f>IF(B273="","",COUNTIFS('المطالبات 2026'!$E:$E,B273,'المطالبات 2026'!$I:$I,"مطالبة مرفوعة للمالية") + COUNTIFS('المطالبات 2025'!$E:$E,B273,'المطالبات 2025'!$I:$I,"مطالبة مرفوعة للمالية"))</f>
        <v/>
      </c>
      <c r="M273">
        <f t="shared" si="13"/>
        <v>0</v>
      </c>
      <c r="N273" t="str">
        <f>IF(B273="","",SUMIFS(DB_All!$N$2:$N$1000,DB_All!$G$2:$G$1000,B273,DB_All!$L$2:$L$1000,"تحت إجراءات التوريد"))</f>
        <v/>
      </c>
      <c r="O273" t="str">
        <f>IF(B273="","",COUNTIFS(DB_All!$G$2:$G$1000,B273,DB_All!$L$2:$L$1000,"تحت إجراءات التوريد"))</f>
        <v/>
      </c>
      <c r="P273" t="str">
        <f>IF(B273="","",SUMIFS(DB_All!$N$2:$N$1000,DB_All!$G$2:$G$1000,B273,DB_All!$L$2:$L$1000,"بانتظار سندات الاستلام \ شهادة الإنجاز"))</f>
        <v/>
      </c>
      <c r="Q273" t="str">
        <f>IF(B273="","",COUNTIFS(DB_All!$G$2:$G$1000,B273,DB_All!$L$2:$L$1000,"بانتظار سندات الاستلام \ شهادة الإنجاز"))</f>
        <v/>
      </c>
      <c r="R273" t="str">
        <f t="shared" si="14"/>
        <v/>
      </c>
    </row>
    <row r="274" spans="6:18" x14ac:dyDescent="0.3">
      <c r="F274" t="str">
        <f>IF(B274="","",SUMIFS(DB_All!$M$2:$M$1000,DB_All!$G$2:$G$1000,B274,DB_All!$L$2:$L$1000,"تحت إجراءات التعاقد"))</f>
        <v/>
      </c>
      <c r="G274" t="str">
        <f>IF(B274="","",COUNTIFS(DB_All!$G$2:$G$1000,B274,DB_All!$L$2:$L$1000,"تحت إجراءات التعاقد"))</f>
        <v/>
      </c>
      <c r="H274" t="str">
        <f>IF(B274="","",SUMIFS(DB_All!$N$2:$N$1000,DB_All!$G$2:$G$1000,B274,DB_All!$L$2:$L$1000,"تم التوقيع"))</f>
        <v/>
      </c>
      <c r="I274" t="str">
        <f>IF(B274="","",COUNTIFS(DB_All!$G$2:$G$1000,B274,DB_All!$L$2:$L$1000,"تم التوقيع"))</f>
        <v/>
      </c>
      <c r="J274">
        <f t="shared" si="12"/>
        <v>0</v>
      </c>
      <c r="K274" t="str">
        <f>IF(B274="","",SUMIFS('المطالبات 2026'!$J:$J,'المطالبات 2026'!$E:$E,B274,'المطالبات 2026'!$I:$I,"مطالبة مرفوعة للمالية") + SUMIFS('المطالبات 2025'!$J:$J,'المطالبات 2025'!$E:$E,B274,'المطالبات 2025'!$I:$I,"مطالبة مرفوعة للمالية"))</f>
        <v/>
      </c>
      <c r="L274" t="str">
        <f>IF(B274="","",COUNTIFS('المطالبات 2026'!$E:$E,B274,'المطالبات 2026'!$I:$I,"مطالبة مرفوعة للمالية") + COUNTIFS('المطالبات 2025'!$E:$E,B274,'المطالبات 2025'!$I:$I,"مطالبة مرفوعة للمالية"))</f>
        <v/>
      </c>
      <c r="M274">
        <f t="shared" si="13"/>
        <v>0</v>
      </c>
      <c r="N274" t="str">
        <f>IF(B274="","",SUMIFS(DB_All!$N$2:$N$1000,DB_All!$G$2:$G$1000,B274,DB_All!$L$2:$L$1000,"تحت إجراءات التوريد"))</f>
        <v/>
      </c>
      <c r="O274" t="str">
        <f>IF(B274="","",COUNTIFS(DB_All!$G$2:$G$1000,B274,DB_All!$L$2:$L$1000,"تحت إجراءات التوريد"))</f>
        <v/>
      </c>
      <c r="P274" t="str">
        <f>IF(B274="","",SUMIFS(DB_All!$N$2:$N$1000,DB_All!$G$2:$G$1000,B274,DB_All!$L$2:$L$1000,"بانتظار سندات الاستلام \ شهادة الإنجاز"))</f>
        <v/>
      </c>
      <c r="Q274" t="str">
        <f>IF(B274="","",COUNTIFS(DB_All!$G$2:$G$1000,B274,DB_All!$L$2:$L$1000,"بانتظار سندات الاستلام \ شهادة الإنجاز"))</f>
        <v/>
      </c>
      <c r="R274" t="str">
        <f t="shared" si="14"/>
        <v/>
      </c>
    </row>
    <row r="275" spans="6:18" x14ac:dyDescent="0.3">
      <c r="F275" t="str">
        <f>IF(B275="","",SUMIFS(DB_All!$M$2:$M$1000,DB_All!$G$2:$G$1000,B275,DB_All!$L$2:$L$1000,"تحت إجراءات التعاقد"))</f>
        <v/>
      </c>
      <c r="G275" t="str">
        <f>IF(B275="","",COUNTIFS(DB_All!$G$2:$G$1000,B275,DB_All!$L$2:$L$1000,"تحت إجراءات التعاقد"))</f>
        <v/>
      </c>
      <c r="H275" t="str">
        <f>IF(B275="","",SUMIFS(DB_All!$N$2:$N$1000,DB_All!$G$2:$G$1000,B275,DB_All!$L$2:$L$1000,"تم التوقيع"))</f>
        <v/>
      </c>
      <c r="I275" t="str">
        <f>IF(B275="","",COUNTIFS(DB_All!$G$2:$G$1000,B275,DB_All!$L$2:$L$1000,"تم التوقيع"))</f>
        <v/>
      </c>
      <c r="J275">
        <f t="shared" si="12"/>
        <v>0</v>
      </c>
      <c r="K275" t="str">
        <f>IF(B275="","",SUMIFS('المطالبات 2026'!$J:$J,'المطالبات 2026'!$E:$E,B275,'المطالبات 2026'!$I:$I,"مطالبة مرفوعة للمالية") + SUMIFS('المطالبات 2025'!$J:$J,'المطالبات 2025'!$E:$E,B275,'المطالبات 2025'!$I:$I,"مطالبة مرفوعة للمالية"))</f>
        <v/>
      </c>
      <c r="L275" t="str">
        <f>IF(B275="","",COUNTIFS('المطالبات 2026'!$E:$E,B275,'المطالبات 2026'!$I:$I,"مطالبة مرفوعة للمالية") + COUNTIFS('المطالبات 2025'!$E:$E,B275,'المطالبات 2025'!$I:$I,"مطالبة مرفوعة للمالية"))</f>
        <v/>
      </c>
      <c r="M275">
        <f t="shared" si="13"/>
        <v>0</v>
      </c>
      <c r="N275" t="str">
        <f>IF(B275="","",SUMIFS(DB_All!$N$2:$N$1000,DB_All!$G$2:$G$1000,B275,DB_All!$L$2:$L$1000,"تحت إجراءات التوريد"))</f>
        <v/>
      </c>
      <c r="O275" t="str">
        <f>IF(B275="","",COUNTIFS(DB_All!$G$2:$G$1000,B275,DB_All!$L$2:$L$1000,"تحت إجراءات التوريد"))</f>
        <v/>
      </c>
      <c r="P275" t="str">
        <f>IF(B275="","",SUMIFS(DB_All!$N$2:$N$1000,DB_All!$G$2:$G$1000,B275,DB_All!$L$2:$L$1000,"بانتظار سندات الاستلام \ شهادة الإنجاز"))</f>
        <v/>
      </c>
      <c r="Q275" t="str">
        <f>IF(B275="","",COUNTIFS(DB_All!$G$2:$G$1000,B275,DB_All!$L$2:$L$1000,"بانتظار سندات الاستلام \ شهادة الإنجاز"))</f>
        <v/>
      </c>
      <c r="R275" t="str">
        <f t="shared" si="14"/>
        <v/>
      </c>
    </row>
    <row r="276" spans="6:18" x14ac:dyDescent="0.3">
      <c r="F276" t="str">
        <f>IF(B276="","",SUMIFS(DB_All!$M$2:$M$1000,DB_All!$G$2:$G$1000,B276,DB_All!$L$2:$L$1000,"تحت إجراءات التعاقد"))</f>
        <v/>
      </c>
      <c r="G276" t="str">
        <f>IF(B276="","",COUNTIFS(DB_All!$G$2:$G$1000,B276,DB_All!$L$2:$L$1000,"تحت إجراءات التعاقد"))</f>
        <v/>
      </c>
      <c r="H276" t="str">
        <f>IF(B276="","",SUMIFS(DB_All!$N$2:$N$1000,DB_All!$G$2:$G$1000,B276,DB_All!$L$2:$L$1000,"تم التوقيع"))</f>
        <v/>
      </c>
      <c r="I276" t="str">
        <f>IF(B276="","",COUNTIFS(DB_All!$G$2:$G$1000,B276,DB_All!$L$2:$L$1000,"تم التوقيع"))</f>
        <v/>
      </c>
      <c r="J276">
        <f t="shared" si="12"/>
        <v>0</v>
      </c>
      <c r="K276" t="str">
        <f>IF(B276="","",SUMIFS('المطالبات 2026'!$J:$J,'المطالبات 2026'!$E:$E,B276,'المطالبات 2026'!$I:$I,"مطالبة مرفوعة للمالية") + SUMIFS('المطالبات 2025'!$J:$J,'المطالبات 2025'!$E:$E,B276,'المطالبات 2025'!$I:$I,"مطالبة مرفوعة للمالية"))</f>
        <v/>
      </c>
      <c r="L276" t="str">
        <f>IF(B276="","",COUNTIFS('المطالبات 2026'!$E:$E,B276,'المطالبات 2026'!$I:$I,"مطالبة مرفوعة للمالية") + COUNTIFS('المطالبات 2025'!$E:$E,B276,'المطالبات 2025'!$I:$I,"مطالبة مرفوعة للمالية"))</f>
        <v/>
      </c>
      <c r="M276">
        <f t="shared" si="13"/>
        <v>0</v>
      </c>
      <c r="N276" t="str">
        <f>IF(B276="","",SUMIFS(DB_All!$N$2:$N$1000,DB_All!$G$2:$G$1000,B276,DB_All!$L$2:$L$1000,"تحت إجراءات التوريد"))</f>
        <v/>
      </c>
      <c r="O276" t="str">
        <f>IF(B276="","",COUNTIFS(DB_All!$G$2:$G$1000,B276,DB_All!$L$2:$L$1000,"تحت إجراءات التوريد"))</f>
        <v/>
      </c>
      <c r="P276" t="str">
        <f>IF(B276="","",SUMIFS(DB_All!$N$2:$N$1000,DB_All!$G$2:$G$1000,B276,DB_All!$L$2:$L$1000,"بانتظار سندات الاستلام \ شهادة الإنجاز"))</f>
        <v/>
      </c>
      <c r="Q276" t="str">
        <f>IF(B276="","",COUNTIFS(DB_All!$G$2:$G$1000,B276,DB_All!$L$2:$L$1000,"بانتظار سندات الاستلام \ شهادة الإنجاز"))</f>
        <v/>
      </c>
      <c r="R276" t="str">
        <f t="shared" si="14"/>
        <v/>
      </c>
    </row>
    <row r="277" spans="6:18" x14ac:dyDescent="0.3">
      <c r="F277" t="str">
        <f>IF(B277="","",SUMIFS(DB_All!$M$2:$M$1000,DB_All!$G$2:$G$1000,B277,DB_All!$L$2:$L$1000,"تحت إجراءات التعاقد"))</f>
        <v/>
      </c>
      <c r="G277" t="str">
        <f>IF(B277="","",COUNTIFS(DB_All!$G$2:$G$1000,B277,DB_All!$L$2:$L$1000,"تحت إجراءات التعاقد"))</f>
        <v/>
      </c>
      <c r="H277" t="str">
        <f>IF(B277="","",SUMIFS(DB_All!$N$2:$N$1000,DB_All!$G$2:$G$1000,B277,DB_All!$L$2:$L$1000,"تم التوقيع"))</f>
        <v/>
      </c>
      <c r="I277" t="str">
        <f>IF(B277="","",COUNTIFS(DB_All!$G$2:$G$1000,B277,DB_All!$L$2:$L$1000,"تم التوقيع"))</f>
        <v/>
      </c>
      <c r="J277">
        <f t="shared" si="12"/>
        <v>0</v>
      </c>
      <c r="K277" t="str">
        <f>IF(B277="","",SUMIFS('المطالبات 2026'!$J:$J,'المطالبات 2026'!$E:$E,B277,'المطالبات 2026'!$I:$I,"مطالبة مرفوعة للمالية") + SUMIFS('المطالبات 2025'!$J:$J,'المطالبات 2025'!$E:$E,B277,'المطالبات 2025'!$I:$I,"مطالبة مرفوعة للمالية"))</f>
        <v/>
      </c>
      <c r="L277" t="str">
        <f>IF(B277="","",COUNTIFS('المطالبات 2026'!$E:$E,B277,'المطالبات 2026'!$I:$I,"مطالبة مرفوعة للمالية") + COUNTIFS('المطالبات 2025'!$E:$E,B277,'المطالبات 2025'!$I:$I,"مطالبة مرفوعة للمالية"))</f>
        <v/>
      </c>
      <c r="M277">
        <f t="shared" si="13"/>
        <v>0</v>
      </c>
      <c r="N277" t="str">
        <f>IF(B277="","",SUMIFS(DB_All!$N$2:$N$1000,DB_All!$G$2:$G$1000,B277,DB_All!$L$2:$L$1000,"تحت إجراءات التوريد"))</f>
        <v/>
      </c>
      <c r="O277" t="str">
        <f>IF(B277="","",COUNTIFS(DB_All!$G$2:$G$1000,B277,DB_All!$L$2:$L$1000,"تحت إجراءات التوريد"))</f>
        <v/>
      </c>
      <c r="P277" t="str">
        <f>IF(B277="","",SUMIFS(DB_All!$N$2:$N$1000,DB_All!$G$2:$G$1000,B277,DB_All!$L$2:$L$1000,"بانتظار سندات الاستلام \ شهادة الإنجاز"))</f>
        <v/>
      </c>
      <c r="Q277" t="str">
        <f>IF(B277="","",COUNTIFS(DB_All!$G$2:$G$1000,B277,DB_All!$L$2:$L$1000,"بانتظار سندات الاستلام \ شهادة الإنجاز"))</f>
        <v/>
      </c>
      <c r="R277" t="str">
        <f t="shared" si="14"/>
        <v/>
      </c>
    </row>
    <row r="278" spans="6:18" x14ac:dyDescent="0.3">
      <c r="F278" t="str">
        <f>IF(B278="","",SUMIFS(DB_All!$M$2:$M$1000,DB_All!$G$2:$G$1000,B278,DB_All!$L$2:$L$1000,"تحت إجراءات التعاقد"))</f>
        <v/>
      </c>
      <c r="G278" t="str">
        <f>IF(B278="","",COUNTIFS(DB_All!$G$2:$G$1000,B278,DB_All!$L$2:$L$1000,"تحت إجراءات التعاقد"))</f>
        <v/>
      </c>
      <c r="H278" t="str">
        <f>IF(B278="","",SUMIFS(DB_All!$N$2:$N$1000,DB_All!$G$2:$G$1000,B278,DB_All!$L$2:$L$1000,"تم التوقيع"))</f>
        <v/>
      </c>
      <c r="I278" t="str">
        <f>IF(B278="","",COUNTIFS(DB_All!$G$2:$G$1000,B278,DB_All!$L$2:$L$1000,"تم التوقيع"))</f>
        <v/>
      </c>
      <c r="J278">
        <f t="shared" si="12"/>
        <v>0</v>
      </c>
      <c r="K278" t="str">
        <f>IF(B278="","",SUMIFS('المطالبات 2026'!$J:$J,'المطالبات 2026'!$E:$E,B278,'المطالبات 2026'!$I:$I,"مطالبة مرفوعة للمالية") + SUMIFS('المطالبات 2025'!$J:$J,'المطالبات 2025'!$E:$E,B278,'المطالبات 2025'!$I:$I,"مطالبة مرفوعة للمالية"))</f>
        <v/>
      </c>
      <c r="L278" t="str">
        <f>IF(B278="","",COUNTIFS('المطالبات 2026'!$E:$E,B278,'المطالبات 2026'!$I:$I,"مطالبة مرفوعة للمالية") + COUNTIFS('المطالبات 2025'!$E:$E,B278,'المطالبات 2025'!$I:$I,"مطالبة مرفوعة للمالية"))</f>
        <v/>
      </c>
      <c r="M278">
        <f t="shared" si="13"/>
        <v>0</v>
      </c>
      <c r="N278" t="str">
        <f>IF(B278="","",SUMIFS(DB_All!$N$2:$N$1000,DB_All!$G$2:$G$1000,B278,DB_All!$L$2:$L$1000,"تحت إجراءات التوريد"))</f>
        <v/>
      </c>
      <c r="O278" t="str">
        <f>IF(B278="","",COUNTIFS(DB_All!$G$2:$G$1000,B278,DB_All!$L$2:$L$1000,"تحت إجراءات التوريد"))</f>
        <v/>
      </c>
      <c r="P278" t="str">
        <f>IF(B278="","",SUMIFS(DB_All!$N$2:$N$1000,DB_All!$G$2:$G$1000,B278,DB_All!$L$2:$L$1000,"بانتظار سندات الاستلام \ شهادة الإنجاز"))</f>
        <v/>
      </c>
      <c r="Q278" t="str">
        <f>IF(B278="","",COUNTIFS(DB_All!$G$2:$G$1000,B278,DB_All!$L$2:$L$1000,"بانتظار سندات الاستلام \ شهادة الإنجاز"))</f>
        <v/>
      </c>
      <c r="R278" t="str">
        <f t="shared" si="14"/>
        <v/>
      </c>
    </row>
    <row r="279" spans="6:18" x14ac:dyDescent="0.3">
      <c r="F279" t="str">
        <f>IF(B279="","",SUMIFS(DB_All!$M$2:$M$1000,DB_All!$G$2:$G$1000,B279,DB_All!$L$2:$L$1000,"تحت إجراءات التعاقد"))</f>
        <v/>
      </c>
      <c r="G279" t="str">
        <f>IF(B279="","",COUNTIFS(DB_All!$G$2:$G$1000,B279,DB_All!$L$2:$L$1000,"تحت إجراءات التعاقد"))</f>
        <v/>
      </c>
      <c r="H279" t="str">
        <f>IF(B279="","",SUMIFS(DB_All!$N$2:$N$1000,DB_All!$G$2:$G$1000,B279,DB_All!$L$2:$L$1000,"تم التوقيع"))</f>
        <v/>
      </c>
      <c r="I279" t="str">
        <f>IF(B279="","",COUNTIFS(DB_All!$G$2:$G$1000,B279,DB_All!$L$2:$L$1000,"تم التوقيع"))</f>
        <v/>
      </c>
      <c r="J279">
        <f t="shared" si="12"/>
        <v>0</v>
      </c>
      <c r="K279" t="str">
        <f>IF(B279="","",SUMIFS('المطالبات 2026'!$J:$J,'المطالبات 2026'!$E:$E,B279,'المطالبات 2026'!$I:$I,"مطالبة مرفوعة للمالية") + SUMIFS('المطالبات 2025'!$J:$J,'المطالبات 2025'!$E:$E,B279,'المطالبات 2025'!$I:$I,"مطالبة مرفوعة للمالية"))</f>
        <v/>
      </c>
      <c r="L279" t="str">
        <f>IF(B279="","",COUNTIFS('المطالبات 2026'!$E:$E,B279,'المطالبات 2026'!$I:$I,"مطالبة مرفوعة للمالية") + COUNTIFS('المطالبات 2025'!$E:$E,B279,'المطالبات 2025'!$I:$I,"مطالبة مرفوعة للمالية"))</f>
        <v/>
      </c>
      <c r="M279">
        <f t="shared" si="13"/>
        <v>0</v>
      </c>
      <c r="N279" t="str">
        <f>IF(B279="","",SUMIFS(DB_All!$N$2:$N$1000,DB_All!$G$2:$G$1000,B279,DB_All!$L$2:$L$1000,"تحت إجراءات التوريد"))</f>
        <v/>
      </c>
      <c r="O279" t="str">
        <f>IF(B279="","",COUNTIFS(DB_All!$G$2:$G$1000,B279,DB_All!$L$2:$L$1000,"تحت إجراءات التوريد"))</f>
        <v/>
      </c>
      <c r="P279" t="str">
        <f>IF(B279="","",SUMIFS(DB_All!$N$2:$N$1000,DB_All!$G$2:$G$1000,B279,DB_All!$L$2:$L$1000,"بانتظار سندات الاستلام \ شهادة الإنجاز"))</f>
        <v/>
      </c>
      <c r="Q279" t="str">
        <f>IF(B279="","",COUNTIFS(DB_All!$G$2:$G$1000,B279,DB_All!$L$2:$L$1000,"بانتظار سندات الاستلام \ شهادة الإنجاز"))</f>
        <v/>
      </c>
      <c r="R279" t="str">
        <f t="shared" si="14"/>
        <v/>
      </c>
    </row>
    <row r="280" spans="6:18" x14ac:dyDescent="0.3">
      <c r="F280" t="str">
        <f>IF(B280="","",SUMIFS(DB_All!$M$2:$M$1000,DB_All!$G$2:$G$1000,B280,DB_All!$L$2:$L$1000,"تحت إجراءات التعاقد"))</f>
        <v/>
      </c>
      <c r="G280" t="str">
        <f>IF(B280="","",COUNTIFS(DB_All!$G$2:$G$1000,B280,DB_All!$L$2:$L$1000,"تحت إجراءات التعاقد"))</f>
        <v/>
      </c>
      <c r="H280" t="str">
        <f>IF(B280="","",SUMIFS(DB_All!$N$2:$N$1000,DB_All!$G$2:$G$1000,B280,DB_All!$L$2:$L$1000,"تم التوقيع"))</f>
        <v/>
      </c>
      <c r="I280" t="str">
        <f>IF(B280="","",COUNTIFS(DB_All!$G$2:$G$1000,B280,DB_All!$L$2:$L$1000,"تم التوقيع"))</f>
        <v/>
      </c>
      <c r="J280">
        <f t="shared" si="12"/>
        <v>0</v>
      </c>
      <c r="K280" t="str">
        <f>IF(B280="","",SUMIFS('المطالبات 2026'!$J:$J,'المطالبات 2026'!$E:$E,B280,'المطالبات 2026'!$I:$I,"مطالبة مرفوعة للمالية") + SUMIFS('المطالبات 2025'!$J:$J,'المطالبات 2025'!$E:$E,B280,'المطالبات 2025'!$I:$I,"مطالبة مرفوعة للمالية"))</f>
        <v/>
      </c>
      <c r="L280" t="str">
        <f>IF(B280="","",COUNTIFS('المطالبات 2026'!$E:$E,B280,'المطالبات 2026'!$I:$I,"مطالبة مرفوعة للمالية") + COUNTIFS('المطالبات 2025'!$E:$E,B280,'المطالبات 2025'!$I:$I,"مطالبة مرفوعة للمالية"))</f>
        <v/>
      </c>
      <c r="M280">
        <f t="shared" si="13"/>
        <v>0</v>
      </c>
      <c r="N280" t="str">
        <f>IF(B280="","",SUMIFS(DB_All!$N$2:$N$1000,DB_All!$G$2:$G$1000,B280,DB_All!$L$2:$L$1000,"تحت إجراءات التوريد"))</f>
        <v/>
      </c>
      <c r="O280" t="str">
        <f>IF(B280="","",COUNTIFS(DB_All!$G$2:$G$1000,B280,DB_All!$L$2:$L$1000,"تحت إجراءات التوريد"))</f>
        <v/>
      </c>
      <c r="P280" t="str">
        <f>IF(B280="","",SUMIFS(DB_All!$N$2:$N$1000,DB_All!$G$2:$G$1000,B280,DB_All!$L$2:$L$1000,"بانتظار سندات الاستلام \ شهادة الإنجاز"))</f>
        <v/>
      </c>
      <c r="Q280" t="str">
        <f>IF(B280="","",COUNTIFS(DB_All!$G$2:$G$1000,B280,DB_All!$L$2:$L$1000,"بانتظار سندات الاستلام \ شهادة الإنجاز"))</f>
        <v/>
      </c>
      <c r="R280" t="str">
        <f t="shared" si="14"/>
        <v/>
      </c>
    </row>
    <row r="281" spans="6:18" x14ac:dyDescent="0.3">
      <c r="F281" t="str">
        <f>IF(B281="","",SUMIFS(DB_All!$M$2:$M$1000,DB_All!$G$2:$G$1000,B281,DB_All!$L$2:$L$1000,"تحت إجراءات التعاقد"))</f>
        <v/>
      </c>
      <c r="G281" t="str">
        <f>IF(B281="","",COUNTIFS(DB_All!$G$2:$G$1000,B281,DB_All!$L$2:$L$1000,"تحت إجراءات التعاقد"))</f>
        <v/>
      </c>
      <c r="H281" t="str">
        <f>IF(B281="","",SUMIFS(DB_All!$N$2:$N$1000,DB_All!$G$2:$G$1000,B281,DB_All!$L$2:$L$1000,"تم التوقيع"))</f>
        <v/>
      </c>
      <c r="I281" t="str">
        <f>IF(B281="","",COUNTIFS(DB_All!$G$2:$G$1000,B281,DB_All!$L$2:$L$1000,"تم التوقيع"))</f>
        <v/>
      </c>
      <c r="J281">
        <f t="shared" si="12"/>
        <v>0</v>
      </c>
      <c r="K281" t="str">
        <f>IF(B281="","",SUMIFS('المطالبات 2026'!$J:$J,'المطالبات 2026'!$E:$E,B281,'المطالبات 2026'!$I:$I,"مطالبة مرفوعة للمالية") + SUMIFS('المطالبات 2025'!$J:$J,'المطالبات 2025'!$E:$E,B281,'المطالبات 2025'!$I:$I,"مطالبة مرفوعة للمالية"))</f>
        <v/>
      </c>
      <c r="L281" t="str">
        <f>IF(B281="","",COUNTIFS('المطالبات 2026'!$E:$E,B281,'المطالبات 2026'!$I:$I,"مطالبة مرفوعة للمالية") + COUNTIFS('المطالبات 2025'!$E:$E,B281,'المطالبات 2025'!$I:$I,"مطالبة مرفوعة للمالية"))</f>
        <v/>
      </c>
      <c r="M281">
        <f t="shared" si="13"/>
        <v>0</v>
      </c>
      <c r="N281" t="str">
        <f>IF(B281="","",SUMIFS(DB_All!$N$2:$N$1000,DB_All!$G$2:$G$1000,B281,DB_All!$L$2:$L$1000,"تحت إجراءات التوريد"))</f>
        <v/>
      </c>
      <c r="O281" t="str">
        <f>IF(B281="","",COUNTIFS(DB_All!$G$2:$G$1000,B281,DB_All!$L$2:$L$1000,"تحت إجراءات التوريد"))</f>
        <v/>
      </c>
      <c r="P281" t="str">
        <f>IF(B281="","",SUMIFS(DB_All!$N$2:$N$1000,DB_All!$G$2:$G$1000,B281,DB_All!$L$2:$L$1000,"بانتظار سندات الاستلام \ شهادة الإنجاز"))</f>
        <v/>
      </c>
      <c r="Q281" t="str">
        <f>IF(B281="","",COUNTIFS(DB_All!$G$2:$G$1000,B281,DB_All!$L$2:$L$1000,"بانتظار سندات الاستلام \ شهادة الإنجاز"))</f>
        <v/>
      </c>
      <c r="R281" t="str">
        <f t="shared" si="14"/>
        <v/>
      </c>
    </row>
    <row r="282" spans="6:18" x14ac:dyDescent="0.3">
      <c r="F282" t="str">
        <f>IF(B282="","",SUMIFS(DB_All!$M$2:$M$1000,DB_All!$G$2:$G$1000,B282,DB_All!$L$2:$L$1000,"تحت إجراءات التعاقد"))</f>
        <v/>
      </c>
      <c r="G282" t="str">
        <f>IF(B282="","",COUNTIFS(DB_All!$G$2:$G$1000,B282,DB_All!$L$2:$L$1000,"تحت إجراءات التعاقد"))</f>
        <v/>
      </c>
      <c r="H282" t="str">
        <f>IF(B282="","",SUMIFS(DB_All!$N$2:$N$1000,DB_All!$G$2:$G$1000,B282,DB_All!$L$2:$L$1000,"تم التوقيع"))</f>
        <v/>
      </c>
      <c r="I282" t="str">
        <f>IF(B282="","",COUNTIFS(DB_All!$G$2:$G$1000,B282,DB_All!$L$2:$L$1000,"تم التوقيع"))</f>
        <v/>
      </c>
      <c r="J282">
        <f t="shared" si="12"/>
        <v>0</v>
      </c>
      <c r="K282" t="str">
        <f>IF(B282="","",SUMIFS('المطالبات 2026'!$J:$J,'المطالبات 2026'!$E:$E,B282,'المطالبات 2026'!$I:$I,"مطالبة مرفوعة للمالية") + SUMIFS('المطالبات 2025'!$J:$J,'المطالبات 2025'!$E:$E,B282,'المطالبات 2025'!$I:$I,"مطالبة مرفوعة للمالية"))</f>
        <v/>
      </c>
      <c r="L282" t="str">
        <f>IF(B282="","",COUNTIFS('المطالبات 2026'!$E:$E,B282,'المطالبات 2026'!$I:$I,"مطالبة مرفوعة للمالية") + COUNTIFS('المطالبات 2025'!$E:$E,B282,'المطالبات 2025'!$I:$I,"مطالبة مرفوعة للمالية"))</f>
        <v/>
      </c>
      <c r="M282">
        <f t="shared" si="13"/>
        <v>0</v>
      </c>
      <c r="N282" t="str">
        <f>IF(B282="","",SUMIFS(DB_All!$N$2:$N$1000,DB_All!$G$2:$G$1000,B282,DB_All!$L$2:$L$1000,"تحت إجراءات التوريد"))</f>
        <v/>
      </c>
      <c r="O282" t="str">
        <f>IF(B282="","",COUNTIFS(DB_All!$G$2:$G$1000,B282,DB_All!$L$2:$L$1000,"تحت إجراءات التوريد"))</f>
        <v/>
      </c>
      <c r="P282" t="str">
        <f>IF(B282="","",SUMIFS(DB_All!$N$2:$N$1000,DB_All!$G$2:$G$1000,B282,DB_All!$L$2:$L$1000,"بانتظار سندات الاستلام \ شهادة الإنجاز"))</f>
        <v/>
      </c>
      <c r="Q282" t="str">
        <f>IF(B282="","",COUNTIFS(DB_All!$G$2:$G$1000,B282,DB_All!$L$2:$L$1000,"بانتظار سندات الاستلام \ شهادة الإنجاز"))</f>
        <v/>
      </c>
      <c r="R282" t="str">
        <f t="shared" si="14"/>
        <v/>
      </c>
    </row>
    <row r="283" spans="6:18" x14ac:dyDescent="0.3">
      <c r="F283" t="str">
        <f>IF(B283="","",SUMIFS(DB_All!$M$2:$M$1000,DB_All!$G$2:$G$1000,B283,DB_All!$L$2:$L$1000,"تحت إجراءات التعاقد"))</f>
        <v/>
      </c>
      <c r="G283" t="str">
        <f>IF(B283="","",COUNTIFS(DB_All!$G$2:$G$1000,B283,DB_All!$L$2:$L$1000,"تحت إجراءات التعاقد"))</f>
        <v/>
      </c>
      <c r="H283" t="str">
        <f>IF(B283="","",SUMIFS(DB_All!$N$2:$N$1000,DB_All!$G$2:$G$1000,B283,DB_All!$L$2:$L$1000,"تم التوقيع"))</f>
        <v/>
      </c>
      <c r="I283" t="str">
        <f>IF(B283="","",COUNTIFS(DB_All!$G$2:$G$1000,B283,DB_All!$L$2:$L$1000,"تم التوقيع"))</f>
        <v/>
      </c>
      <c r="J283">
        <f t="shared" si="12"/>
        <v>0</v>
      </c>
      <c r="K283" t="str">
        <f>IF(B283="","",SUMIFS('المطالبات 2026'!$J:$J,'المطالبات 2026'!$E:$E,B283,'المطالبات 2026'!$I:$I,"مطالبة مرفوعة للمالية") + SUMIFS('المطالبات 2025'!$J:$J,'المطالبات 2025'!$E:$E,B283,'المطالبات 2025'!$I:$I,"مطالبة مرفوعة للمالية"))</f>
        <v/>
      </c>
      <c r="L283" t="str">
        <f>IF(B283="","",COUNTIFS('المطالبات 2026'!$E:$E,B283,'المطالبات 2026'!$I:$I,"مطالبة مرفوعة للمالية") + COUNTIFS('المطالبات 2025'!$E:$E,B283,'المطالبات 2025'!$I:$I,"مطالبة مرفوعة للمالية"))</f>
        <v/>
      </c>
      <c r="M283">
        <f t="shared" si="13"/>
        <v>0</v>
      </c>
      <c r="N283" t="str">
        <f>IF(B283="","",SUMIFS(DB_All!$N$2:$N$1000,DB_All!$G$2:$G$1000,B283,DB_All!$L$2:$L$1000,"تحت إجراءات التوريد"))</f>
        <v/>
      </c>
      <c r="O283" t="str">
        <f>IF(B283="","",COUNTIFS(DB_All!$G$2:$G$1000,B283,DB_All!$L$2:$L$1000,"تحت إجراءات التوريد"))</f>
        <v/>
      </c>
      <c r="P283" t="str">
        <f>IF(B283="","",SUMIFS(DB_All!$N$2:$N$1000,DB_All!$G$2:$G$1000,B283,DB_All!$L$2:$L$1000,"بانتظار سندات الاستلام \ شهادة الإنجاز"))</f>
        <v/>
      </c>
      <c r="Q283" t="str">
        <f>IF(B283="","",COUNTIFS(DB_All!$G$2:$G$1000,B283,DB_All!$L$2:$L$1000,"بانتظار سندات الاستلام \ شهادة الإنجاز"))</f>
        <v/>
      </c>
      <c r="R283" t="str">
        <f t="shared" si="14"/>
        <v/>
      </c>
    </row>
    <row r="284" spans="6:18" x14ac:dyDescent="0.3">
      <c r="F284" t="str">
        <f>IF(B284="","",SUMIFS(DB_All!$M$2:$M$1000,DB_All!$G$2:$G$1000,B284,DB_All!$L$2:$L$1000,"تحت إجراءات التعاقد"))</f>
        <v/>
      </c>
      <c r="G284" t="str">
        <f>IF(B284="","",COUNTIFS(DB_All!$G$2:$G$1000,B284,DB_All!$L$2:$L$1000,"تحت إجراءات التعاقد"))</f>
        <v/>
      </c>
      <c r="H284" t="str">
        <f>IF(B284="","",SUMIFS(DB_All!$N$2:$N$1000,DB_All!$G$2:$G$1000,B284,DB_All!$L$2:$L$1000,"تم التوقيع"))</f>
        <v/>
      </c>
      <c r="I284" t="str">
        <f>IF(B284="","",COUNTIFS(DB_All!$G$2:$G$1000,B284,DB_All!$L$2:$L$1000,"تم التوقيع"))</f>
        <v/>
      </c>
      <c r="J284">
        <f t="shared" si="12"/>
        <v>0</v>
      </c>
      <c r="K284" t="str">
        <f>IF(B284="","",SUMIFS('المطالبات 2026'!$J:$J,'المطالبات 2026'!$E:$E,B284,'المطالبات 2026'!$I:$I,"مطالبة مرفوعة للمالية") + SUMIFS('المطالبات 2025'!$J:$J,'المطالبات 2025'!$E:$E,B284,'المطالبات 2025'!$I:$I,"مطالبة مرفوعة للمالية"))</f>
        <v/>
      </c>
      <c r="L284" t="str">
        <f>IF(B284="","",COUNTIFS('المطالبات 2026'!$E:$E,B284,'المطالبات 2026'!$I:$I,"مطالبة مرفوعة للمالية") + COUNTIFS('المطالبات 2025'!$E:$E,B284,'المطالبات 2025'!$I:$I,"مطالبة مرفوعة للمالية"))</f>
        <v/>
      </c>
      <c r="M284">
        <f t="shared" si="13"/>
        <v>0</v>
      </c>
      <c r="N284" t="str">
        <f>IF(B284="","",SUMIFS(DB_All!$N$2:$N$1000,DB_All!$G$2:$G$1000,B284,DB_All!$L$2:$L$1000,"تحت إجراءات التوريد"))</f>
        <v/>
      </c>
      <c r="O284" t="str">
        <f>IF(B284="","",COUNTIFS(DB_All!$G$2:$G$1000,B284,DB_All!$L$2:$L$1000,"تحت إجراءات التوريد"))</f>
        <v/>
      </c>
      <c r="P284" t="str">
        <f>IF(B284="","",SUMIFS(DB_All!$N$2:$N$1000,DB_All!$G$2:$G$1000,B284,DB_All!$L$2:$L$1000,"بانتظار سندات الاستلام \ شهادة الإنجاز"))</f>
        <v/>
      </c>
      <c r="Q284" t="str">
        <f>IF(B284="","",COUNTIFS(DB_All!$G$2:$G$1000,B284,DB_All!$L$2:$L$1000,"بانتظار سندات الاستلام \ شهادة الإنجاز"))</f>
        <v/>
      </c>
      <c r="R284" t="str">
        <f t="shared" si="14"/>
        <v/>
      </c>
    </row>
    <row r="285" spans="6:18" x14ac:dyDescent="0.3">
      <c r="F285" t="str">
        <f>IF(B285="","",SUMIFS(DB_All!$M$2:$M$1000,DB_All!$G$2:$G$1000,B285,DB_All!$L$2:$L$1000,"تحت إجراءات التعاقد"))</f>
        <v/>
      </c>
      <c r="G285" t="str">
        <f>IF(B285="","",COUNTIFS(DB_All!$G$2:$G$1000,B285,DB_All!$L$2:$L$1000,"تحت إجراءات التعاقد"))</f>
        <v/>
      </c>
      <c r="H285" t="str">
        <f>IF(B285="","",SUMIFS(DB_All!$N$2:$N$1000,DB_All!$G$2:$G$1000,B285,DB_All!$L$2:$L$1000,"تم التوقيع"))</f>
        <v/>
      </c>
      <c r="I285" t="str">
        <f>IF(B285="","",COUNTIFS(DB_All!$G$2:$G$1000,B285,DB_All!$L$2:$L$1000,"تم التوقيع"))</f>
        <v/>
      </c>
      <c r="J285">
        <f t="shared" si="12"/>
        <v>0</v>
      </c>
      <c r="K285" t="str">
        <f>IF(B285="","",SUMIFS('المطالبات 2026'!$J:$J,'المطالبات 2026'!$E:$E,B285,'المطالبات 2026'!$I:$I,"مطالبة مرفوعة للمالية") + SUMIFS('المطالبات 2025'!$J:$J,'المطالبات 2025'!$E:$E,B285,'المطالبات 2025'!$I:$I,"مطالبة مرفوعة للمالية"))</f>
        <v/>
      </c>
      <c r="L285" t="str">
        <f>IF(B285="","",COUNTIFS('المطالبات 2026'!$E:$E,B285,'المطالبات 2026'!$I:$I,"مطالبة مرفوعة للمالية") + COUNTIFS('المطالبات 2025'!$E:$E,B285,'المطالبات 2025'!$I:$I,"مطالبة مرفوعة للمالية"))</f>
        <v/>
      </c>
      <c r="M285">
        <f t="shared" si="13"/>
        <v>0</v>
      </c>
      <c r="N285" t="str">
        <f>IF(B285="","",SUMIFS(DB_All!$N$2:$N$1000,DB_All!$G$2:$G$1000,B285,DB_All!$L$2:$L$1000,"تحت إجراءات التوريد"))</f>
        <v/>
      </c>
      <c r="O285" t="str">
        <f>IF(B285="","",COUNTIFS(DB_All!$G$2:$G$1000,B285,DB_All!$L$2:$L$1000,"تحت إجراءات التوريد"))</f>
        <v/>
      </c>
      <c r="P285" t="str">
        <f>IF(B285="","",SUMIFS(DB_All!$N$2:$N$1000,DB_All!$G$2:$G$1000,B285,DB_All!$L$2:$L$1000,"بانتظار سندات الاستلام \ شهادة الإنجاز"))</f>
        <v/>
      </c>
      <c r="Q285" t="str">
        <f>IF(B285="","",COUNTIFS(DB_All!$G$2:$G$1000,B285,DB_All!$L$2:$L$1000,"بانتظار سندات الاستلام \ شهادة الإنجاز"))</f>
        <v/>
      </c>
      <c r="R285" t="str">
        <f t="shared" si="14"/>
        <v/>
      </c>
    </row>
    <row r="286" spans="6:18" x14ac:dyDescent="0.3">
      <c r="F286" t="str">
        <f>IF(B286="","",SUMIFS(DB_All!$M$2:$M$1000,DB_All!$G$2:$G$1000,B286,DB_All!$L$2:$L$1000,"تحت إجراءات التعاقد"))</f>
        <v/>
      </c>
      <c r="G286" t="str">
        <f>IF(B286="","",COUNTIFS(DB_All!$G$2:$G$1000,B286,DB_All!$L$2:$L$1000,"تحت إجراءات التعاقد"))</f>
        <v/>
      </c>
      <c r="H286" t="str">
        <f>IF(B286="","",SUMIFS(DB_All!$N$2:$N$1000,DB_All!$G$2:$G$1000,B286,DB_All!$L$2:$L$1000,"تم التوقيع"))</f>
        <v/>
      </c>
      <c r="I286" t="str">
        <f>IF(B286="","",COUNTIFS(DB_All!$G$2:$G$1000,B286,DB_All!$L$2:$L$1000,"تم التوقيع"))</f>
        <v/>
      </c>
      <c r="J286">
        <f t="shared" si="12"/>
        <v>0</v>
      </c>
      <c r="K286" t="str">
        <f>IF(B286="","",SUMIFS('المطالبات 2026'!$J:$J,'المطالبات 2026'!$E:$E,B286,'المطالبات 2026'!$I:$I,"مطالبة مرفوعة للمالية") + SUMIFS('المطالبات 2025'!$J:$J,'المطالبات 2025'!$E:$E,B286,'المطالبات 2025'!$I:$I,"مطالبة مرفوعة للمالية"))</f>
        <v/>
      </c>
      <c r="L286" t="str">
        <f>IF(B286="","",COUNTIFS('المطالبات 2026'!$E:$E,B286,'المطالبات 2026'!$I:$I,"مطالبة مرفوعة للمالية") + COUNTIFS('المطالبات 2025'!$E:$E,B286,'المطالبات 2025'!$I:$I,"مطالبة مرفوعة للمالية"))</f>
        <v/>
      </c>
      <c r="M286">
        <f t="shared" si="13"/>
        <v>0</v>
      </c>
      <c r="N286" t="str">
        <f>IF(B286="","",SUMIFS(DB_All!$N$2:$N$1000,DB_All!$G$2:$G$1000,B286,DB_All!$L$2:$L$1000,"تحت إجراءات التوريد"))</f>
        <v/>
      </c>
      <c r="O286" t="str">
        <f>IF(B286="","",COUNTIFS(DB_All!$G$2:$G$1000,B286,DB_All!$L$2:$L$1000,"تحت إجراءات التوريد"))</f>
        <v/>
      </c>
      <c r="P286" t="str">
        <f>IF(B286="","",SUMIFS(DB_All!$N$2:$N$1000,DB_All!$G$2:$G$1000,B286,DB_All!$L$2:$L$1000,"بانتظار سندات الاستلام \ شهادة الإنجاز"))</f>
        <v/>
      </c>
      <c r="Q286" t="str">
        <f>IF(B286="","",COUNTIFS(DB_All!$G$2:$G$1000,B286,DB_All!$L$2:$L$1000,"بانتظار سندات الاستلام \ شهادة الإنجاز"))</f>
        <v/>
      </c>
      <c r="R286" t="str">
        <f t="shared" si="14"/>
        <v/>
      </c>
    </row>
    <row r="287" spans="6:18" x14ac:dyDescent="0.3">
      <c r="F287" t="str">
        <f>IF(B287="","",SUMIFS(DB_All!$M$2:$M$1000,DB_All!$G$2:$G$1000,B287,DB_All!$L$2:$L$1000,"تحت إجراءات التعاقد"))</f>
        <v/>
      </c>
      <c r="G287" t="str">
        <f>IF(B287="","",COUNTIFS(DB_All!$G$2:$G$1000,B287,DB_All!$L$2:$L$1000,"تحت إجراءات التعاقد"))</f>
        <v/>
      </c>
      <c r="H287" t="str">
        <f>IF(B287="","",SUMIFS(DB_All!$N$2:$N$1000,DB_All!$G$2:$G$1000,B287,DB_All!$L$2:$L$1000,"تم التوقيع"))</f>
        <v/>
      </c>
      <c r="I287" t="str">
        <f>IF(B287="","",COUNTIFS(DB_All!$G$2:$G$1000,B287,DB_All!$L$2:$L$1000,"تم التوقيع"))</f>
        <v/>
      </c>
      <c r="J287">
        <f t="shared" si="12"/>
        <v>0</v>
      </c>
      <c r="K287" t="str">
        <f>IF(B287="","",SUMIFS('المطالبات 2026'!$J:$J,'المطالبات 2026'!$E:$E,B287,'المطالبات 2026'!$I:$I,"مطالبة مرفوعة للمالية") + SUMIFS('المطالبات 2025'!$J:$J,'المطالبات 2025'!$E:$E,B287,'المطالبات 2025'!$I:$I,"مطالبة مرفوعة للمالية"))</f>
        <v/>
      </c>
      <c r="L287" t="str">
        <f>IF(B287="","",COUNTIFS('المطالبات 2026'!$E:$E,B287,'المطالبات 2026'!$I:$I,"مطالبة مرفوعة للمالية") + COUNTIFS('المطالبات 2025'!$E:$E,B287,'المطالبات 2025'!$I:$I,"مطالبة مرفوعة للمالية"))</f>
        <v/>
      </c>
      <c r="M287">
        <f t="shared" si="13"/>
        <v>0</v>
      </c>
      <c r="N287" t="str">
        <f>IF(B287="","",SUMIFS(DB_All!$N$2:$N$1000,DB_All!$G$2:$G$1000,B287,DB_All!$L$2:$L$1000,"تحت إجراءات التوريد"))</f>
        <v/>
      </c>
      <c r="O287" t="str">
        <f>IF(B287="","",COUNTIFS(DB_All!$G$2:$G$1000,B287,DB_All!$L$2:$L$1000,"تحت إجراءات التوريد"))</f>
        <v/>
      </c>
      <c r="P287" t="str">
        <f>IF(B287="","",SUMIFS(DB_All!$N$2:$N$1000,DB_All!$G$2:$G$1000,B287,DB_All!$L$2:$L$1000,"بانتظار سندات الاستلام \ شهادة الإنجاز"))</f>
        <v/>
      </c>
      <c r="Q287" t="str">
        <f>IF(B287="","",COUNTIFS(DB_All!$G$2:$G$1000,B287,DB_All!$L$2:$L$1000,"بانتظار سندات الاستلام \ شهادة الإنجاز"))</f>
        <v/>
      </c>
      <c r="R287" t="str">
        <f t="shared" si="14"/>
        <v/>
      </c>
    </row>
    <row r="288" spans="6:18" x14ac:dyDescent="0.3">
      <c r="F288" t="str">
        <f>IF(B288="","",SUMIFS(DB_All!$M$2:$M$1000,DB_All!$G$2:$G$1000,B288,DB_All!$L$2:$L$1000,"تحت إجراءات التعاقد"))</f>
        <v/>
      </c>
      <c r="G288" t="str">
        <f>IF(B288="","",COUNTIFS(DB_All!$G$2:$G$1000,B288,DB_All!$L$2:$L$1000,"تحت إجراءات التعاقد"))</f>
        <v/>
      </c>
      <c r="H288" t="str">
        <f>IF(B288="","",SUMIFS(DB_All!$N$2:$N$1000,DB_All!$G$2:$G$1000,B288,DB_All!$L$2:$L$1000,"تم التوقيع"))</f>
        <v/>
      </c>
      <c r="I288" t="str">
        <f>IF(B288="","",COUNTIFS(DB_All!$G$2:$G$1000,B288,DB_All!$L$2:$L$1000,"تم التوقيع"))</f>
        <v/>
      </c>
      <c r="J288">
        <f t="shared" si="12"/>
        <v>0</v>
      </c>
      <c r="K288" t="str">
        <f>IF(B288="","",SUMIFS('المطالبات 2026'!$J:$J,'المطالبات 2026'!$E:$E,B288,'المطالبات 2026'!$I:$I,"مطالبة مرفوعة للمالية") + SUMIFS('المطالبات 2025'!$J:$J,'المطالبات 2025'!$E:$E,B288,'المطالبات 2025'!$I:$I,"مطالبة مرفوعة للمالية"))</f>
        <v/>
      </c>
      <c r="L288" t="str">
        <f>IF(B288="","",COUNTIFS('المطالبات 2026'!$E:$E,B288,'المطالبات 2026'!$I:$I,"مطالبة مرفوعة للمالية") + COUNTIFS('المطالبات 2025'!$E:$E,B288,'المطالبات 2025'!$I:$I,"مطالبة مرفوعة للمالية"))</f>
        <v/>
      </c>
      <c r="M288">
        <f t="shared" si="13"/>
        <v>0</v>
      </c>
      <c r="N288" t="str">
        <f>IF(B288="","",SUMIFS(DB_All!$N$2:$N$1000,DB_All!$G$2:$G$1000,B288,DB_All!$L$2:$L$1000,"تحت إجراءات التوريد"))</f>
        <v/>
      </c>
      <c r="O288" t="str">
        <f>IF(B288="","",COUNTIFS(DB_All!$G$2:$G$1000,B288,DB_All!$L$2:$L$1000,"تحت إجراءات التوريد"))</f>
        <v/>
      </c>
      <c r="P288" t="str">
        <f>IF(B288="","",SUMIFS(DB_All!$N$2:$N$1000,DB_All!$G$2:$G$1000,B288,DB_All!$L$2:$L$1000,"بانتظار سندات الاستلام \ شهادة الإنجاز"))</f>
        <v/>
      </c>
      <c r="Q288" t="str">
        <f>IF(B288="","",COUNTIFS(DB_All!$G$2:$G$1000,B288,DB_All!$L$2:$L$1000,"بانتظار سندات الاستلام \ شهادة الإنجاز"))</f>
        <v/>
      </c>
      <c r="R288" t="str">
        <f t="shared" si="14"/>
        <v/>
      </c>
    </row>
    <row r="289" spans="6:18" x14ac:dyDescent="0.3">
      <c r="F289" t="str">
        <f>IF(B289="","",SUMIFS(DB_All!$M$2:$M$1000,DB_All!$G$2:$G$1000,B289,DB_All!$L$2:$L$1000,"تحت إجراءات التعاقد"))</f>
        <v/>
      </c>
      <c r="G289" t="str">
        <f>IF(B289="","",COUNTIFS(DB_All!$G$2:$G$1000,B289,DB_All!$L$2:$L$1000,"تحت إجراءات التعاقد"))</f>
        <v/>
      </c>
      <c r="H289" t="str">
        <f>IF(B289="","",SUMIFS(DB_All!$N$2:$N$1000,DB_All!$G$2:$G$1000,B289,DB_All!$L$2:$L$1000,"تم التوقيع"))</f>
        <v/>
      </c>
      <c r="I289" t="str">
        <f>IF(B289="","",COUNTIFS(DB_All!$G$2:$G$1000,B289,DB_All!$L$2:$L$1000,"تم التوقيع"))</f>
        <v/>
      </c>
      <c r="J289">
        <f t="shared" si="12"/>
        <v>0</v>
      </c>
      <c r="K289" t="str">
        <f>IF(B289="","",SUMIFS('المطالبات 2026'!$J:$J,'المطالبات 2026'!$E:$E,B289,'المطالبات 2026'!$I:$I,"مطالبة مرفوعة للمالية") + SUMIFS('المطالبات 2025'!$J:$J,'المطالبات 2025'!$E:$E,B289,'المطالبات 2025'!$I:$I,"مطالبة مرفوعة للمالية"))</f>
        <v/>
      </c>
      <c r="L289" t="str">
        <f>IF(B289="","",COUNTIFS('المطالبات 2026'!$E:$E,B289,'المطالبات 2026'!$I:$I,"مطالبة مرفوعة للمالية") + COUNTIFS('المطالبات 2025'!$E:$E,B289,'المطالبات 2025'!$I:$I,"مطالبة مرفوعة للمالية"))</f>
        <v/>
      </c>
      <c r="M289">
        <f t="shared" si="13"/>
        <v>0</v>
      </c>
      <c r="N289" t="str">
        <f>IF(B289="","",SUMIFS(DB_All!$N$2:$N$1000,DB_All!$G$2:$G$1000,B289,DB_All!$L$2:$L$1000,"تحت إجراءات التوريد"))</f>
        <v/>
      </c>
      <c r="O289" t="str">
        <f>IF(B289="","",COUNTIFS(DB_All!$G$2:$G$1000,B289,DB_All!$L$2:$L$1000,"تحت إجراءات التوريد"))</f>
        <v/>
      </c>
      <c r="P289" t="str">
        <f>IF(B289="","",SUMIFS(DB_All!$N$2:$N$1000,DB_All!$G$2:$G$1000,B289,DB_All!$L$2:$L$1000,"بانتظار سندات الاستلام \ شهادة الإنجاز"))</f>
        <v/>
      </c>
      <c r="Q289" t="str">
        <f>IF(B289="","",COUNTIFS(DB_All!$G$2:$G$1000,B289,DB_All!$L$2:$L$1000,"بانتظار سندات الاستلام \ شهادة الإنجاز"))</f>
        <v/>
      </c>
      <c r="R289" t="str">
        <f t="shared" si="14"/>
        <v/>
      </c>
    </row>
    <row r="290" spans="6:18" x14ac:dyDescent="0.3">
      <c r="F290" t="str">
        <f>IF(B290="","",SUMIFS(DB_All!$M$2:$M$1000,DB_All!$G$2:$G$1000,B290,DB_All!$L$2:$L$1000,"تحت إجراءات التعاقد"))</f>
        <v/>
      </c>
      <c r="G290" t="str">
        <f>IF(B290="","",COUNTIFS(DB_All!$G$2:$G$1000,B290,DB_All!$L$2:$L$1000,"تحت إجراءات التعاقد"))</f>
        <v/>
      </c>
      <c r="H290" t="str">
        <f>IF(B290="","",SUMIFS(DB_All!$N$2:$N$1000,DB_All!$G$2:$G$1000,B290,DB_All!$L$2:$L$1000,"تم التوقيع"))</f>
        <v/>
      </c>
      <c r="I290" t="str">
        <f>IF(B290="","",COUNTIFS(DB_All!$G$2:$G$1000,B290,DB_All!$L$2:$L$1000,"تم التوقيع"))</f>
        <v/>
      </c>
      <c r="J290">
        <f t="shared" si="12"/>
        <v>0</v>
      </c>
      <c r="K290" t="str">
        <f>IF(B290="","",SUMIFS('المطالبات 2026'!$J:$J,'المطالبات 2026'!$E:$E,B290,'المطالبات 2026'!$I:$I,"مطالبة مرفوعة للمالية") + SUMIFS('المطالبات 2025'!$J:$J,'المطالبات 2025'!$E:$E,B290,'المطالبات 2025'!$I:$I,"مطالبة مرفوعة للمالية"))</f>
        <v/>
      </c>
      <c r="L290" t="str">
        <f>IF(B290="","",COUNTIFS('المطالبات 2026'!$E:$E,B290,'المطالبات 2026'!$I:$I,"مطالبة مرفوعة للمالية") + COUNTIFS('المطالبات 2025'!$E:$E,B290,'المطالبات 2025'!$I:$I,"مطالبة مرفوعة للمالية"))</f>
        <v/>
      </c>
      <c r="M290">
        <f t="shared" si="13"/>
        <v>0</v>
      </c>
      <c r="N290" t="str">
        <f>IF(B290="","",SUMIFS(DB_All!$N$2:$N$1000,DB_All!$G$2:$G$1000,B290,DB_All!$L$2:$L$1000,"تحت إجراءات التوريد"))</f>
        <v/>
      </c>
      <c r="O290" t="str">
        <f>IF(B290="","",COUNTIFS(DB_All!$G$2:$G$1000,B290,DB_All!$L$2:$L$1000,"تحت إجراءات التوريد"))</f>
        <v/>
      </c>
      <c r="P290" t="str">
        <f>IF(B290="","",SUMIFS(DB_All!$N$2:$N$1000,DB_All!$G$2:$G$1000,B290,DB_All!$L$2:$L$1000,"بانتظار سندات الاستلام \ شهادة الإنجاز"))</f>
        <v/>
      </c>
      <c r="Q290" t="str">
        <f>IF(B290="","",COUNTIFS(DB_All!$G$2:$G$1000,B290,DB_All!$L$2:$L$1000,"بانتظار سندات الاستلام \ شهادة الإنجاز"))</f>
        <v/>
      </c>
      <c r="R290" t="str">
        <f t="shared" si="14"/>
        <v/>
      </c>
    </row>
    <row r="291" spans="6:18" x14ac:dyDescent="0.3">
      <c r="F291" t="str">
        <f>IF(B291="","",SUMIFS(DB_All!$M$2:$M$1000,DB_All!$G$2:$G$1000,B291,DB_All!$L$2:$L$1000,"تحت إجراءات التعاقد"))</f>
        <v/>
      </c>
      <c r="G291" t="str">
        <f>IF(B291="","",COUNTIFS(DB_All!$G$2:$G$1000,B291,DB_All!$L$2:$L$1000,"تحت إجراءات التعاقد"))</f>
        <v/>
      </c>
      <c r="H291" t="str">
        <f>IF(B291="","",SUMIFS(DB_All!$N$2:$N$1000,DB_All!$G$2:$G$1000,B291,DB_All!$L$2:$L$1000,"تم التوقيع"))</f>
        <v/>
      </c>
      <c r="I291" t="str">
        <f>IF(B291="","",COUNTIFS(DB_All!$G$2:$G$1000,B291,DB_All!$L$2:$L$1000,"تم التوقيع"))</f>
        <v/>
      </c>
      <c r="J291">
        <f t="shared" si="12"/>
        <v>0</v>
      </c>
      <c r="K291" t="str">
        <f>IF(B291="","",SUMIFS('المطالبات 2026'!$J:$J,'المطالبات 2026'!$E:$E,B291,'المطالبات 2026'!$I:$I,"مطالبة مرفوعة للمالية") + SUMIFS('المطالبات 2025'!$J:$J,'المطالبات 2025'!$E:$E,B291,'المطالبات 2025'!$I:$I,"مطالبة مرفوعة للمالية"))</f>
        <v/>
      </c>
      <c r="L291" t="str">
        <f>IF(B291="","",COUNTIFS('المطالبات 2026'!$E:$E,B291,'المطالبات 2026'!$I:$I,"مطالبة مرفوعة للمالية") + COUNTIFS('المطالبات 2025'!$E:$E,B291,'المطالبات 2025'!$I:$I,"مطالبة مرفوعة للمالية"))</f>
        <v/>
      </c>
      <c r="M291">
        <f t="shared" si="13"/>
        <v>0</v>
      </c>
      <c r="N291" t="str">
        <f>IF(B291="","",SUMIFS(DB_All!$N$2:$N$1000,DB_All!$G$2:$G$1000,B291,DB_All!$L$2:$L$1000,"تحت إجراءات التوريد"))</f>
        <v/>
      </c>
      <c r="O291" t="str">
        <f>IF(B291="","",COUNTIFS(DB_All!$G$2:$G$1000,B291,DB_All!$L$2:$L$1000,"تحت إجراءات التوريد"))</f>
        <v/>
      </c>
      <c r="P291" t="str">
        <f>IF(B291="","",SUMIFS(DB_All!$N$2:$N$1000,DB_All!$G$2:$G$1000,B291,DB_All!$L$2:$L$1000,"بانتظار سندات الاستلام \ شهادة الإنجاز"))</f>
        <v/>
      </c>
      <c r="Q291" t="str">
        <f>IF(B291="","",COUNTIFS(DB_All!$G$2:$G$1000,B291,DB_All!$L$2:$L$1000,"بانتظار سندات الاستلام \ شهادة الإنجاز"))</f>
        <v/>
      </c>
      <c r="R291" t="str">
        <f t="shared" si="14"/>
        <v/>
      </c>
    </row>
    <row r="292" spans="6:18" x14ac:dyDescent="0.3">
      <c r="F292" t="str">
        <f>IF(B292="","",SUMIFS(DB_All!$M$2:$M$1000,DB_All!$G$2:$G$1000,B292,DB_All!$L$2:$L$1000,"تحت إجراءات التعاقد"))</f>
        <v/>
      </c>
      <c r="G292" t="str">
        <f>IF(B292="","",COUNTIFS(DB_All!$G$2:$G$1000,B292,DB_All!$L$2:$L$1000,"تحت إجراءات التعاقد"))</f>
        <v/>
      </c>
      <c r="H292" t="str">
        <f>IF(B292="","",SUMIFS(DB_All!$N$2:$N$1000,DB_All!$G$2:$G$1000,B292,DB_All!$L$2:$L$1000,"تم التوقيع"))</f>
        <v/>
      </c>
      <c r="I292" t="str">
        <f>IF(B292="","",COUNTIFS(DB_All!$G$2:$G$1000,B292,DB_All!$L$2:$L$1000,"تم التوقيع"))</f>
        <v/>
      </c>
      <c r="J292">
        <f t="shared" si="12"/>
        <v>0</v>
      </c>
      <c r="K292" t="str">
        <f>IF(B292="","",SUMIFS('المطالبات 2026'!$J:$J,'المطالبات 2026'!$E:$E,B292,'المطالبات 2026'!$I:$I,"مطالبة مرفوعة للمالية") + SUMIFS('المطالبات 2025'!$J:$J,'المطالبات 2025'!$E:$E,B292,'المطالبات 2025'!$I:$I,"مطالبة مرفوعة للمالية"))</f>
        <v/>
      </c>
      <c r="L292" t="str">
        <f>IF(B292="","",COUNTIFS('المطالبات 2026'!$E:$E,B292,'المطالبات 2026'!$I:$I,"مطالبة مرفوعة للمالية") + COUNTIFS('المطالبات 2025'!$E:$E,B292,'المطالبات 2025'!$I:$I,"مطالبة مرفوعة للمالية"))</f>
        <v/>
      </c>
      <c r="M292">
        <f t="shared" si="13"/>
        <v>0</v>
      </c>
      <c r="N292" t="str">
        <f>IF(B292="","",SUMIFS(DB_All!$N$2:$N$1000,DB_All!$G$2:$G$1000,B292,DB_All!$L$2:$L$1000,"تحت إجراءات التوريد"))</f>
        <v/>
      </c>
      <c r="O292" t="str">
        <f>IF(B292="","",COUNTIFS(DB_All!$G$2:$G$1000,B292,DB_All!$L$2:$L$1000,"تحت إجراءات التوريد"))</f>
        <v/>
      </c>
      <c r="P292" t="str">
        <f>IF(B292="","",SUMIFS(DB_All!$N$2:$N$1000,DB_All!$G$2:$G$1000,B292,DB_All!$L$2:$L$1000,"بانتظار سندات الاستلام \ شهادة الإنجاز"))</f>
        <v/>
      </c>
      <c r="Q292" t="str">
        <f>IF(B292="","",COUNTIFS(DB_All!$G$2:$G$1000,B292,DB_All!$L$2:$L$1000,"بانتظار سندات الاستلام \ شهادة الإنجاز"))</f>
        <v/>
      </c>
      <c r="R292" t="str">
        <f t="shared" si="14"/>
        <v/>
      </c>
    </row>
    <row r="293" spans="6:18" x14ac:dyDescent="0.3">
      <c r="F293" t="str">
        <f>IF(B293="","",SUMIFS(DB_All!$M$2:$M$1000,DB_All!$G$2:$G$1000,B293,DB_All!$L$2:$L$1000,"تحت إجراءات التعاقد"))</f>
        <v/>
      </c>
      <c r="G293" t="str">
        <f>IF(B293="","",COUNTIFS(DB_All!$G$2:$G$1000,B293,DB_All!$L$2:$L$1000,"تحت إجراءات التعاقد"))</f>
        <v/>
      </c>
      <c r="H293" t="str">
        <f>IF(B293="","",SUMIFS(DB_All!$N$2:$N$1000,DB_All!$G$2:$G$1000,B293,DB_All!$L$2:$L$1000,"تم التوقيع"))</f>
        <v/>
      </c>
      <c r="I293" t="str">
        <f>IF(B293="","",COUNTIFS(DB_All!$G$2:$G$1000,B293,DB_All!$L$2:$L$1000,"تم التوقيع"))</f>
        <v/>
      </c>
      <c r="J293">
        <f t="shared" si="12"/>
        <v>0</v>
      </c>
      <c r="K293" t="str">
        <f>IF(B293="","",SUMIFS('المطالبات 2026'!$J:$J,'المطالبات 2026'!$E:$E,B293,'المطالبات 2026'!$I:$I,"مطالبة مرفوعة للمالية") + SUMIFS('المطالبات 2025'!$J:$J,'المطالبات 2025'!$E:$E,B293,'المطالبات 2025'!$I:$I,"مطالبة مرفوعة للمالية"))</f>
        <v/>
      </c>
      <c r="L293" t="str">
        <f>IF(B293="","",COUNTIFS('المطالبات 2026'!$E:$E,B293,'المطالبات 2026'!$I:$I,"مطالبة مرفوعة للمالية") + COUNTIFS('المطالبات 2025'!$E:$E,B293,'المطالبات 2025'!$I:$I,"مطالبة مرفوعة للمالية"))</f>
        <v/>
      </c>
      <c r="M293">
        <f t="shared" si="13"/>
        <v>0</v>
      </c>
      <c r="N293" t="str">
        <f>IF(B293="","",SUMIFS(DB_All!$N$2:$N$1000,DB_All!$G$2:$G$1000,B293,DB_All!$L$2:$L$1000,"تحت إجراءات التوريد"))</f>
        <v/>
      </c>
      <c r="O293" t="str">
        <f>IF(B293="","",COUNTIFS(DB_All!$G$2:$G$1000,B293,DB_All!$L$2:$L$1000,"تحت إجراءات التوريد"))</f>
        <v/>
      </c>
      <c r="P293" t="str">
        <f>IF(B293="","",SUMIFS(DB_All!$N$2:$N$1000,DB_All!$G$2:$G$1000,B293,DB_All!$L$2:$L$1000,"بانتظار سندات الاستلام \ شهادة الإنجاز"))</f>
        <v/>
      </c>
      <c r="Q293" t="str">
        <f>IF(B293="","",COUNTIFS(DB_All!$G$2:$G$1000,B293,DB_All!$L$2:$L$1000,"بانتظار سندات الاستلام \ شهادة الإنجاز"))</f>
        <v/>
      </c>
      <c r="R293" t="str">
        <f t="shared" si="14"/>
        <v/>
      </c>
    </row>
    <row r="294" spans="6:18" x14ac:dyDescent="0.3">
      <c r="F294" t="str">
        <f>IF(B294="","",SUMIFS(DB_All!$M$2:$M$1000,DB_All!$G$2:$G$1000,B294,DB_All!$L$2:$L$1000,"تحت إجراءات التعاقد"))</f>
        <v/>
      </c>
      <c r="G294" t="str">
        <f>IF(B294="","",COUNTIFS(DB_All!$G$2:$G$1000,B294,DB_All!$L$2:$L$1000,"تحت إجراءات التعاقد"))</f>
        <v/>
      </c>
      <c r="H294" t="str">
        <f>IF(B294="","",SUMIFS(DB_All!$N$2:$N$1000,DB_All!$G$2:$G$1000,B294,DB_All!$L$2:$L$1000,"تم التوقيع"))</f>
        <v/>
      </c>
      <c r="I294" t="str">
        <f>IF(B294="","",COUNTIFS(DB_All!$G$2:$G$1000,B294,DB_All!$L$2:$L$1000,"تم التوقيع"))</f>
        <v/>
      </c>
      <c r="J294">
        <f t="shared" si="12"/>
        <v>0</v>
      </c>
      <c r="K294" t="str">
        <f>IF(B294="","",SUMIFS('المطالبات 2026'!$J:$J,'المطالبات 2026'!$E:$E,B294,'المطالبات 2026'!$I:$I,"مطالبة مرفوعة للمالية") + SUMIFS('المطالبات 2025'!$J:$J,'المطالبات 2025'!$E:$E,B294,'المطالبات 2025'!$I:$I,"مطالبة مرفوعة للمالية"))</f>
        <v/>
      </c>
      <c r="L294" t="str">
        <f>IF(B294="","",COUNTIFS('المطالبات 2026'!$E:$E,B294,'المطالبات 2026'!$I:$I,"مطالبة مرفوعة للمالية") + COUNTIFS('المطالبات 2025'!$E:$E,B294,'المطالبات 2025'!$I:$I,"مطالبة مرفوعة للمالية"))</f>
        <v/>
      </c>
      <c r="M294">
        <f t="shared" si="13"/>
        <v>0</v>
      </c>
      <c r="N294" t="str">
        <f>IF(B294="","",SUMIFS(DB_All!$N$2:$N$1000,DB_All!$G$2:$G$1000,B294,DB_All!$L$2:$L$1000,"تحت إجراءات التوريد"))</f>
        <v/>
      </c>
      <c r="O294" t="str">
        <f>IF(B294="","",COUNTIFS(DB_All!$G$2:$G$1000,B294,DB_All!$L$2:$L$1000,"تحت إجراءات التوريد"))</f>
        <v/>
      </c>
      <c r="P294" t="str">
        <f>IF(B294="","",SUMIFS(DB_All!$N$2:$N$1000,DB_All!$G$2:$G$1000,B294,DB_All!$L$2:$L$1000,"بانتظار سندات الاستلام \ شهادة الإنجاز"))</f>
        <v/>
      </c>
      <c r="Q294" t="str">
        <f>IF(B294="","",COUNTIFS(DB_All!$G$2:$G$1000,B294,DB_All!$L$2:$L$1000,"بانتظار سندات الاستلام \ شهادة الإنجاز"))</f>
        <v/>
      </c>
      <c r="R294" t="str">
        <f t="shared" si="14"/>
        <v/>
      </c>
    </row>
    <row r="295" spans="6:18" x14ac:dyDescent="0.3">
      <c r="F295" t="str">
        <f>IF(B295="","",SUMIFS(DB_All!$M$2:$M$1000,DB_All!$G$2:$G$1000,B295,DB_All!$L$2:$L$1000,"تحت إجراءات التعاقد"))</f>
        <v/>
      </c>
      <c r="G295" t="str">
        <f>IF(B295="","",COUNTIFS(DB_All!$G$2:$G$1000,B295,DB_All!$L$2:$L$1000,"تحت إجراءات التعاقد"))</f>
        <v/>
      </c>
      <c r="H295" t="str">
        <f>IF(B295="","",SUMIFS(DB_All!$N$2:$N$1000,DB_All!$G$2:$G$1000,B295,DB_All!$L$2:$L$1000,"تم التوقيع"))</f>
        <v/>
      </c>
      <c r="I295" t="str">
        <f>IF(B295="","",COUNTIFS(DB_All!$G$2:$G$1000,B295,DB_All!$L$2:$L$1000,"تم التوقيع"))</f>
        <v/>
      </c>
      <c r="J295">
        <f t="shared" si="12"/>
        <v>0</v>
      </c>
      <c r="K295" t="str">
        <f>IF(B295="","",SUMIFS('المطالبات 2026'!$J:$J,'المطالبات 2026'!$E:$E,B295,'المطالبات 2026'!$I:$I,"مطالبة مرفوعة للمالية") + SUMIFS('المطالبات 2025'!$J:$J,'المطالبات 2025'!$E:$E,B295,'المطالبات 2025'!$I:$I,"مطالبة مرفوعة للمالية"))</f>
        <v/>
      </c>
      <c r="L295" t="str">
        <f>IF(B295="","",COUNTIFS('المطالبات 2026'!$E:$E,B295,'المطالبات 2026'!$I:$I,"مطالبة مرفوعة للمالية") + COUNTIFS('المطالبات 2025'!$E:$E,B295,'المطالبات 2025'!$I:$I,"مطالبة مرفوعة للمالية"))</f>
        <v/>
      </c>
      <c r="M295">
        <f t="shared" si="13"/>
        <v>0</v>
      </c>
      <c r="N295" t="str">
        <f>IF(B295="","",SUMIFS(DB_All!$N$2:$N$1000,DB_All!$G$2:$G$1000,B295,DB_All!$L$2:$L$1000,"تحت إجراءات التوريد"))</f>
        <v/>
      </c>
      <c r="O295" t="str">
        <f>IF(B295="","",COUNTIFS(DB_All!$G$2:$G$1000,B295,DB_All!$L$2:$L$1000,"تحت إجراءات التوريد"))</f>
        <v/>
      </c>
      <c r="P295" t="str">
        <f>IF(B295="","",SUMIFS(DB_All!$N$2:$N$1000,DB_All!$G$2:$G$1000,B295,DB_All!$L$2:$L$1000,"بانتظار سندات الاستلام \ شهادة الإنجاز"))</f>
        <v/>
      </c>
      <c r="Q295" t="str">
        <f>IF(B295="","",COUNTIFS(DB_All!$G$2:$G$1000,B295,DB_All!$L$2:$L$1000,"بانتظار سندات الاستلام \ شهادة الإنجاز"))</f>
        <v/>
      </c>
      <c r="R295" t="str">
        <f t="shared" si="14"/>
        <v/>
      </c>
    </row>
    <row r="296" spans="6:18" x14ac:dyDescent="0.3">
      <c r="F296" t="str">
        <f>IF(B296="","",SUMIFS(DB_All!$M$2:$M$1000,DB_All!$G$2:$G$1000,B296,DB_All!$L$2:$L$1000,"تحت إجراءات التعاقد"))</f>
        <v/>
      </c>
      <c r="G296" t="str">
        <f>IF(B296="","",COUNTIFS(DB_All!$G$2:$G$1000,B296,DB_All!$L$2:$L$1000,"تحت إجراءات التعاقد"))</f>
        <v/>
      </c>
      <c r="H296" t="str">
        <f>IF(B296="","",SUMIFS(DB_All!$N$2:$N$1000,DB_All!$G$2:$G$1000,B296,DB_All!$L$2:$L$1000,"تم التوقيع"))</f>
        <v/>
      </c>
      <c r="I296" t="str">
        <f>IF(B296="","",COUNTIFS(DB_All!$G$2:$G$1000,B296,DB_All!$L$2:$L$1000,"تم التوقيع"))</f>
        <v/>
      </c>
      <c r="J296">
        <f t="shared" si="12"/>
        <v>0</v>
      </c>
      <c r="K296" t="str">
        <f>IF(B296="","",SUMIFS('المطالبات 2026'!$J:$J,'المطالبات 2026'!$E:$E,B296,'المطالبات 2026'!$I:$I,"مطالبة مرفوعة للمالية") + SUMIFS('المطالبات 2025'!$J:$J,'المطالبات 2025'!$E:$E,B296,'المطالبات 2025'!$I:$I,"مطالبة مرفوعة للمالية"))</f>
        <v/>
      </c>
      <c r="L296" t="str">
        <f>IF(B296="","",COUNTIFS('المطالبات 2026'!$E:$E,B296,'المطالبات 2026'!$I:$I,"مطالبة مرفوعة للمالية") + COUNTIFS('المطالبات 2025'!$E:$E,B296,'المطالبات 2025'!$I:$I,"مطالبة مرفوعة للمالية"))</f>
        <v/>
      </c>
      <c r="M296">
        <f t="shared" si="13"/>
        <v>0</v>
      </c>
      <c r="N296" t="str">
        <f>IF(B296="","",SUMIFS(DB_All!$N$2:$N$1000,DB_All!$G$2:$G$1000,B296,DB_All!$L$2:$L$1000,"تحت إجراءات التوريد"))</f>
        <v/>
      </c>
      <c r="O296" t="str">
        <f>IF(B296="","",COUNTIFS(DB_All!$G$2:$G$1000,B296,DB_All!$L$2:$L$1000,"تحت إجراءات التوريد"))</f>
        <v/>
      </c>
      <c r="P296" t="str">
        <f>IF(B296="","",SUMIFS(DB_All!$N$2:$N$1000,DB_All!$G$2:$G$1000,B296,DB_All!$L$2:$L$1000,"بانتظار سندات الاستلام \ شهادة الإنجاز"))</f>
        <v/>
      </c>
      <c r="Q296" t="str">
        <f>IF(B296="","",COUNTIFS(DB_All!$G$2:$G$1000,B296,DB_All!$L$2:$L$1000,"بانتظار سندات الاستلام \ شهادة الإنجاز"))</f>
        <v/>
      </c>
      <c r="R296" t="str">
        <f t="shared" si="14"/>
        <v/>
      </c>
    </row>
    <row r="297" spans="6:18" x14ac:dyDescent="0.3">
      <c r="F297" t="str">
        <f>IF(B297="","",SUMIFS(DB_All!$M$2:$M$1000,DB_All!$G$2:$G$1000,B297,DB_All!$L$2:$L$1000,"تحت إجراءات التعاقد"))</f>
        <v/>
      </c>
      <c r="G297" t="str">
        <f>IF(B297="","",COUNTIFS(DB_All!$G$2:$G$1000,B297,DB_All!$L$2:$L$1000,"تحت إجراءات التعاقد"))</f>
        <v/>
      </c>
      <c r="H297" t="str">
        <f>IF(B297="","",SUMIFS(DB_All!$N$2:$N$1000,DB_All!$G$2:$G$1000,B297,DB_All!$L$2:$L$1000,"تم التوقيع"))</f>
        <v/>
      </c>
      <c r="I297" t="str">
        <f>IF(B297="","",COUNTIFS(DB_All!$G$2:$G$1000,B297,DB_All!$L$2:$L$1000,"تم التوقيع"))</f>
        <v/>
      </c>
      <c r="J297">
        <f t="shared" si="12"/>
        <v>0</v>
      </c>
      <c r="K297" t="str">
        <f>IF(B297="","",SUMIFS('المطالبات 2026'!$J:$J,'المطالبات 2026'!$E:$E,B297,'المطالبات 2026'!$I:$I,"مطالبة مرفوعة للمالية") + SUMIFS('المطالبات 2025'!$J:$J,'المطالبات 2025'!$E:$E,B297,'المطالبات 2025'!$I:$I,"مطالبة مرفوعة للمالية"))</f>
        <v/>
      </c>
      <c r="L297" t="str">
        <f>IF(B297="","",COUNTIFS('المطالبات 2026'!$E:$E,B297,'المطالبات 2026'!$I:$I,"مطالبة مرفوعة للمالية") + COUNTIFS('المطالبات 2025'!$E:$E,B297,'المطالبات 2025'!$I:$I,"مطالبة مرفوعة للمالية"))</f>
        <v/>
      </c>
      <c r="M297">
        <f t="shared" si="13"/>
        <v>0</v>
      </c>
      <c r="N297" t="str">
        <f>IF(B297="","",SUMIFS(DB_All!$N$2:$N$1000,DB_All!$G$2:$G$1000,B297,DB_All!$L$2:$L$1000,"تحت إجراءات التوريد"))</f>
        <v/>
      </c>
      <c r="O297" t="str">
        <f>IF(B297="","",COUNTIFS(DB_All!$G$2:$G$1000,B297,DB_All!$L$2:$L$1000,"تحت إجراءات التوريد"))</f>
        <v/>
      </c>
      <c r="P297" t="str">
        <f>IF(B297="","",SUMIFS(DB_All!$N$2:$N$1000,DB_All!$G$2:$G$1000,B297,DB_All!$L$2:$L$1000,"بانتظار سندات الاستلام \ شهادة الإنجاز"))</f>
        <v/>
      </c>
      <c r="Q297" t="str">
        <f>IF(B297="","",COUNTIFS(DB_All!$G$2:$G$1000,B297,DB_All!$L$2:$L$1000,"بانتظار سندات الاستلام \ شهادة الإنجاز"))</f>
        <v/>
      </c>
      <c r="R297" t="str">
        <f t="shared" si="14"/>
        <v/>
      </c>
    </row>
    <row r="298" spans="6:18" x14ac:dyDescent="0.3">
      <c r="F298" t="str">
        <f>IF(B298="","",SUMIFS(DB_All!$M$2:$M$1000,DB_All!$G$2:$G$1000,B298,DB_All!$L$2:$L$1000,"تحت إجراءات التعاقد"))</f>
        <v/>
      </c>
      <c r="G298" t="str">
        <f>IF(B298="","",COUNTIFS(DB_All!$G$2:$G$1000,B298,DB_All!$L$2:$L$1000,"تحت إجراءات التعاقد"))</f>
        <v/>
      </c>
      <c r="H298" t="str">
        <f>IF(B298="","",SUMIFS(DB_All!$N$2:$N$1000,DB_All!$G$2:$G$1000,B298,DB_All!$L$2:$L$1000,"تم التوقيع"))</f>
        <v/>
      </c>
      <c r="I298" t="str">
        <f>IF(B298="","",COUNTIFS(DB_All!$G$2:$G$1000,B298,DB_All!$L$2:$L$1000,"تم التوقيع"))</f>
        <v/>
      </c>
      <c r="J298">
        <f t="shared" si="12"/>
        <v>0</v>
      </c>
      <c r="K298" t="str">
        <f>IF(B298="","",SUMIFS('المطالبات 2026'!$J:$J,'المطالبات 2026'!$E:$E,B298,'المطالبات 2026'!$I:$I,"مطالبة مرفوعة للمالية") + SUMIFS('المطالبات 2025'!$J:$J,'المطالبات 2025'!$E:$E,B298,'المطالبات 2025'!$I:$I,"مطالبة مرفوعة للمالية"))</f>
        <v/>
      </c>
      <c r="L298" t="str">
        <f>IF(B298="","",COUNTIFS('المطالبات 2026'!$E:$E,B298,'المطالبات 2026'!$I:$I,"مطالبة مرفوعة للمالية") + COUNTIFS('المطالبات 2025'!$E:$E,B298,'المطالبات 2025'!$I:$I,"مطالبة مرفوعة للمالية"))</f>
        <v/>
      </c>
      <c r="M298">
        <f t="shared" si="13"/>
        <v>0</v>
      </c>
      <c r="N298" t="str">
        <f>IF(B298="","",SUMIFS(DB_All!$N$2:$N$1000,DB_All!$G$2:$G$1000,B298,DB_All!$L$2:$L$1000,"تحت إجراءات التوريد"))</f>
        <v/>
      </c>
      <c r="O298" t="str">
        <f>IF(B298="","",COUNTIFS(DB_All!$G$2:$G$1000,B298,DB_All!$L$2:$L$1000,"تحت إجراءات التوريد"))</f>
        <v/>
      </c>
      <c r="P298" t="str">
        <f>IF(B298="","",SUMIFS(DB_All!$N$2:$N$1000,DB_All!$G$2:$G$1000,B298,DB_All!$L$2:$L$1000,"بانتظار سندات الاستلام \ شهادة الإنجاز"))</f>
        <v/>
      </c>
      <c r="Q298" t="str">
        <f>IF(B298="","",COUNTIFS(DB_All!$G$2:$G$1000,B298,DB_All!$L$2:$L$1000,"بانتظار سندات الاستلام \ شهادة الإنجاز"))</f>
        <v/>
      </c>
      <c r="R298" t="str">
        <f t="shared" si="14"/>
        <v/>
      </c>
    </row>
    <row r="299" spans="6:18" x14ac:dyDescent="0.3">
      <c r="F299" t="str">
        <f>IF(B299="","",SUMIFS(DB_All!$M$2:$M$1000,DB_All!$G$2:$G$1000,B299,DB_All!$L$2:$L$1000,"تحت إجراءات التعاقد"))</f>
        <v/>
      </c>
      <c r="G299" t="str">
        <f>IF(B299="","",COUNTIFS(DB_All!$G$2:$G$1000,B299,DB_All!$L$2:$L$1000,"تحت إجراءات التعاقد"))</f>
        <v/>
      </c>
      <c r="H299" t="str">
        <f>IF(B299="","",SUMIFS(DB_All!$N$2:$N$1000,DB_All!$G$2:$G$1000,B299,DB_All!$L$2:$L$1000,"تم التوقيع"))</f>
        <v/>
      </c>
      <c r="I299" t="str">
        <f>IF(B299="","",COUNTIFS(DB_All!$G$2:$G$1000,B299,DB_All!$L$2:$L$1000,"تم التوقيع"))</f>
        <v/>
      </c>
      <c r="J299">
        <f t="shared" si="12"/>
        <v>0</v>
      </c>
      <c r="K299" t="str">
        <f>IF(B299="","",SUMIFS('المطالبات 2026'!$J:$J,'المطالبات 2026'!$E:$E,B299,'المطالبات 2026'!$I:$I,"مطالبة مرفوعة للمالية") + SUMIFS('المطالبات 2025'!$J:$J,'المطالبات 2025'!$E:$E,B299,'المطالبات 2025'!$I:$I,"مطالبة مرفوعة للمالية"))</f>
        <v/>
      </c>
      <c r="L299" t="str">
        <f>IF(B299="","",COUNTIFS('المطالبات 2026'!$E:$E,B299,'المطالبات 2026'!$I:$I,"مطالبة مرفوعة للمالية") + COUNTIFS('المطالبات 2025'!$E:$E,B299,'المطالبات 2025'!$I:$I,"مطالبة مرفوعة للمالية"))</f>
        <v/>
      </c>
      <c r="M299">
        <f t="shared" si="13"/>
        <v>0</v>
      </c>
      <c r="N299" t="str">
        <f>IF(B299="","",SUMIFS(DB_All!$N$2:$N$1000,DB_All!$G$2:$G$1000,B299,DB_All!$L$2:$L$1000,"تحت إجراءات التوريد"))</f>
        <v/>
      </c>
      <c r="O299" t="str">
        <f>IF(B299="","",COUNTIFS(DB_All!$G$2:$G$1000,B299,DB_All!$L$2:$L$1000,"تحت إجراءات التوريد"))</f>
        <v/>
      </c>
      <c r="P299" t="str">
        <f>IF(B299="","",SUMIFS(DB_All!$N$2:$N$1000,DB_All!$G$2:$G$1000,B299,DB_All!$L$2:$L$1000,"بانتظار سندات الاستلام \ شهادة الإنجاز"))</f>
        <v/>
      </c>
      <c r="Q299" t="str">
        <f>IF(B299="","",COUNTIFS(DB_All!$G$2:$G$1000,B299,DB_All!$L$2:$L$1000,"بانتظار سندات الاستلام \ شهادة الإنجاز"))</f>
        <v/>
      </c>
      <c r="R299" t="str">
        <f t="shared" si="14"/>
        <v/>
      </c>
    </row>
    <row r="300" spans="6:18" x14ac:dyDescent="0.3">
      <c r="F300" t="str">
        <f>IF(B300="","",SUMIFS(DB_All!$M$2:$M$1000,DB_All!$G$2:$G$1000,B300,DB_All!$L$2:$L$1000,"تحت إجراءات التعاقد"))</f>
        <v/>
      </c>
      <c r="G300" t="str">
        <f>IF(B300="","",COUNTIFS(DB_All!$G$2:$G$1000,B300,DB_All!$L$2:$L$1000,"تحت إجراءات التعاقد"))</f>
        <v/>
      </c>
      <c r="H300" t="str">
        <f>IF(B300="","",SUMIFS(DB_All!$N$2:$N$1000,DB_All!$G$2:$G$1000,B300,DB_All!$L$2:$L$1000,"تم التوقيع"))</f>
        <v/>
      </c>
      <c r="I300" t="str">
        <f>IF(B300="","",COUNTIFS(DB_All!$G$2:$G$1000,B300,DB_All!$L$2:$L$1000,"تم التوقيع"))</f>
        <v/>
      </c>
      <c r="J300">
        <f t="shared" si="12"/>
        <v>0</v>
      </c>
      <c r="K300" t="str">
        <f>IF(B300="","",SUMIFS('المطالبات 2026'!$J:$J,'المطالبات 2026'!$E:$E,B300,'المطالبات 2026'!$I:$I,"مطالبة مرفوعة للمالية") + SUMIFS('المطالبات 2025'!$J:$J,'المطالبات 2025'!$E:$E,B300,'المطالبات 2025'!$I:$I,"مطالبة مرفوعة للمالية"))</f>
        <v/>
      </c>
      <c r="L300" t="str">
        <f>IF(B300="","",COUNTIFS('المطالبات 2026'!$E:$E,B300,'المطالبات 2026'!$I:$I,"مطالبة مرفوعة للمالية") + COUNTIFS('المطالبات 2025'!$E:$E,B300,'المطالبات 2025'!$I:$I,"مطالبة مرفوعة للمالية"))</f>
        <v/>
      </c>
      <c r="M300">
        <f t="shared" si="13"/>
        <v>0</v>
      </c>
      <c r="N300" t="str">
        <f>IF(B300="","",SUMIFS(DB_All!$N$2:$N$1000,DB_All!$G$2:$G$1000,B300,DB_All!$L$2:$L$1000,"تحت إجراءات التوريد"))</f>
        <v/>
      </c>
      <c r="O300" t="str">
        <f>IF(B300="","",COUNTIFS(DB_All!$G$2:$G$1000,B300,DB_All!$L$2:$L$1000,"تحت إجراءات التوريد"))</f>
        <v/>
      </c>
      <c r="P300" t="str">
        <f>IF(B300="","",SUMIFS(DB_All!$N$2:$N$1000,DB_All!$G$2:$G$1000,B300,DB_All!$L$2:$L$1000,"بانتظار سندات الاستلام \ شهادة الإنجاز"))</f>
        <v/>
      </c>
      <c r="Q300" t="str">
        <f>IF(B300="","",COUNTIFS(DB_All!$G$2:$G$1000,B300,DB_All!$L$2:$L$1000,"بانتظار سندات الاستلام \ شهادة الإنجاز"))</f>
        <v/>
      </c>
      <c r="R300" t="str">
        <f t="shared" si="14"/>
        <v/>
      </c>
    </row>
    <row r="301" spans="6:18" x14ac:dyDescent="0.3">
      <c r="F301" t="str">
        <f>IF(B301="","",SUMIFS(DB_All!$M$2:$M$1000,DB_All!$G$2:$G$1000,B301,DB_All!$L$2:$L$1000,"تحت إجراءات التعاقد"))</f>
        <v/>
      </c>
      <c r="G301" t="str">
        <f>IF(B301="","",COUNTIFS(DB_All!$G$2:$G$1000,B301,DB_All!$L$2:$L$1000,"تحت إجراءات التعاقد"))</f>
        <v/>
      </c>
      <c r="H301" t="str">
        <f>IF(B301="","",SUMIFS(DB_All!$N$2:$N$1000,DB_All!$G$2:$G$1000,B301,DB_All!$L$2:$L$1000,"تم التوقيع"))</f>
        <v/>
      </c>
      <c r="I301" t="str">
        <f>IF(B301="","",COUNTIFS(DB_All!$G$2:$G$1000,B301,DB_All!$L$2:$L$1000,"تم التوقيع"))</f>
        <v/>
      </c>
      <c r="J301">
        <f t="shared" si="12"/>
        <v>0</v>
      </c>
      <c r="K301" t="str">
        <f>IF(B301="","",SUMIFS('المطالبات 2026'!$J:$J,'المطالبات 2026'!$E:$E,B301,'المطالبات 2026'!$I:$I,"مطالبة مرفوعة للمالية") + SUMIFS('المطالبات 2025'!$J:$J,'المطالبات 2025'!$E:$E,B301,'المطالبات 2025'!$I:$I,"مطالبة مرفوعة للمالية"))</f>
        <v/>
      </c>
      <c r="L301" t="str">
        <f>IF(B301="","",COUNTIFS('المطالبات 2026'!$E:$E,B301,'المطالبات 2026'!$I:$I,"مطالبة مرفوعة للمالية") + COUNTIFS('المطالبات 2025'!$E:$E,B301,'المطالبات 2025'!$I:$I,"مطالبة مرفوعة للمالية"))</f>
        <v/>
      </c>
      <c r="M301">
        <f t="shared" si="13"/>
        <v>0</v>
      </c>
      <c r="N301" t="str">
        <f>IF(B301="","",SUMIFS(DB_All!$N$2:$N$1000,DB_All!$G$2:$G$1000,B301,DB_All!$L$2:$L$1000,"تحت إجراءات التوريد"))</f>
        <v/>
      </c>
      <c r="O301" t="str">
        <f>IF(B301="","",COUNTIFS(DB_All!$G$2:$G$1000,B301,DB_All!$L$2:$L$1000,"تحت إجراءات التوريد"))</f>
        <v/>
      </c>
      <c r="P301" t="str">
        <f>IF(B301="","",SUMIFS(DB_All!$N$2:$N$1000,DB_All!$G$2:$G$1000,B301,DB_All!$L$2:$L$1000,"بانتظار سندات الاستلام \ شهادة الإنجاز"))</f>
        <v/>
      </c>
      <c r="Q301" t="str">
        <f>IF(B301="","",COUNTIFS(DB_All!$G$2:$G$1000,B301,DB_All!$L$2:$L$1000,"بانتظار سندات الاستلام \ شهادة الإنجاز"))</f>
        <v/>
      </c>
      <c r="R301" t="str">
        <f t="shared" si="14"/>
        <v/>
      </c>
    </row>
    <row r="302" spans="6:18" x14ac:dyDescent="0.3">
      <c r="F302" t="str">
        <f>IF(B302="","",SUMIFS(DB_All!$M$2:$M$1000,DB_All!$G$2:$G$1000,B302,DB_All!$L$2:$L$1000,"تحت إجراءات التعاقد"))</f>
        <v/>
      </c>
      <c r="G302" t="str">
        <f>IF(B302="","",COUNTIFS(DB_All!$G$2:$G$1000,B302,DB_All!$L$2:$L$1000,"تحت إجراءات التعاقد"))</f>
        <v/>
      </c>
      <c r="H302" t="str">
        <f>IF(B302="","",SUMIFS(DB_All!$N$2:$N$1000,DB_All!$G$2:$G$1000,B302,DB_All!$L$2:$L$1000,"تم التوقيع"))</f>
        <v/>
      </c>
      <c r="I302" t="str">
        <f>IF(B302="","",COUNTIFS(DB_All!$G$2:$G$1000,B302,DB_All!$L$2:$L$1000,"تم التوقيع"))</f>
        <v/>
      </c>
      <c r="J302">
        <f t="shared" si="12"/>
        <v>0</v>
      </c>
      <c r="K302" t="str">
        <f>IF(B302="","",SUMIFS('المطالبات 2026'!$J:$J,'المطالبات 2026'!$E:$E,B302,'المطالبات 2026'!$I:$I,"مطالبة مرفوعة للمالية") + SUMIFS('المطالبات 2025'!$J:$J,'المطالبات 2025'!$E:$E,B302,'المطالبات 2025'!$I:$I,"مطالبة مرفوعة للمالية"))</f>
        <v/>
      </c>
      <c r="L302" t="str">
        <f>IF(B302="","",COUNTIFS('المطالبات 2026'!$E:$E,B302,'المطالبات 2026'!$I:$I,"مطالبة مرفوعة للمالية") + COUNTIFS('المطالبات 2025'!$E:$E,B302,'المطالبات 2025'!$I:$I,"مطالبة مرفوعة للمالية"))</f>
        <v/>
      </c>
      <c r="M302">
        <f t="shared" si="13"/>
        <v>0</v>
      </c>
      <c r="N302" t="str">
        <f>IF(B302="","",SUMIFS(DB_All!$N$2:$N$1000,DB_All!$G$2:$G$1000,B302,DB_All!$L$2:$L$1000,"تحت إجراءات التوريد"))</f>
        <v/>
      </c>
      <c r="O302" t="str">
        <f>IF(B302="","",COUNTIFS(DB_All!$G$2:$G$1000,B302,DB_All!$L$2:$L$1000,"تحت إجراءات التوريد"))</f>
        <v/>
      </c>
      <c r="P302" t="str">
        <f>IF(B302="","",SUMIFS(DB_All!$N$2:$N$1000,DB_All!$G$2:$G$1000,B302,DB_All!$L$2:$L$1000,"بانتظار سندات الاستلام \ شهادة الإنجاز"))</f>
        <v/>
      </c>
      <c r="Q302" t="str">
        <f>IF(B302="","",COUNTIFS(DB_All!$G$2:$G$1000,B302,DB_All!$L$2:$L$1000,"بانتظار سندات الاستلام \ شهادة الإنجاز"))</f>
        <v/>
      </c>
      <c r="R302" t="str">
        <f t="shared" si="14"/>
        <v/>
      </c>
    </row>
    <row r="303" spans="6:18" x14ac:dyDescent="0.3">
      <c r="F303" t="str">
        <f>IF(B303="","",SUMIFS(DB_All!$M$2:$M$1000,DB_All!$G$2:$G$1000,B303,DB_All!$L$2:$L$1000,"تحت إجراءات التعاقد"))</f>
        <v/>
      </c>
      <c r="G303" t="str">
        <f>IF(B303="","",COUNTIFS(DB_All!$G$2:$G$1000,B303,DB_All!$L$2:$L$1000,"تحت إجراءات التعاقد"))</f>
        <v/>
      </c>
      <c r="H303" t="str">
        <f>IF(B303="","",SUMIFS(DB_All!$N$2:$N$1000,DB_All!$G$2:$G$1000,B303,DB_All!$L$2:$L$1000,"تم التوقيع"))</f>
        <v/>
      </c>
      <c r="I303" t="str">
        <f>IF(B303="","",COUNTIFS(DB_All!$G$2:$G$1000,B303,DB_All!$L$2:$L$1000,"تم التوقيع"))</f>
        <v/>
      </c>
      <c r="J303">
        <f t="shared" si="12"/>
        <v>0</v>
      </c>
      <c r="K303" t="str">
        <f>IF(B303="","",SUMIFS('المطالبات 2026'!$J:$J,'المطالبات 2026'!$E:$E,B303,'المطالبات 2026'!$I:$I,"مطالبة مرفوعة للمالية") + SUMIFS('المطالبات 2025'!$J:$J,'المطالبات 2025'!$E:$E,B303,'المطالبات 2025'!$I:$I,"مطالبة مرفوعة للمالية"))</f>
        <v/>
      </c>
      <c r="L303" t="str">
        <f>IF(B303="","",COUNTIFS('المطالبات 2026'!$E:$E,B303,'المطالبات 2026'!$I:$I,"مطالبة مرفوعة للمالية") + COUNTIFS('المطالبات 2025'!$E:$E,B303,'المطالبات 2025'!$I:$I,"مطالبة مرفوعة للمالية"))</f>
        <v/>
      </c>
      <c r="M303">
        <f t="shared" si="13"/>
        <v>0</v>
      </c>
      <c r="N303" t="str">
        <f>IF(B303="","",SUMIFS(DB_All!$N$2:$N$1000,DB_All!$G$2:$G$1000,B303,DB_All!$L$2:$L$1000,"تحت إجراءات التوريد"))</f>
        <v/>
      </c>
      <c r="O303" t="str">
        <f>IF(B303="","",COUNTIFS(DB_All!$G$2:$G$1000,B303,DB_All!$L$2:$L$1000,"تحت إجراءات التوريد"))</f>
        <v/>
      </c>
      <c r="P303" t="str">
        <f>IF(B303="","",SUMIFS(DB_All!$N$2:$N$1000,DB_All!$G$2:$G$1000,B303,DB_All!$L$2:$L$1000,"بانتظار سندات الاستلام \ شهادة الإنجاز"))</f>
        <v/>
      </c>
      <c r="Q303" t="str">
        <f>IF(B303="","",COUNTIFS(DB_All!$G$2:$G$1000,B303,DB_All!$L$2:$L$1000,"بانتظار سندات الاستلام \ شهادة الإنجاز"))</f>
        <v/>
      </c>
      <c r="R303" t="str">
        <f t="shared" si="14"/>
        <v/>
      </c>
    </row>
    <row r="304" spans="6:18" x14ac:dyDescent="0.3">
      <c r="F304" t="str">
        <f>IF(B304="","",SUMIFS(DB_All!$M$2:$M$1000,DB_All!$G$2:$G$1000,B304,DB_All!$L$2:$L$1000,"تحت إجراءات التعاقد"))</f>
        <v/>
      </c>
      <c r="G304" t="str">
        <f>IF(B304="","",COUNTIFS(DB_All!$G$2:$G$1000,B304,DB_All!$L$2:$L$1000,"تحت إجراءات التعاقد"))</f>
        <v/>
      </c>
      <c r="H304" t="str">
        <f>IF(B304="","",SUMIFS(DB_All!$N$2:$N$1000,DB_All!$G$2:$G$1000,B304,DB_All!$L$2:$L$1000,"تم التوقيع"))</f>
        <v/>
      </c>
      <c r="I304" t="str">
        <f>IF(B304="","",COUNTIFS(DB_All!$G$2:$G$1000,B304,DB_All!$L$2:$L$1000,"تم التوقيع"))</f>
        <v/>
      </c>
      <c r="J304">
        <f t="shared" si="12"/>
        <v>0</v>
      </c>
      <c r="K304" t="str">
        <f>IF(B304="","",SUMIFS('المطالبات 2026'!$J:$J,'المطالبات 2026'!$E:$E,B304,'المطالبات 2026'!$I:$I,"مطالبة مرفوعة للمالية") + SUMIFS('المطالبات 2025'!$J:$J,'المطالبات 2025'!$E:$E,B304,'المطالبات 2025'!$I:$I,"مطالبة مرفوعة للمالية"))</f>
        <v/>
      </c>
      <c r="L304" t="str">
        <f>IF(B304="","",COUNTIFS('المطالبات 2026'!$E:$E,B304,'المطالبات 2026'!$I:$I,"مطالبة مرفوعة للمالية") + COUNTIFS('المطالبات 2025'!$E:$E,B304,'المطالبات 2025'!$I:$I,"مطالبة مرفوعة للمالية"))</f>
        <v/>
      </c>
      <c r="M304">
        <f t="shared" si="13"/>
        <v>0</v>
      </c>
      <c r="N304" t="str">
        <f>IF(B304="","",SUMIFS(DB_All!$N$2:$N$1000,DB_All!$G$2:$G$1000,B304,DB_All!$L$2:$L$1000,"تحت إجراءات التوريد"))</f>
        <v/>
      </c>
      <c r="O304" t="str">
        <f>IF(B304="","",COUNTIFS(DB_All!$G$2:$G$1000,B304,DB_All!$L$2:$L$1000,"تحت إجراءات التوريد"))</f>
        <v/>
      </c>
      <c r="P304" t="str">
        <f>IF(B304="","",SUMIFS(DB_All!$N$2:$N$1000,DB_All!$G$2:$G$1000,B304,DB_All!$L$2:$L$1000,"بانتظار سندات الاستلام \ شهادة الإنجاز"))</f>
        <v/>
      </c>
      <c r="Q304" t="str">
        <f>IF(B304="","",COUNTIFS(DB_All!$G$2:$G$1000,B304,DB_All!$L$2:$L$1000,"بانتظار سندات الاستلام \ شهادة الإنجاز"))</f>
        <v/>
      </c>
      <c r="R304" t="str">
        <f t="shared" si="14"/>
        <v/>
      </c>
    </row>
    <row r="305" spans="6:18" x14ac:dyDescent="0.3">
      <c r="F305" t="str">
        <f>IF(B305="","",SUMIFS(DB_All!$M$2:$M$1000,DB_All!$G$2:$G$1000,B305,DB_All!$L$2:$L$1000,"تحت إجراءات التعاقد"))</f>
        <v/>
      </c>
      <c r="G305" t="str">
        <f>IF(B305="","",COUNTIFS(DB_All!$G$2:$G$1000,B305,DB_All!$L$2:$L$1000,"تحت إجراءات التعاقد"))</f>
        <v/>
      </c>
      <c r="H305" t="str">
        <f>IF(B305="","",SUMIFS(DB_All!$N$2:$N$1000,DB_All!$G$2:$G$1000,B305,DB_All!$L$2:$L$1000,"تم التوقيع"))</f>
        <v/>
      </c>
      <c r="I305" t="str">
        <f>IF(B305="","",COUNTIFS(DB_All!$G$2:$G$1000,B305,DB_All!$L$2:$L$1000,"تم التوقيع"))</f>
        <v/>
      </c>
      <c r="J305">
        <f t="shared" si="12"/>
        <v>0</v>
      </c>
      <c r="K305" t="str">
        <f>IF(B305="","",SUMIFS('المطالبات 2026'!$J:$J,'المطالبات 2026'!$E:$E,B305,'المطالبات 2026'!$I:$I,"مطالبة مرفوعة للمالية") + SUMIFS('المطالبات 2025'!$J:$J,'المطالبات 2025'!$E:$E,B305,'المطالبات 2025'!$I:$I,"مطالبة مرفوعة للمالية"))</f>
        <v/>
      </c>
      <c r="L305" t="str">
        <f>IF(B305="","",COUNTIFS('المطالبات 2026'!$E:$E,B305,'المطالبات 2026'!$I:$I,"مطالبة مرفوعة للمالية") + COUNTIFS('المطالبات 2025'!$E:$E,B305,'المطالبات 2025'!$I:$I,"مطالبة مرفوعة للمالية"))</f>
        <v/>
      </c>
      <c r="M305">
        <f t="shared" si="13"/>
        <v>0</v>
      </c>
      <c r="N305" t="str">
        <f>IF(B305="","",SUMIFS(DB_All!$N$2:$N$1000,DB_All!$G$2:$G$1000,B305,DB_All!$L$2:$L$1000,"تحت إجراءات التوريد"))</f>
        <v/>
      </c>
      <c r="O305" t="str">
        <f>IF(B305="","",COUNTIFS(DB_All!$G$2:$G$1000,B305,DB_All!$L$2:$L$1000,"تحت إجراءات التوريد"))</f>
        <v/>
      </c>
      <c r="P305" t="str">
        <f>IF(B305="","",SUMIFS(DB_All!$N$2:$N$1000,DB_All!$G$2:$G$1000,B305,DB_All!$L$2:$L$1000,"بانتظار سندات الاستلام \ شهادة الإنجاز"))</f>
        <v/>
      </c>
      <c r="Q305" t="str">
        <f>IF(B305="","",COUNTIFS(DB_All!$G$2:$G$1000,B305,DB_All!$L$2:$L$1000,"بانتظار سندات الاستلام \ شهادة الإنجاز"))</f>
        <v/>
      </c>
      <c r="R305" t="str">
        <f t="shared" si="14"/>
        <v/>
      </c>
    </row>
    <row r="306" spans="6:18" x14ac:dyDescent="0.3">
      <c r="F306" t="str">
        <f>IF(B306="","",SUMIFS(DB_All!$M$2:$M$1000,DB_All!$G$2:$G$1000,B306,DB_All!$L$2:$L$1000,"تحت إجراءات التعاقد"))</f>
        <v/>
      </c>
      <c r="G306" t="str">
        <f>IF(B306="","",COUNTIFS(DB_All!$G$2:$G$1000,B306,DB_All!$L$2:$L$1000,"تحت إجراءات التعاقد"))</f>
        <v/>
      </c>
      <c r="H306" t="str">
        <f>IF(B306="","",SUMIFS(DB_All!$N$2:$N$1000,DB_All!$G$2:$G$1000,B306,DB_All!$L$2:$L$1000,"تم التوقيع"))</f>
        <v/>
      </c>
      <c r="I306" t="str">
        <f>IF(B306="","",COUNTIFS(DB_All!$G$2:$G$1000,B306,DB_All!$L$2:$L$1000,"تم التوقيع"))</f>
        <v/>
      </c>
      <c r="J306">
        <f t="shared" si="12"/>
        <v>0</v>
      </c>
      <c r="K306" t="str">
        <f>IF(B306="","",SUMIFS('المطالبات 2026'!$J:$J,'المطالبات 2026'!$E:$E,B306,'المطالبات 2026'!$I:$I,"مطالبة مرفوعة للمالية") + SUMIFS('المطالبات 2025'!$J:$J,'المطالبات 2025'!$E:$E,B306,'المطالبات 2025'!$I:$I,"مطالبة مرفوعة للمالية"))</f>
        <v/>
      </c>
      <c r="L306" t="str">
        <f>IF(B306="","",COUNTIFS('المطالبات 2026'!$E:$E,B306,'المطالبات 2026'!$I:$I,"مطالبة مرفوعة للمالية") + COUNTIFS('المطالبات 2025'!$E:$E,B306,'المطالبات 2025'!$I:$I,"مطالبة مرفوعة للمالية"))</f>
        <v/>
      </c>
      <c r="M306">
        <f t="shared" si="13"/>
        <v>0</v>
      </c>
      <c r="N306" t="str">
        <f>IF(B306="","",SUMIFS(DB_All!$N$2:$N$1000,DB_All!$G$2:$G$1000,B306,DB_All!$L$2:$L$1000,"تحت إجراءات التوريد"))</f>
        <v/>
      </c>
      <c r="O306" t="str">
        <f>IF(B306="","",COUNTIFS(DB_All!$G$2:$G$1000,B306,DB_All!$L$2:$L$1000,"تحت إجراءات التوريد"))</f>
        <v/>
      </c>
      <c r="P306" t="str">
        <f>IF(B306="","",SUMIFS(DB_All!$N$2:$N$1000,DB_All!$G$2:$G$1000,B306,DB_All!$L$2:$L$1000,"بانتظار سندات الاستلام \ شهادة الإنجاز"))</f>
        <v/>
      </c>
      <c r="Q306" t="str">
        <f>IF(B306="","",COUNTIFS(DB_All!$G$2:$G$1000,B306,DB_All!$L$2:$L$1000,"بانتظار سندات الاستلام \ شهادة الإنجاز"))</f>
        <v/>
      </c>
      <c r="R306" t="str">
        <f t="shared" si="14"/>
        <v/>
      </c>
    </row>
    <row r="307" spans="6:18" x14ac:dyDescent="0.3">
      <c r="F307" t="str">
        <f>IF(B307="","",SUMIFS(DB_All!$M$2:$M$1000,DB_All!$G$2:$G$1000,B307,DB_All!$L$2:$L$1000,"تحت إجراءات التعاقد"))</f>
        <v/>
      </c>
      <c r="G307" t="str">
        <f>IF(B307="","",COUNTIFS(DB_All!$G$2:$G$1000,B307,DB_All!$L$2:$L$1000,"تحت إجراءات التعاقد"))</f>
        <v/>
      </c>
      <c r="H307" t="str">
        <f>IF(B307="","",SUMIFS(DB_All!$N$2:$N$1000,DB_All!$G$2:$G$1000,B307,DB_All!$L$2:$L$1000,"تم التوقيع"))</f>
        <v/>
      </c>
      <c r="I307" t="str">
        <f>IF(B307="","",COUNTIFS(DB_All!$G$2:$G$1000,B307,DB_All!$L$2:$L$1000,"تم التوقيع"))</f>
        <v/>
      </c>
      <c r="J307">
        <f t="shared" si="12"/>
        <v>0</v>
      </c>
      <c r="K307" t="str">
        <f>IF(B307="","",SUMIFS('المطالبات 2026'!$J:$J,'المطالبات 2026'!$E:$E,B307,'المطالبات 2026'!$I:$I,"مطالبة مرفوعة للمالية") + SUMIFS('المطالبات 2025'!$J:$J,'المطالبات 2025'!$E:$E,B307,'المطالبات 2025'!$I:$I,"مطالبة مرفوعة للمالية"))</f>
        <v/>
      </c>
      <c r="L307" t="str">
        <f>IF(B307="","",COUNTIFS('المطالبات 2026'!$E:$E,B307,'المطالبات 2026'!$I:$I,"مطالبة مرفوعة للمالية") + COUNTIFS('المطالبات 2025'!$E:$E,B307,'المطالبات 2025'!$I:$I,"مطالبة مرفوعة للمالية"))</f>
        <v/>
      </c>
      <c r="M307">
        <f t="shared" si="13"/>
        <v>0</v>
      </c>
      <c r="N307" t="str">
        <f>IF(B307="","",SUMIFS(DB_All!$N$2:$N$1000,DB_All!$G$2:$G$1000,B307,DB_All!$L$2:$L$1000,"تحت إجراءات التوريد"))</f>
        <v/>
      </c>
      <c r="O307" t="str">
        <f>IF(B307="","",COUNTIFS(DB_All!$G$2:$G$1000,B307,DB_All!$L$2:$L$1000,"تحت إجراءات التوريد"))</f>
        <v/>
      </c>
      <c r="P307" t="str">
        <f>IF(B307="","",SUMIFS(DB_All!$N$2:$N$1000,DB_All!$G$2:$G$1000,B307,DB_All!$L$2:$L$1000,"بانتظار سندات الاستلام \ شهادة الإنجاز"))</f>
        <v/>
      </c>
      <c r="Q307" t="str">
        <f>IF(B307="","",COUNTIFS(DB_All!$G$2:$G$1000,B307,DB_All!$L$2:$L$1000,"بانتظار سندات الاستلام \ شهادة الإنجاز"))</f>
        <v/>
      </c>
      <c r="R307" t="str">
        <f t="shared" si="14"/>
        <v/>
      </c>
    </row>
    <row r="308" spans="6:18" x14ac:dyDescent="0.3">
      <c r="F308" t="str">
        <f>IF(B308="","",SUMIFS(DB_All!$M$2:$M$1000,DB_All!$G$2:$G$1000,B308,DB_All!$L$2:$L$1000,"تحت إجراءات التعاقد"))</f>
        <v/>
      </c>
      <c r="G308" t="str">
        <f>IF(B308="","",COUNTIFS(DB_All!$G$2:$G$1000,B308,DB_All!$L$2:$L$1000,"تحت إجراءات التعاقد"))</f>
        <v/>
      </c>
      <c r="H308" t="str">
        <f>IF(B308="","",SUMIFS(DB_All!$N$2:$N$1000,DB_All!$G$2:$G$1000,B308,DB_All!$L$2:$L$1000,"تم التوقيع"))</f>
        <v/>
      </c>
      <c r="I308" t="str">
        <f>IF(B308="","",COUNTIFS(DB_All!$G$2:$G$1000,B308,DB_All!$L$2:$L$1000,"تم التوقيع"))</f>
        <v/>
      </c>
      <c r="J308">
        <f t="shared" si="12"/>
        <v>0</v>
      </c>
      <c r="K308" t="str">
        <f>IF(B308="","",SUMIFS('المطالبات 2026'!$J:$J,'المطالبات 2026'!$E:$E,B308,'المطالبات 2026'!$I:$I,"مطالبة مرفوعة للمالية") + SUMIFS('المطالبات 2025'!$J:$J,'المطالبات 2025'!$E:$E,B308,'المطالبات 2025'!$I:$I,"مطالبة مرفوعة للمالية"))</f>
        <v/>
      </c>
      <c r="L308" t="str">
        <f>IF(B308="","",COUNTIFS('المطالبات 2026'!$E:$E,B308,'المطالبات 2026'!$I:$I,"مطالبة مرفوعة للمالية") + COUNTIFS('المطالبات 2025'!$E:$E,B308,'المطالبات 2025'!$I:$I,"مطالبة مرفوعة للمالية"))</f>
        <v/>
      </c>
      <c r="M308">
        <f t="shared" si="13"/>
        <v>0</v>
      </c>
      <c r="N308" t="str">
        <f>IF(B308="","",SUMIFS(DB_All!$N$2:$N$1000,DB_All!$G$2:$G$1000,B308,DB_All!$L$2:$L$1000,"تحت إجراءات التوريد"))</f>
        <v/>
      </c>
      <c r="O308" t="str">
        <f>IF(B308="","",COUNTIFS(DB_All!$G$2:$G$1000,B308,DB_All!$L$2:$L$1000,"تحت إجراءات التوريد"))</f>
        <v/>
      </c>
      <c r="P308" t="str">
        <f>IF(B308="","",SUMIFS(DB_All!$N$2:$N$1000,DB_All!$G$2:$G$1000,B308,DB_All!$L$2:$L$1000,"بانتظار سندات الاستلام \ شهادة الإنجاز"))</f>
        <v/>
      </c>
      <c r="Q308" t="str">
        <f>IF(B308="","",COUNTIFS(DB_All!$G$2:$G$1000,B308,DB_All!$L$2:$L$1000,"بانتظار سندات الاستلام \ شهادة الإنجاز"))</f>
        <v/>
      </c>
      <c r="R308" t="str">
        <f t="shared" si="14"/>
        <v/>
      </c>
    </row>
    <row r="309" spans="6:18" x14ac:dyDescent="0.3">
      <c r="F309" t="str">
        <f>IF(B309="","",SUMIFS(DB_All!$M$2:$M$1000,DB_All!$G$2:$G$1000,B309,DB_All!$L$2:$L$1000,"تحت إجراءات التعاقد"))</f>
        <v/>
      </c>
      <c r="G309" t="str">
        <f>IF(B309="","",COUNTIFS(DB_All!$G$2:$G$1000,B309,DB_All!$L$2:$L$1000,"تحت إجراءات التعاقد"))</f>
        <v/>
      </c>
      <c r="H309" t="str">
        <f>IF(B309="","",SUMIFS(DB_All!$N$2:$N$1000,DB_All!$G$2:$G$1000,B309,DB_All!$L$2:$L$1000,"تم التوقيع"))</f>
        <v/>
      </c>
      <c r="I309" t="str">
        <f>IF(B309="","",COUNTIFS(DB_All!$G$2:$G$1000,B309,DB_All!$L$2:$L$1000,"تم التوقيع"))</f>
        <v/>
      </c>
      <c r="J309">
        <f t="shared" si="12"/>
        <v>0</v>
      </c>
      <c r="K309" t="str">
        <f>IF(B309="","",SUMIFS('المطالبات 2026'!$J:$J,'المطالبات 2026'!$E:$E,B309,'المطالبات 2026'!$I:$I,"مطالبة مرفوعة للمالية") + SUMIFS('المطالبات 2025'!$J:$J,'المطالبات 2025'!$E:$E,B309,'المطالبات 2025'!$I:$I,"مطالبة مرفوعة للمالية"))</f>
        <v/>
      </c>
      <c r="L309" t="str">
        <f>IF(B309="","",COUNTIFS('المطالبات 2026'!$E:$E,B309,'المطالبات 2026'!$I:$I,"مطالبة مرفوعة للمالية") + COUNTIFS('المطالبات 2025'!$E:$E,B309,'المطالبات 2025'!$I:$I,"مطالبة مرفوعة للمالية"))</f>
        <v/>
      </c>
      <c r="M309">
        <f t="shared" si="13"/>
        <v>0</v>
      </c>
      <c r="N309" t="str">
        <f>IF(B309="","",SUMIFS(DB_All!$N$2:$N$1000,DB_All!$G$2:$G$1000,B309,DB_All!$L$2:$L$1000,"تحت إجراءات التوريد"))</f>
        <v/>
      </c>
      <c r="O309" t="str">
        <f>IF(B309="","",COUNTIFS(DB_All!$G$2:$G$1000,B309,DB_All!$L$2:$L$1000,"تحت إجراءات التوريد"))</f>
        <v/>
      </c>
      <c r="P309" t="str">
        <f>IF(B309="","",SUMIFS(DB_All!$N$2:$N$1000,DB_All!$G$2:$G$1000,B309,DB_All!$L$2:$L$1000,"بانتظار سندات الاستلام \ شهادة الإنجاز"))</f>
        <v/>
      </c>
      <c r="Q309" t="str">
        <f>IF(B309="","",COUNTIFS(DB_All!$G$2:$G$1000,B309,DB_All!$L$2:$L$1000,"بانتظار سندات الاستلام \ شهادة الإنجاز"))</f>
        <v/>
      </c>
      <c r="R309" t="str">
        <f t="shared" si="14"/>
        <v/>
      </c>
    </row>
    <row r="310" spans="6:18" x14ac:dyDescent="0.3">
      <c r="F310" t="str">
        <f>IF(B310="","",SUMIFS(DB_All!$M$2:$M$1000,DB_All!$G$2:$G$1000,B310,DB_All!$L$2:$L$1000,"تحت إجراءات التعاقد"))</f>
        <v/>
      </c>
      <c r="G310" t="str">
        <f>IF(B310="","",COUNTIFS(DB_All!$G$2:$G$1000,B310,DB_All!$L$2:$L$1000,"تحت إجراءات التعاقد"))</f>
        <v/>
      </c>
      <c r="H310" t="str">
        <f>IF(B310="","",SUMIFS(DB_All!$N$2:$N$1000,DB_All!$G$2:$G$1000,B310,DB_All!$L$2:$L$1000,"تم التوقيع"))</f>
        <v/>
      </c>
      <c r="I310" t="str">
        <f>IF(B310="","",COUNTIFS(DB_All!$G$2:$G$1000,B310,DB_All!$L$2:$L$1000,"تم التوقيع"))</f>
        <v/>
      </c>
      <c r="J310">
        <f t="shared" si="12"/>
        <v>0</v>
      </c>
      <c r="K310" t="str">
        <f>IF(B310="","",SUMIFS('المطالبات 2026'!$J:$J,'المطالبات 2026'!$E:$E,B310,'المطالبات 2026'!$I:$I,"مطالبة مرفوعة للمالية") + SUMIFS('المطالبات 2025'!$J:$J,'المطالبات 2025'!$E:$E,B310,'المطالبات 2025'!$I:$I,"مطالبة مرفوعة للمالية"))</f>
        <v/>
      </c>
      <c r="L310" t="str">
        <f>IF(B310="","",COUNTIFS('المطالبات 2026'!$E:$E,B310,'المطالبات 2026'!$I:$I,"مطالبة مرفوعة للمالية") + COUNTIFS('المطالبات 2025'!$E:$E,B310,'المطالبات 2025'!$I:$I,"مطالبة مرفوعة للمالية"))</f>
        <v/>
      </c>
      <c r="M310">
        <f t="shared" si="13"/>
        <v>0</v>
      </c>
      <c r="N310" t="str">
        <f>IF(B310="","",SUMIFS(DB_All!$N$2:$N$1000,DB_All!$G$2:$G$1000,B310,DB_All!$L$2:$L$1000,"تحت إجراءات التوريد"))</f>
        <v/>
      </c>
      <c r="O310" t="str">
        <f>IF(B310="","",COUNTIFS(DB_All!$G$2:$G$1000,B310,DB_All!$L$2:$L$1000,"تحت إجراءات التوريد"))</f>
        <v/>
      </c>
      <c r="P310" t="str">
        <f>IF(B310="","",SUMIFS(DB_All!$N$2:$N$1000,DB_All!$G$2:$G$1000,B310,DB_All!$L$2:$L$1000,"بانتظار سندات الاستلام \ شهادة الإنجاز"))</f>
        <v/>
      </c>
      <c r="Q310" t="str">
        <f>IF(B310="","",COUNTIFS(DB_All!$G$2:$G$1000,B310,DB_All!$L$2:$L$1000,"بانتظار سندات الاستلام \ شهادة الإنجاز"))</f>
        <v/>
      </c>
      <c r="R310" t="str">
        <f t="shared" si="14"/>
        <v/>
      </c>
    </row>
    <row r="311" spans="6:18" x14ac:dyDescent="0.3">
      <c r="F311" t="str">
        <f>IF(B311="","",SUMIFS(DB_All!$M$2:$M$1000,DB_All!$G$2:$G$1000,B311,DB_All!$L$2:$L$1000,"تحت إجراءات التعاقد"))</f>
        <v/>
      </c>
      <c r="G311" t="str">
        <f>IF(B311="","",COUNTIFS(DB_All!$G$2:$G$1000,B311,DB_All!$L$2:$L$1000,"تحت إجراءات التعاقد"))</f>
        <v/>
      </c>
      <c r="H311" t="str">
        <f>IF(B311="","",SUMIFS(DB_All!$N$2:$N$1000,DB_All!$G$2:$G$1000,B311,DB_All!$L$2:$L$1000,"تم التوقيع"))</f>
        <v/>
      </c>
      <c r="I311" t="str">
        <f>IF(B311="","",COUNTIFS(DB_All!$G$2:$G$1000,B311,DB_All!$L$2:$L$1000,"تم التوقيع"))</f>
        <v/>
      </c>
      <c r="J311">
        <f t="shared" si="12"/>
        <v>0</v>
      </c>
      <c r="K311" t="str">
        <f>IF(B311="","",SUMIFS('المطالبات 2026'!$J:$J,'المطالبات 2026'!$E:$E,B311,'المطالبات 2026'!$I:$I,"مطالبة مرفوعة للمالية") + SUMIFS('المطالبات 2025'!$J:$J,'المطالبات 2025'!$E:$E,B311,'المطالبات 2025'!$I:$I,"مطالبة مرفوعة للمالية"))</f>
        <v/>
      </c>
      <c r="L311" t="str">
        <f>IF(B311="","",COUNTIFS('المطالبات 2026'!$E:$E,B311,'المطالبات 2026'!$I:$I,"مطالبة مرفوعة للمالية") + COUNTIFS('المطالبات 2025'!$E:$E,B311,'المطالبات 2025'!$I:$I,"مطالبة مرفوعة للمالية"))</f>
        <v/>
      </c>
      <c r="M311">
        <f t="shared" si="13"/>
        <v>0</v>
      </c>
      <c r="N311" t="str">
        <f>IF(B311="","",SUMIFS(DB_All!$N$2:$N$1000,DB_All!$G$2:$G$1000,B311,DB_All!$L$2:$L$1000,"تحت إجراءات التوريد"))</f>
        <v/>
      </c>
      <c r="O311" t="str">
        <f>IF(B311="","",COUNTIFS(DB_All!$G$2:$G$1000,B311,DB_All!$L$2:$L$1000,"تحت إجراءات التوريد"))</f>
        <v/>
      </c>
      <c r="P311" t="str">
        <f>IF(B311="","",SUMIFS(DB_All!$N$2:$N$1000,DB_All!$G$2:$G$1000,B311,DB_All!$L$2:$L$1000,"بانتظار سندات الاستلام \ شهادة الإنجاز"))</f>
        <v/>
      </c>
      <c r="Q311" t="str">
        <f>IF(B311="","",COUNTIFS(DB_All!$G$2:$G$1000,B311,DB_All!$L$2:$L$1000,"بانتظار سندات الاستلام \ شهادة الإنجاز"))</f>
        <v/>
      </c>
      <c r="R311" t="str">
        <f t="shared" si="14"/>
        <v/>
      </c>
    </row>
    <row r="312" spans="6:18" x14ac:dyDescent="0.3">
      <c r="F312" t="str">
        <f>IF(B312="","",SUMIFS(DB_All!$M$2:$M$1000,DB_All!$G$2:$G$1000,B312,DB_All!$L$2:$L$1000,"تحت إجراءات التعاقد"))</f>
        <v/>
      </c>
      <c r="G312" t="str">
        <f>IF(B312="","",COUNTIFS(DB_All!$G$2:$G$1000,B312,DB_All!$L$2:$L$1000,"تحت إجراءات التعاقد"))</f>
        <v/>
      </c>
      <c r="H312" t="str">
        <f>IF(B312="","",SUMIFS(DB_All!$N$2:$N$1000,DB_All!$G$2:$G$1000,B312,DB_All!$L$2:$L$1000,"تم التوقيع"))</f>
        <v/>
      </c>
      <c r="I312" t="str">
        <f>IF(B312="","",COUNTIFS(DB_All!$G$2:$G$1000,B312,DB_All!$L$2:$L$1000,"تم التوقيع"))</f>
        <v/>
      </c>
      <c r="J312">
        <f t="shared" si="12"/>
        <v>0</v>
      </c>
      <c r="K312" t="str">
        <f>IF(B312="","",SUMIFS('المطالبات 2026'!$J:$J,'المطالبات 2026'!$E:$E,B312,'المطالبات 2026'!$I:$I,"مطالبة مرفوعة للمالية") + SUMIFS('المطالبات 2025'!$J:$J,'المطالبات 2025'!$E:$E,B312,'المطالبات 2025'!$I:$I,"مطالبة مرفوعة للمالية"))</f>
        <v/>
      </c>
      <c r="L312" t="str">
        <f>IF(B312="","",COUNTIFS('المطالبات 2026'!$E:$E,B312,'المطالبات 2026'!$I:$I,"مطالبة مرفوعة للمالية") + COUNTIFS('المطالبات 2025'!$E:$E,B312,'المطالبات 2025'!$I:$I,"مطالبة مرفوعة للمالية"))</f>
        <v/>
      </c>
      <c r="M312">
        <f t="shared" si="13"/>
        <v>0</v>
      </c>
      <c r="N312" t="str">
        <f>IF(B312="","",SUMIFS(DB_All!$N$2:$N$1000,DB_All!$G$2:$G$1000,B312,DB_All!$L$2:$L$1000,"تحت إجراءات التوريد"))</f>
        <v/>
      </c>
      <c r="O312" t="str">
        <f>IF(B312="","",COUNTIFS(DB_All!$G$2:$G$1000,B312,DB_All!$L$2:$L$1000,"تحت إجراءات التوريد"))</f>
        <v/>
      </c>
      <c r="P312" t="str">
        <f>IF(B312="","",SUMIFS(DB_All!$N$2:$N$1000,DB_All!$G$2:$G$1000,B312,DB_All!$L$2:$L$1000,"بانتظار سندات الاستلام \ شهادة الإنجاز"))</f>
        <v/>
      </c>
      <c r="Q312" t="str">
        <f>IF(B312="","",COUNTIFS(DB_All!$G$2:$G$1000,B312,DB_All!$L$2:$L$1000,"بانتظار سندات الاستلام \ شهادة الإنجاز"))</f>
        <v/>
      </c>
      <c r="R312" t="str">
        <f t="shared" si="14"/>
        <v/>
      </c>
    </row>
    <row r="313" spans="6:18" x14ac:dyDescent="0.3">
      <c r="F313" t="str">
        <f>IF(B313="","",SUMIFS(DB_All!$M$2:$M$1000,DB_All!$G$2:$G$1000,B313,DB_All!$L$2:$L$1000,"تحت إجراءات التعاقد"))</f>
        <v/>
      </c>
      <c r="G313" t="str">
        <f>IF(B313="","",COUNTIFS(DB_All!$G$2:$G$1000,B313,DB_All!$L$2:$L$1000,"تحت إجراءات التعاقد"))</f>
        <v/>
      </c>
      <c r="H313" t="str">
        <f>IF(B313="","",SUMIFS(DB_All!$N$2:$N$1000,DB_All!$G$2:$G$1000,B313,DB_All!$L$2:$L$1000,"تم التوقيع"))</f>
        <v/>
      </c>
      <c r="I313" t="str">
        <f>IF(B313="","",COUNTIFS(DB_All!$G$2:$G$1000,B313,DB_All!$L$2:$L$1000,"تم التوقيع"))</f>
        <v/>
      </c>
      <c r="J313">
        <f t="shared" si="12"/>
        <v>0</v>
      </c>
      <c r="K313" t="str">
        <f>IF(B313="","",SUMIFS('المطالبات 2026'!$J:$J,'المطالبات 2026'!$E:$E,B313,'المطالبات 2026'!$I:$I,"مطالبة مرفوعة للمالية") + SUMIFS('المطالبات 2025'!$J:$J,'المطالبات 2025'!$E:$E,B313,'المطالبات 2025'!$I:$I,"مطالبة مرفوعة للمالية"))</f>
        <v/>
      </c>
      <c r="L313" t="str">
        <f>IF(B313="","",COUNTIFS('المطالبات 2026'!$E:$E,B313,'المطالبات 2026'!$I:$I,"مطالبة مرفوعة للمالية") + COUNTIFS('المطالبات 2025'!$E:$E,B313,'المطالبات 2025'!$I:$I,"مطالبة مرفوعة للمالية"))</f>
        <v/>
      </c>
      <c r="M313">
        <f t="shared" si="13"/>
        <v>0</v>
      </c>
      <c r="N313" t="str">
        <f>IF(B313="","",SUMIFS(DB_All!$N$2:$N$1000,DB_All!$G$2:$G$1000,B313,DB_All!$L$2:$L$1000,"تحت إجراءات التوريد"))</f>
        <v/>
      </c>
      <c r="O313" t="str">
        <f>IF(B313="","",COUNTIFS(DB_All!$G$2:$G$1000,B313,DB_All!$L$2:$L$1000,"تحت إجراءات التوريد"))</f>
        <v/>
      </c>
      <c r="P313" t="str">
        <f>IF(B313="","",SUMIFS(DB_All!$N$2:$N$1000,DB_All!$G$2:$G$1000,B313,DB_All!$L$2:$L$1000,"بانتظار سندات الاستلام \ شهادة الإنجاز"))</f>
        <v/>
      </c>
      <c r="Q313" t="str">
        <f>IF(B313="","",COUNTIFS(DB_All!$G$2:$G$1000,B313,DB_All!$L$2:$L$1000,"بانتظار سندات الاستلام \ شهادة الإنجاز"))</f>
        <v/>
      </c>
      <c r="R313" t="str">
        <f t="shared" si="14"/>
        <v/>
      </c>
    </row>
    <row r="314" spans="6:18" x14ac:dyDescent="0.3">
      <c r="F314" t="str">
        <f>IF(B314="","",SUMIFS(DB_All!$M$2:$M$1000,DB_All!$G$2:$G$1000,B314,DB_All!$L$2:$L$1000,"تحت إجراءات التعاقد"))</f>
        <v/>
      </c>
      <c r="G314" t="str">
        <f>IF(B314="","",COUNTIFS(DB_All!$G$2:$G$1000,B314,DB_All!$L$2:$L$1000,"تحت إجراءات التعاقد"))</f>
        <v/>
      </c>
      <c r="H314" t="str">
        <f>IF(B314="","",SUMIFS(DB_All!$N$2:$N$1000,DB_All!$G$2:$G$1000,B314,DB_All!$L$2:$L$1000,"تم التوقيع"))</f>
        <v/>
      </c>
      <c r="I314" t="str">
        <f>IF(B314="","",COUNTIFS(DB_All!$G$2:$G$1000,B314,DB_All!$L$2:$L$1000,"تم التوقيع"))</f>
        <v/>
      </c>
      <c r="J314">
        <f t="shared" si="12"/>
        <v>0</v>
      </c>
      <c r="K314" t="str">
        <f>IF(B314="","",SUMIFS('المطالبات 2026'!$J:$J,'المطالبات 2026'!$E:$E,B314,'المطالبات 2026'!$I:$I,"مطالبة مرفوعة للمالية") + SUMIFS('المطالبات 2025'!$J:$J,'المطالبات 2025'!$E:$E,B314,'المطالبات 2025'!$I:$I,"مطالبة مرفوعة للمالية"))</f>
        <v/>
      </c>
      <c r="L314" t="str">
        <f>IF(B314="","",COUNTIFS('المطالبات 2026'!$E:$E,B314,'المطالبات 2026'!$I:$I,"مطالبة مرفوعة للمالية") + COUNTIFS('المطالبات 2025'!$E:$E,B314,'المطالبات 2025'!$I:$I,"مطالبة مرفوعة للمالية"))</f>
        <v/>
      </c>
      <c r="M314">
        <f t="shared" si="13"/>
        <v>0</v>
      </c>
      <c r="N314" t="str">
        <f>IF(B314="","",SUMIFS(DB_All!$N$2:$N$1000,DB_All!$G$2:$G$1000,B314,DB_All!$L$2:$L$1000,"تحت إجراءات التوريد"))</f>
        <v/>
      </c>
      <c r="O314" t="str">
        <f>IF(B314="","",COUNTIFS(DB_All!$G$2:$G$1000,B314,DB_All!$L$2:$L$1000,"تحت إجراءات التوريد"))</f>
        <v/>
      </c>
      <c r="P314" t="str">
        <f>IF(B314="","",SUMIFS(DB_All!$N$2:$N$1000,DB_All!$G$2:$G$1000,B314,DB_All!$L$2:$L$1000,"بانتظار سندات الاستلام \ شهادة الإنجاز"))</f>
        <v/>
      </c>
      <c r="Q314" t="str">
        <f>IF(B314="","",COUNTIFS(DB_All!$G$2:$G$1000,B314,DB_All!$L$2:$L$1000,"بانتظار سندات الاستلام \ شهادة الإنجاز"))</f>
        <v/>
      </c>
      <c r="R314" t="str">
        <f t="shared" si="14"/>
        <v/>
      </c>
    </row>
    <row r="315" spans="6:18" x14ac:dyDescent="0.3">
      <c r="F315" t="str">
        <f>IF(B315="","",SUMIFS(DB_All!$M$2:$M$1000,DB_All!$G$2:$G$1000,B315,DB_All!$L$2:$L$1000,"تحت إجراءات التعاقد"))</f>
        <v/>
      </c>
      <c r="G315" t="str">
        <f>IF(B315="","",COUNTIFS(DB_All!$G$2:$G$1000,B315,DB_All!$L$2:$L$1000,"تحت إجراءات التعاقد"))</f>
        <v/>
      </c>
      <c r="H315" t="str">
        <f>IF(B315="","",SUMIFS(DB_All!$N$2:$N$1000,DB_All!$G$2:$G$1000,B315,DB_All!$L$2:$L$1000,"تم التوقيع"))</f>
        <v/>
      </c>
      <c r="I315" t="str">
        <f>IF(B315="","",COUNTIFS(DB_All!$G$2:$G$1000,B315,DB_All!$L$2:$L$1000,"تم التوقيع"))</f>
        <v/>
      </c>
      <c r="J315">
        <f t="shared" si="12"/>
        <v>0</v>
      </c>
      <c r="K315" t="str">
        <f>IF(B315="","",SUMIFS('المطالبات 2026'!$J:$J,'المطالبات 2026'!$E:$E,B315,'المطالبات 2026'!$I:$I,"مطالبة مرفوعة للمالية") + SUMIFS('المطالبات 2025'!$J:$J,'المطالبات 2025'!$E:$E,B315,'المطالبات 2025'!$I:$I,"مطالبة مرفوعة للمالية"))</f>
        <v/>
      </c>
      <c r="L315" t="str">
        <f>IF(B315="","",COUNTIFS('المطالبات 2026'!$E:$E,B315,'المطالبات 2026'!$I:$I,"مطالبة مرفوعة للمالية") + COUNTIFS('المطالبات 2025'!$E:$E,B315,'المطالبات 2025'!$I:$I,"مطالبة مرفوعة للمالية"))</f>
        <v/>
      </c>
      <c r="M315">
        <f t="shared" si="13"/>
        <v>0</v>
      </c>
      <c r="N315" t="str">
        <f>IF(B315="","",SUMIFS(DB_All!$N$2:$N$1000,DB_All!$G$2:$G$1000,B315,DB_All!$L$2:$L$1000,"تحت إجراءات التوريد"))</f>
        <v/>
      </c>
      <c r="O315" t="str">
        <f>IF(B315="","",COUNTIFS(DB_All!$G$2:$G$1000,B315,DB_All!$L$2:$L$1000,"تحت إجراءات التوريد"))</f>
        <v/>
      </c>
      <c r="P315" t="str">
        <f>IF(B315="","",SUMIFS(DB_All!$N$2:$N$1000,DB_All!$G$2:$G$1000,B315,DB_All!$L$2:$L$1000,"بانتظار سندات الاستلام \ شهادة الإنجاز"))</f>
        <v/>
      </c>
      <c r="Q315" t="str">
        <f>IF(B315="","",COUNTIFS(DB_All!$G$2:$G$1000,B315,DB_All!$L$2:$L$1000,"بانتظار سندات الاستلام \ شهادة الإنجاز"))</f>
        <v/>
      </c>
      <c r="R315" t="str">
        <f t="shared" si="14"/>
        <v/>
      </c>
    </row>
    <row r="316" spans="6:18" x14ac:dyDescent="0.3">
      <c r="F316" t="str">
        <f>IF(B316="","",SUMIFS(DB_All!$M$2:$M$1000,DB_All!$G$2:$G$1000,B316,DB_All!$L$2:$L$1000,"تحت إجراءات التعاقد"))</f>
        <v/>
      </c>
      <c r="G316" t="str">
        <f>IF(B316="","",COUNTIFS(DB_All!$G$2:$G$1000,B316,DB_All!$L$2:$L$1000,"تحت إجراءات التعاقد"))</f>
        <v/>
      </c>
      <c r="H316" t="str">
        <f>IF(B316="","",SUMIFS(DB_All!$N$2:$N$1000,DB_All!$G$2:$G$1000,B316,DB_All!$L$2:$L$1000,"تم التوقيع"))</f>
        <v/>
      </c>
      <c r="I316" t="str">
        <f>IF(B316="","",COUNTIFS(DB_All!$G$2:$G$1000,B316,DB_All!$L$2:$L$1000,"تم التوقيع"))</f>
        <v/>
      </c>
      <c r="J316">
        <f t="shared" si="12"/>
        <v>0</v>
      </c>
      <c r="K316" t="str">
        <f>IF(B316="","",SUMIFS('المطالبات 2026'!$J:$J,'المطالبات 2026'!$E:$E,B316,'المطالبات 2026'!$I:$I,"مطالبة مرفوعة للمالية") + SUMIFS('المطالبات 2025'!$J:$J,'المطالبات 2025'!$E:$E,B316,'المطالبات 2025'!$I:$I,"مطالبة مرفوعة للمالية"))</f>
        <v/>
      </c>
      <c r="L316" t="str">
        <f>IF(B316="","",COUNTIFS('المطالبات 2026'!$E:$E,B316,'المطالبات 2026'!$I:$I,"مطالبة مرفوعة للمالية") + COUNTIFS('المطالبات 2025'!$E:$E,B316,'المطالبات 2025'!$I:$I,"مطالبة مرفوعة للمالية"))</f>
        <v/>
      </c>
      <c r="M316">
        <f t="shared" si="13"/>
        <v>0</v>
      </c>
      <c r="N316" t="str">
        <f>IF(B316="","",SUMIFS(DB_All!$N$2:$N$1000,DB_All!$G$2:$G$1000,B316,DB_All!$L$2:$L$1000,"تحت إجراءات التوريد"))</f>
        <v/>
      </c>
      <c r="O316" t="str">
        <f>IF(B316="","",COUNTIFS(DB_All!$G$2:$G$1000,B316,DB_All!$L$2:$L$1000,"تحت إجراءات التوريد"))</f>
        <v/>
      </c>
      <c r="P316" t="str">
        <f>IF(B316="","",SUMIFS(DB_All!$N$2:$N$1000,DB_All!$G$2:$G$1000,B316,DB_All!$L$2:$L$1000,"بانتظار سندات الاستلام \ شهادة الإنجاز"))</f>
        <v/>
      </c>
      <c r="Q316" t="str">
        <f>IF(B316="","",COUNTIFS(DB_All!$G$2:$G$1000,B316,DB_All!$L$2:$L$1000,"بانتظار سندات الاستلام \ شهادة الإنجاز"))</f>
        <v/>
      </c>
      <c r="R316" t="str">
        <f t="shared" si="14"/>
        <v/>
      </c>
    </row>
    <row r="317" spans="6:18" x14ac:dyDescent="0.3">
      <c r="F317" t="str">
        <f>IF(B317="","",SUMIFS(DB_All!$M$2:$M$1000,DB_All!$G$2:$G$1000,B317,DB_All!$L$2:$L$1000,"تحت إجراءات التعاقد"))</f>
        <v/>
      </c>
      <c r="G317" t="str">
        <f>IF(B317="","",COUNTIFS(DB_All!$G$2:$G$1000,B317,DB_All!$L$2:$L$1000,"تحت إجراءات التعاقد"))</f>
        <v/>
      </c>
      <c r="H317" t="str">
        <f>IF(B317="","",SUMIFS(DB_All!$N$2:$N$1000,DB_All!$G$2:$G$1000,B317,DB_All!$L$2:$L$1000,"تم التوقيع"))</f>
        <v/>
      </c>
      <c r="I317" t="str">
        <f>IF(B317="","",COUNTIFS(DB_All!$G$2:$G$1000,B317,DB_All!$L$2:$L$1000,"تم التوقيع"))</f>
        <v/>
      </c>
      <c r="J317">
        <f t="shared" si="12"/>
        <v>0</v>
      </c>
      <c r="K317" t="str">
        <f>IF(B317="","",SUMIFS('المطالبات 2026'!$J:$J,'المطالبات 2026'!$E:$E,B317,'المطالبات 2026'!$I:$I,"مطالبة مرفوعة للمالية") + SUMIFS('المطالبات 2025'!$J:$J,'المطالبات 2025'!$E:$E,B317,'المطالبات 2025'!$I:$I,"مطالبة مرفوعة للمالية"))</f>
        <v/>
      </c>
      <c r="L317" t="str">
        <f>IF(B317="","",COUNTIFS('المطالبات 2026'!$E:$E,B317,'المطالبات 2026'!$I:$I,"مطالبة مرفوعة للمالية") + COUNTIFS('المطالبات 2025'!$E:$E,B317,'المطالبات 2025'!$I:$I,"مطالبة مرفوعة للمالية"))</f>
        <v/>
      </c>
      <c r="M317">
        <f t="shared" si="13"/>
        <v>0</v>
      </c>
      <c r="N317" t="str">
        <f>IF(B317="","",SUMIFS(DB_All!$N$2:$N$1000,DB_All!$G$2:$G$1000,B317,DB_All!$L$2:$L$1000,"تحت إجراءات التوريد"))</f>
        <v/>
      </c>
      <c r="O317" t="str">
        <f>IF(B317="","",COUNTIFS(DB_All!$G$2:$G$1000,B317,DB_All!$L$2:$L$1000,"تحت إجراءات التوريد"))</f>
        <v/>
      </c>
      <c r="P317" t="str">
        <f>IF(B317="","",SUMIFS(DB_All!$N$2:$N$1000,DB_All!$G$2:$G$1000,B317,DB_All!$L$2:$L$1000,"بانتظار سندات الاستلام \ شهادة الإنجاز"))</f>
        <v/>
      </c>
      <c r="Q317" t="str">
        <f>IF(B317="","",COUNTIFS(DB_All!$G$2:$G$1000,B317,DB_All!$L$2:$L$1000,"بانتظار سندات الاستلام \ شهادة الإنجاز"))</f>
        <v/>
      </c>
      <c r="R317" t="str">
        <f t="shared" si="14"/>
        <v/>
      </c>
    </row>
    <row r="318" spans="6:18" x14ac:dyDescent="0.3">
      <c r="F318" t="str">
        <f>IF(B318="","",SUMIFS(DB_All!$M$2:$M$1000,DB_All!$G$2:$G$1000,B318,DB_All!$L$2:$L$1000,"تحت إجراءات التعاقد"))</f>
        <v/>
      </c>
      <c r="G318" t="str">
        <f>IF(B318="","",COUNTIFS(DB_All!$G$2:$G$1000,B318,DB_All!$L$2:$L$1000,"تحت إجراءات التعاقد"))</f>
        <v/>
      </c>
      <c r="H318" t="str">
        <f>IF(B318="","",SUMIFS(DB_All!$N$2:$N$1000,DB_All!$G$2:$G$1000,B318,DB_All!$L$2:$L$1000,"تم التوقيع"))</f>
        <v/>
      </c>
      <c r="I318" t="str">
        <f>IF(B318="","",COUNTIFS(DB_All!$G$2:$G$1000,B318,DB_All!$L$2:$L$1000,"تم التوقيع"))</f>
        <v/>
      </c>
      <c r="J318">
        <f t="shared" si="12"/>
        <v>0</v>
      </c>
      <c r="K318" t="str">
        <f>IF(B318="","",SUMIFS('المطالبات 2026'!$J:$J,'المطالبات 2026'!$E:$E,B318,'المطالبات 2026'!$I:$I,"مطالبة مرفوعة للمالية") + SUMIFS('المطالبات 2025'!$J:$J,'المطالبات 2025'!$E:$E,B318,'المطالبات 2025'!$I:$I,"مطالبة مرفوعة للمالية"))</f>
        <v/>
      </c>
      <c r="L318" t="str">
        <f>IF(B318="","",COUNTIFS('المطالبات 2026'!$E:$E,B318,'المطالبات 2026'!$I:$I,"مطالبة مرفوعة للمالية") + COUNTIFS('المطالبات 2025'!$E:$E,B318,'المطالبات 2025'!$I:$I,"مطالبة مرفوعة للمالية"))</f>
        <v/>
      </c>
      <c r="M318">
        <f t="shared" si="13"/>
        <v>0</v>
      </c>
      <c r="N318" t="str">
        <f>IF(B318="","",SUMIFS(DB_All!$N$2:$N$1000,DB_All!$G$2:$G$1000,B318,DB_All!$L$2:$L$1000,"تحت إجراءات التوريد"))</f>
        <v/>
      </c>
      <c r="O318" t="str">
        <f>IF(B318="","",COUNTIFS(DB_All!$G$2:$G$1000,B318,DB_All!$L$2:$L$1000,"تحت إجراءات التوريد"))</f>
        <v/>
      </c>
      <c r="P318" t="str">
        <f>IF(B318="","",SUMIFS(DB_All!$N$2:$N$1000,DB_All!$G$2:$G$1000,B318,DB_All!$L$2:$L$1000,"بانتظار سندات الاستلام \ شهادة الإنجاز"))</f>
        <v/>
      </c>
      <c r="Q318" t="str">
        <f>IF(B318="","",COUNTIFS(DB_All!$G$2:$G$1000,B318,DB_All!$L$2:$L$1000,"بانتظار سندات الاستلام \ شهادة الإنجاز"))</f>
        <v/>
      </c>
      <c r="R318" t="str">
        <f t="shared" si="14"/>
        <v/>
      </c>
    </row>
    <row r="319" spans="6:18" x14ac:dyDescent="0.3">
      <c r="F319" t="str">
        <f>IF(B319="","",SUMIFS(DB_All!$M$2:$M$1000,DB_All!$G$2:$G$1000,B319,DB_All!$L$2:$L$1000,"تحت إجراءات التعاقد"))</f>
        <v/>
      </c>
      <c r="G319" t="str">
        <f>IF(B319="","",COUNTIFS(DB_All!$G$2:$G$1000,B319,DB_All!$L$2:$L$1000,"تحت إجراءات التعاقد"))</f>
        <v/>
      </c>
      <c r="H319" t="str">
        <f>IF(B319="","",SUMIFS(DB_All!$N$2:$N$1000,DB_All!$G$2:$G$1000,B319,DB_All!$L$2:$L$1000,"تم التوقيع"))</f>
        <v/>
      </c>
      <c r="I319" t="str">
        <f>IF(B319="","",COUNTIFS(DB_All!$G$2:$G$1000,B319,DB_All!$L$2:$L$1000,"تم التوقيع"))</f>
        <v/>
      </c>
      <c r="J319">
        <f t="shared" si="12"/>
        <v>0</v>
      </c>
      <c r="K319" t="str">
        <f>IF(B319="","",SUMIFS('المطالبات 2026'!$J:$J,'المطالبات 2026'!$E:$E,B319,'المطالبات 2026'!$I:$I,"مطالبة مرفوعة للمالية") + SUMIFS('المطالبات 2025'!$J:$J,'المطالبات 2025'!$E:$E,B319,'المطالبات 2025'!$I:$I,"مطالبة مرفوعة للمالية"))</f>
        <v/>
      </c>
      <c r="L319" t="str">
        <f>IF(B319="","",COUNTIFS('المطالبات 2026'!$E:$E,B319,'المطالبات 2026'!$I:$I,"مطالبة مرفوعة للمالية") + COUNTIFS('المطالبات 2025'!$E:$E,B319,'المطالبات 2025'!$I:$I,"مطالبة مرفوعة للمالية"))</f>
        <v/>
      </c>
      <c r="M319">
        <f t="shared" si="13"/>
        <v>0</v>
      </c>
      <c r="N319" t="str">
        <f>IF(B319="","",SUMIFS(DB_All!$N$2:$N$1000,DB_All!$G$2:$G$1000,B319,DB_All!$L$2:$L$1000,"تحت إجراءات التوريد"))</f>
        <v/>
      </c>
      <c r="O319" t="str">
        <f>IF(B319="","",COUNTIFS(DB_All!$G$2:$G$1000,B319,DB_All!$L$2:$L$1000,"تحت إجراءات التوريد"))</f>
        <v/>
      </c>
      <c r="P319" t="str">
        <f>IF(B319="","",SUMIFS(DB_All!$N$2:$N$1000,DB_All!$G$2:$G$1000,B319,DB_All!$L$2:$L$1000,"بانتظار سندات الاستلام \ شهادة الإنجاز"))</f>
        <v/>
      </c>
      <c r="Q319" t="str">
        <f>IF(B319="","",COUNTIFS(DB_All!$G$2:$G$1000,B319,DB_All!$L$2:$L$1000,"بانتظار سندات الاستلام \ شهادة الإنجاز"))</f>
        <v/>
      </c>
      <c r="R319" t="str">
        <f t="shared" si="14"/>
        <v/>
      </c>
    </row>
    <row r="320" spans="6:18" x14ac:dyDescent="0.3">
      <c r="F320" t="str">
        <f>IF(B320="","",SUMIFS(DB_All!$M$2:$M$1000,DB_All!$G$2:$G$1000,B320,DB_All!$L$2:$L$1000,"تحت إجراءات التعاقد"))</f>
        <v/>
      </c>
      <c r="G320" t="str">
        <f>IF(B320="","",COUNTIFS(DB_All!$G$2:$G$1000,B320,DB_All!$L$2:$L$1000,"تحت إجراءات التعاقد"))</f>
        <v/>
      </c>
      <c r="H320" t="str">
        <f>IF(B320="","",SUMIFS(DB_All!$N$2:$N$1000,DB_All!$G$2:$G$1000,B320,DB_All!$L$2:$L$1000,"تم التوقيع"))</f>
        <v/>
      </c>
      <c r="I320" t="str">
        <f>IF(B320="","",COUNTIFS(DB_All!$G$2:$G$1000,B320,DB_All!$L$2:$L$1000,"تم التوقيع"))</f>
        <v/>
      </c>
      <c r="J320">
        <f t="shared" si="12"/>
        <v>0</v>
      </c>
      <c r="K320" t="str">
        <f>IF(B320="","",SUMIFS('المطالبات 2026'!$J:$J,'المطالبات 2026'!$E:$E,B320,'المطالبات 2026'!$I:$I,"مطالبة مرفوعة للمالية") + SUMIFS('المطالبات 2025'!$J:$J,'المطالبات 2025'!$E:$E,B320,'المطالبات 2025'!$I:$I,"مطالبة مرفوعة للمالية"))</f>
        <v/>
      </c>
      <c r="L320" t="str">
        <f>IF(B320="","",COUNTIFS('المطالبات 2026'!$E:$E,B320,'المطالبات 2026'!$I:$I,"مطالبة مرفوعة للمالية") + COUNTIFS('المطالبات 2025'!$E:$E,B320,'المطالبات 2025'!$I:$I,"مطالبة مرفوعة للمالية"))</f>
        <v/>
      </c>
      <c r="M320">
        <f t="shared" si="13"/>
        <v>0</v>
      </c>
      <c r="N320" t="str">
        <f>IF(B320="","",SUMIFS(DB_All!$N$2:$N$1000,DB_All!$G$2:$G$1000,B320,DB_All!$L$2:$L$1000,"تحت إجراءات التوريد"))</f>
        <v/>
      </c>
      <c r="O320" t="str">
        <f>IF(B320="","",COUNTIFS(DB_All!$G$2:$G$1000,B320,DB_All!$L$2:$L$1000,"تحت إجراءات التوريد"))</f>
        <v/>
      </c>
      <c r="P320" t="str">
        <f>IF(B320="","",SUMIFS(DB_All!$N$2:$N$1000,DB_All!$G$2:$G$1000,B320,DB_All!$L$2:$L$1000,"بانتظار سندات الاستلام \ شهادة الإنجاز"))</f>
        <v/>
      </c>
      <c r="Q320" t="str">
        <f>IF(B320="","",COUNTIFS(DB_All!$G$2:$G$1000,B320,DB_All!$L$2:$L$1000,"بانتظار سندات الاستلام \ شهادة الإنجاز"))</f>
        <v/>
      </c>
      <c r="R320" t="str">
        <f t="shared" si="14"/>
        <v/>
      </c>
    </row>
    <row r="321" spans="6:18" x14ac:dyDescent="0.3">
      <c r="F321" t="str">
        <f>IF(B321="","",SUMIFS(DB_All!$M$2:$M$1000,DB_All!$G$2:$G$1000,B321,DB_All!$L$2:$L$1000,"تحت إجراءات التعاقد"))</f>
        <v/>
      </c>
      <c r="G321" t="str">
        <f>IF(B321="","",COUNTIFS(DB_All!$G$2:$G$1000,B321,DB_All!$L$2:$L$1000,"تحت إجراءات التعاقد"))</f>
        <v/>
      </c>
      <c r="H321" t="str">
        <f>IF(B321="","",SUMIFS(DB_All!$N$2:$N$1000,DB_All!$G$2:$G$1000,B321,DB_All!$L$2:$L$1000,"تم التوقيع"))</f>
        <v/>
      </c>
      <c r="I321" t="str">
        <f>IF(B321="","",COUNTIFS(DB_All!$G$2:$G$1000,B321,DB_All!$L$2:$L$1000,"تم التوقيع"))</f>
        <v/>
      </c>
      <c r="J321">
        <f t="shared" si="12"/>
        <v>0</v>
      </c>
      <c r="K321" t="str">
        <f>IF(B321="","",SUMIFS('المطالبات 2026'!$J:$J,'المطالبات 2026'!$E:$E,B321,'المطالبات 2026'!$I:$I,"مطالبة مرفوعة للمالية") + SUMIFS('المطالبات 2025'!$J:$J,'المطالبات 2025'!$E:$E,B321,'المطالبات 2025'!$I:$I,"مطالبة مرفوعة للمالية"))</f>
        <v/>
      </c>
      <c r="L321" t="str">
        <f>IF(B321="","",COUNTIFS('المطالبات 2026'!$E:$E,B321,'المطالبات 2026'!$I:$I,"مطالبة مرفوعة للمالية") + COUNTIFS('المطالبات 2025'!$E:$E,B321,'المطالبات 2025'!$I:$I,"مطالبة مرفوعة للمالية"))</f>
        <v/>
      </c>
      <c r="M321">
        <f t="shared" si="13"/>
        <v>0</v>
      </c>
      <c r="N321" t="str">
        <f>IF(B321="","",SUMIFS(DB_All!$N$2:$N$1000,DB_All!$G$2:$G$1000,B321,DB_All!$L$2:$L$1000,"تحت إجراءات التوريد"))</f>
        <v/>
      </c>
      <c r="O321" t="str">
        <f>IF(B321="","",COUNTIFS(DB_All!$G$2:$G$1000,B321,DB_All!$L$2:$L$1000,"تحت إجراءات التوريد"))</f>
        <v/>
      </c>
      <c r="P321" t="str">
        <f>IF(B321="","",SUMIFS(DB_All!$N$2:$N$1000,DB_All!$G$2:$G$1000,B321,DB_All!$L$2:$L$1000,"بانتظار سندات الاستلام \ شهادة الإنجاز"))</f>
        <v/>
      </c>
      <c r="Q321" t="str">
        <f>IF(B321="","",COUNTIFS(DB_All!$G$2:$G$1000,B321,DB_All!$L$2:$L$1000,"بانتظار سندات الاستلام \ شهادة الإنجاز"))</f>
        <v/>
      </c>
      <c r="R321" t="str">
        <f t="shared" si="14"/>
        <v/>
      </c>
    </row>
    <row r="322" spans="6:18" x14ac:dyDescent="0.3">
      <c r="F322" t="str">
        <f>IF(B322="","",SUMIFS(DB_All!$M$2:$M$1000,DB_All!$G$2:$G$1000,B322,DB_All!$L$2:$L$1000,"تحت إجراءات التعاقد"))</f>
        <v/>
      </c>
      <c r="G322" t="str">
        <f>IF(B322="","",COUNTIFS(DB_All!$G$2:$G$1000,B322,DB_All!$L$2:$L$1000,"تحت إجراءات التعاقد"))</f>
        <v/>
      </c>
      <c r="H322" t="str">
        <f>IF(B322="","",SUMIFS(DB_All!$N$2:$N$1000,DB_All!$G$2:$G$1000,B322,DB_All!$L$2:$L$1000,"تم التوقيع"))</f>
        <v/>
      </c>
      <c r="I322" t="str">
        <f>IF(B322="","",COUNTIFS(DB_All!$G$2:$G$1000,B322,DB_All!$L$2:$L$1000,"تم التوقيع"))</f>
        <v/>
      </c>
      <c r="J322">
        <f t="shared" ref="J322:J385" si="15">IFERROR(H322/D322,0)</f>
        <v>0</v>
      </c>
      <c r="K322" t="str">
        <f>IF(B322="","",SUMIFS('المطالبات 2026'!$J:$J,'المطالبات 2026'!$E:$E,B322,'المطالبات 2026'!$I:$I,"مطالبة مرفوعة للمالية") + SUMIFS('المطالبات 2025'!$J:$J,'المطالبات 2025'!$E:$E,B322,'المطالبات 2025'!$I:$I,"مطالبة مرفوعة للمالية"))</f>
        <v/>
      </c>
      <c r="L322" t="str">
        <f>IF(B322="","",COUNTIFS('المطالبات 2026'!$E:$E,B322,'المطالبات 2026'!$I:$I,"مطالبة مرفوعة للمالية") + COUNTIFS('المطالبات 2025'!$E:$E,B322,'المطالبات 2025'!$I:$I,"مطالبة مرفوعة للمالية"))</f>
        <v/>
      </c>
      <c r="M322">
        <f t="shared" ref="M322:M385" si="16">IFERROR(K322/D322,0)</f>
        <v>0</v>
      </c>
      <c r="N322" t="str">
        <f>IF(B322="","",SUMIFS(DB_All!$N$2:$N$1000,DB_All!$G$2:$G$1000,B322,DB_All!$L$2:$L$1000,"تحت إجراءات التوريد"))</f>
        <v/>
      </c>
      <c r="O322" t="str">
        <f>IF(B322="","",COUNTIFS(DB_All!$G$2:$G$1000,B322,DB_All!$L$2:$L$1000,"تحت إجراءات التوريد"))</f>
        <v/>
      </c>
      <c r="P322" t="str">
        <f>IF(B322="","",SUMIFS(DB_All!$N$2:$N$1000,DB_All!$G$2:$G$1000,B322,DB_All!$L$2:$L$1000,"بانتظار سندات الاستلام \ شهادة الإنجاز"))</f>
        <v/>
      </c>
      <c r="Q322" t="str">
        <f>IF(B322="","",COUNTIFS(DB_All!$G$2:$G$1000,B322,DB_All!$L$2:$L$1000,"بانتظار سندات الاستلام \ شهادة الإنجاز"))</f>
        <v/>
      </c>
      <c r="R322" t="str">
        <f t="shared" ref="R322:R385" si="17">IF(B322="","",F322+H322)</f>
        <v/>
      </c>
    </row>
    <row r="323" spans="6:18" x14ac:dyDescent="0.3">
      <c r="F323" t="str">
        <f>IF(B323="","",SUMIFS(DB_All!$M$2:$M$1000,DB_All!$G$2:$G$1000,B323,DB_All!$L$2:$L$1000,"تحت إجراءات التعاقد"))</f>
        <v/>
      </c>
      <c r="G323" t="str">
        <f>IF(B323="","",COUNTIFS(DB_All!$G$2:$G$1000,B323,DB_All!$L$2:$L$1000,"تحت إجراءات التعاقد"))</f>
        <v/>
      </c>
      <c r="H323" t="str">
        <f>IF(B323="","",SUMIFS(DB_All!$N$2:$N$1000,DB_All!$G$2:$G$1000,B323,DB_All!$L$2:$L$1000,"تم التوقيع"))</f>
        <v/>
      </c>
      <c r="I323" t="str">
        <f>IF(B323="","",COUNTIFS(DB_All!$G$2:$G$1000,B323,DB_All!$L$2:$L$1000,"تم التوقيع"))</f>
        <v/>
      </c>
      <c r="J323">
        <f t="shared" si="15"/>
        <v>0</v>
      </c>
      <c r="K323" t="str">
        <f>IF(B323="","",SUMIFS('المطالبات 2026'!$J:$J,'المطالبات 2026'!$E:$E,B323,'المطالبات 2026'!$I:$I,"مطالبة مرفوعة للمالية") + SUMIFS('المطالبات 2025'!$J:$J,'المطالبات 2025'!$E:$E,B323,'المطالبات 2025'!$I:$I,"مطالبة مرفوعة للمالية"))</f>
        <v/>
      </c>
      <c r="L323" t="str">
        <f>IF(B323="","",COUNTIFS('المطالبات 2026'!$E:$E,B323,'المطالبات 2026'!$I:$I,"مطالبة مرفوعة للمالية") + COUNTIFS('المطالبات 2025'!$E:$E,B323,'المطالبات 2025'!$I:$I,"مطالبة مرفوعة للمالية"))</f>
        <v/>
      </c>
      <c r="M323">
        <f t="shared" si="16"/>
        <v>0</v>
      </c>
      <c r="N323" t="str">
        <f>IF(B323="","",SUMIFS(DB_All!$N$2:$N$1000,DB_All!$G$2:$G$1000,B323,DB_All!$L$2:$L$1000,"تحت إجراءات التوريد"))</f>
        <v/>
      </c>
      <c r="O323" t="str">
        <f>IF(B323="","",COUNTIFS(DB_All!$G$2:$G$1000,B323,DB_All!$L$2:$L$1000,"تحت إجراءات التوريد"))</f>
        <v/>
      </c>
      <c r="P323" t="str">
        <f>IF(B323="","",SUMIFS(DB_All!$N$2:$N$1000,DB_All!$G$2:$G$1000,B323,DB_All!$L$2:$L$1000,"بانتظار سندات الاستلام \ شهادة الإنجاز"))</f>
        <v/>
      </c>
      <c r="Q323" t="str">
        <f>IF(B323="","",COUNTIFS(DB_All!$G$2:$G$1000,B323,DB_All!$L$2:$L$1000,"بانتظار سندات الاستلام \ شهادة الإنجاز"))</f>
        <v/>
      </c>
      <c r="R323" t="str">
        <f t="shared" si="17"/>
        <v/>
      </c>
    </row>
    <row r="324" spans="6:18" x14ac:dyDescent="0.3">
      <c r="F324" t="str">
        <f>IF(B324="","",SUMIFS(DB_All!$M$2:$M$1000,DB_All!$G$2:$G$1000,B324,DB_All!$L$2:$L$1000,"تحت إجراءات التعاقد"))</f>
        <v/>
      </c>
      <c r="G324" t="str">
        <f>IF(B324="","",COUNTIFS(DB_All!$G$2:$G$1000,B324,DB_All!$L$2:$L$1000,"تحت إجراءات التعاقد"))</f>
        <v/>
      </c>
      <c r="H324" t="str">
        <f>IF(B324="","",SUMIFS(DB_All!$N$2:$N$1000,DB_All!$G$2:$G$1000,B324,DB_All!$L$2:$L$1000,"تم التوقيع"))</f>
        <v/>
      </c>
      <c r="I324" t="str">
        <f>IF(B324="","",COUNTIFS(DB_All!$G$2:$G$1000,B324,DB_All!$L$2:$L$1000,"تم التوقيع"))</f>
        <v/>
      </c>
      <c r="J324">
        <f t="shared" si="15"/>
        <v>0</v>
      </c>
      <c r="K324" t="str">
        <f>IF(B324="","",SUMIFS('المطالبات 2026'!$J:$J,'المطالبات 2026'!$E:$E,B324,'المطالبات 2026'!$I:$I,"مطالبة مرفوعة للمالية") + SUMIFS('المطالبات 2025'!$J:$J,'المطالبات 2025'!$E:$E,B324,'المطالبات 2025'!$I:$I,"مطالبة مرفوعة للمالية"))</f>
        <v/>
      </c>
      <c r="L324" t="str">
        <f>IF(B324="","",COUNTIFS('المطالبات 2026'!$E:$E,B324,'المطالبات 2026'!$I:$I,"مطالبة مرفوعة للمالية") + COUNTIFS('المطالبات 2025'!$E:$E,B324,'المطالبات 2025'!$I:$I,"مطالبة مرفوعة للمالية"))</f>
        <v/>
      </c>
      <c r="M324">
        <f t="shared" si="16"/>
        <v>0</v>
      </c>
      <c r="N324" t="str">
        <f>IF(B324="","",SUMIFS(DB_All!$N$2:$N$1000,DB_All!$G$2:$G$1000,B324,DB_All!$L$2:$L$1000,"تحت إجراءات التوريد"))</f>
        <v/>
      </c>
      <c r="O324" t="str">
        <f>IF(B324="","",COUNTIFS(DB_All!$G$2:$G$1000,B324,DB_All!$L$2:$L$1000,"تحت إجراءات التوريد"))</f>
        <v/>
      </c>
      <c r="P324" t="str">
        <f>IF(B324="","",SUMIFS(DB_All!$N$2:$N$1000,DB_All!$G$2:$G$1000,B324,DB_All!$L$2:$L$1000,"بانتظار سندات الاستلام \ شهادة الإنجاز"))</f>
        <v/>
      </c>
      <c r="Q324" t="str">
        <f>IF(B324="","",COUNTIFS(DB_All!$G$2:$G$1000,B324,DB_All!$L$2:$L$1000,"بانتظار سندات الاستلام \ شهادة الإنجاز"))</f>
        <v/>
      </c>
      <c r="R324" t="str">
        <f t="shared" si="17"/>
        <v/>
      </c>
    </row>
    <row r="325" spans="6:18" x14ac:dyDescent="0.3">
      <c r="F325" t="str">
        <f>IF(B325="","",SUMIFS(DB_All!$M$2:$M$1000,DB_All!$G$2:$G$1000,B325,DB_All!$L$2:$L$1000,"تحت إجراءات التعاقد"))</f>
        <v/>
      </c>
      <c r="G325" t="str">
        <f>IF(B325="","",COUNTIFS(DB_All!$G$2:$G$1000,B325,DB_All!$L$2:$L$1000,"تحت إجراءات التعاقد"))</f>
        <v/>
      </c>
      <c r="H325" t="str">
        <f>IF(B325="","",SUMIFS(DB_All!$N$2:$N$1000,DB_All!$G$2:$G$1000,B325,DB_All!$L$2:$L$1000,"تم التوقيع"))</f>
        <v/>
      </c>
      <c r="I325" t="str">
        <f>IF(B325="","",COUNTIFS(DB_All!$G$2:$G$1000,B325,DB_All!$L$2:$L$1000,"تم التوقيع"))</f>
        <v/>
      </c>
      <c r="J325">
        <f t="shared" si="15"/>
        <v>0</v>
      </c>
      <c r="K325" t="str">
        <f>IF(B325="","",SUMIFS('المطالبات 2026'!$J:$J,'المطالبات 2026'!$E:$E,B325,'المطالبات 2026'!$I:$I,"مطالبة مرفوعة للمالية") + SUMIFS('المطالبات 2025'!$J:$J,'المطالبات 2025'!$E:$E,B325,'المطالبات 2025'!$I:$I,"مطالبة مرفوعة للمالية"))</f>
        <v/>
      </c>
      <c r="L325" t="str">
        <f>IF(B325="","",COUNTIFS('المطالبات 2026'!$E:$E,B325,'المطالبات 2026'!$I:$I,"مطالبة مرفوعة للمالية") + COUNTIFS('المطالبات 2025'!$E:$E,B325,'المطالبات 2025'!$I:$I,"مطالبة مرفوعة للمالية"))</f>
        <v/>
      </c>
      <c r="M325">
        <f t="shared" si="16"/>
        <v>0</v>
      </c>
      <c r="N325" t="str">
        <f>IF(B325="","",SUMIFS(DB_All!$N$2:$N$1000,DB_All!$G$2:$G$1000,B325,DB_All!$L$2:$L$1000,"تحت إجراءات التوريد"))</f>
        <v/>
      </c>
      <c r="O325" t="str">
        <f>IF(B325="","",COUNTIFS(DB_All!$G$2:$G$1000,B325,DB_All!$L$2:$L$1000,"تحت إجراءات التوريد"))</f>
        <v/>
      </c>
      <c r="P325" t="str">
        <f>IF(B325="","",SUMIFS(DB_All!$N$2:$N$1000,DB_All!$G$2:$G$1000,B325,DB_All!$L$2:$L$1000,"بانتظار سندات الاستلام \ شهادة الإنجاز"))</f>
        <v/>
      </c>
      <c r="Q325" t="str">
        <f>IF(B325="","",COUNTIFS(DB_All!$G$2:$G$1000,B325,DB_All!$L$2:$L$1000,"بانتظار سندات الاستلام \ شهادة الإنجاز"))</f>
        <v/>
      </c>
      <c r="R325" t="str">
        <f t="shared" si="17"/>
        <v/>
      </c>
    </row>
    <row r="326" spans="6:18" x14ac:dyDescent="0.3">
      <c r="F326" t="str">
        <f>IF(B326="","",SUMIFS(DB_All!$M$2:$M$1000,DB_All!$G$2:$G$1000,B326,DB_All!$L$2:$L$1000,"تحت إجراءات التعاقد"))</f>
        <v/>
      </c>
      <c r="G326" t="str">
        <f>IF(B326="","",COUNTIFS(DB_All!$G$2:$G$1000,B326,DB_All!$L$2:$L$1000,"تحت إجراءات التعاقد"))</f>
        <v/>
      </c>
      <c r="H326" t="str">
        <f>IF(B326="","",SUMIFS(DB_All!$N$2:$N$1000,DB_All!$G$2:$G$1000,B326,DB_All!$L$2:$L$1000,"تم التوقيع"))</f>
        <v/>
      </c>
      <c r="I326" t="str">
        <f>IF(B326="","",COUNTIFS(DB_All!$G$2:$G$1000,B326,DB_All!$L$2:$L$1000,"تم التوقيع"))</f>
        <v/>
      </c>
      <c r="J326">
        <f t="shared" si="15"/>
        <v>0</v>
      </c>
      <c r="K326" t="str">
        <f>IF(B326="","",SUMIFS('المطالبات 2026'!$J:$J,'المطالبات 2026'!$E:$E,B326,'المطالبات 2026'!$I:$I,"مطالبة مرفوعة للمالية") + SUMIFS('المطالبات 2025'!$J:$J,'المطالبات 2025'!$E:$E,B326,'المطالبات 2025'!$I:$I,"مطالبة مرفوعة للمالية"))</f>
        <v/>
      </c>
      <c r="L326" t="str">
        <f>IF(B326="","",COUNTIFS('المطالبات 2026'!$E:$E,B326,'المطالبات 2026'!$I:$I,"مطالبة مرفوعة للمالية") + COUNTIFS('المطالبات 2025'!$E:$E,B326,'المطالبات 2025'!$I:$I,"مطالبة مرفوعة للمالية"))</f>
        <v/>
      </c>
      <c r="M326">
        <f t="shared" si="16"/>
        <v>0</v>
      </c>
      <c r="N326" t="str">
        <f>IF(B326="","",SUMIFS(DB_All!$N$2:$N$1000,DB_All!$G$2:$G$1000,B326,DB_All!$L$2:$L$1000,"تحت إجراءات التوريد"))</f>
        <v/>
      </c>
      <c r="O326" t="str">
        <f>IF(B326="","",COUNTIFS(DB_All!$G$2:$G$1000,B326,DB_All!$L$2:$L$1000,"تحت إجراءات التوريد"))</f>
        <v/>
      </c>
      <c r="P326" t="str">
        <f>IF(B326="","",SUMIFS(DB_All!$N$2:$N$1000,DB_All!$G$2:$G$1000,B326,DB_All!$L$2:$L$1000,"بانتظار سندات الاستلام \ شهادة الإنجاز"))</f>
        <v/>
      </c>
      <c r="Q326" t="str">
        <f>IF(B326="","",COUNTIFS(DB_All!$G$2:$G$1000,B326,DB_All!$L$2:$L$1000,"بانتظار سندات الاستلام \ شهادة الإنجاز"))</f>
        <v/>
      </c>
      <c r="R326" t="str">
        <f t="shared" si="17"/>
        <v/>
      </c>
    </row>
    <row r="327" spans="6:18" x14ac:dyDescent="0.3">
      <c r="F327" t="str">
        <f>IF(B327="","",SUMIFS(DB_All!$M$2:$M$1000,DB_All!$G$2:$G$1000,B327,DB_All!$L$2:$L$1000,"تحت إجراءات التعاقد"))</f>
        <v/>
      </c>
      <c r="G327" t="str">
        <f>IF(B327="","",COUNTIFS(DB_All!$G$2:$G$1000,B327,DB_All!$L$2:$L$1000,"تحت إجراءات التعاقد"))</f>
        <v/>
      </c>
      <c r="H327" t="str">
        <f>IF(B327="","",SUMIFS(DB_All!$N$2:$N$1000,DB_All!$G$2:$G$1000,B327,DB_All!$L$2:$L$1000,"تم التوقيع"))</f>
        <v/>
      </c>
      <c r="I327" t="str">
        <f>IF(B327="","",COUNTIFS(DB_All!$G$2:$G$1000,B327,DB_All!$L$2:$L$1000,"تم التوقيع"))</f>
        <v/>
      </c>
      <c r="J327">
        <f t="shared" si="15"/>
        <v>0</v>
      </c>
      <c r="K327" t="str">
        <f>IF(B327="","",SUMIFS('المطالبات 2026'!$J:$J,'المطالبات 2026'!$E:$E,B327,'المطالبات 2026'!$I:$I,"مطالبة مرفوعة للمالية") + SUMIFS('المطالبات 2025'!$J:$J,'المطالبات 2025'!$E:$E,B327,'المطالبات 2025'!$I:$I,"مطالبة مرفوعة للمالية"))</f>
        <v/>
      </c>
      <c r="L327" t="str">
        <f>IF(B327="","",COUNTIFS('المطالبات 2026'!$E:$E,B327,'المطالبات 2026'!$I:$I,"مطالبة مرفوعة للمالية") + COUNTIFS('المطالبات 2025'!$E:$E,B327,'المطالبات 2025'!$I:$I,"مطالبة مرفوعة للمالية"))</f>
        <v/>
      </c>
      <c r="M327">
        <f t="shared" si="16"/>
        <v>0</v>
      </c>
      <c r="N327" t="str">
        <f>IF(B327="","",SUMIFS(DB_All!$N$2:$N$1000,DB_All!$G$2:$G$1000,B327,DB_All!$L$2:$L$1000,"تحت إجراءات التوريد"))</f>
        <v/>
      </c>
      <c r="O327" t="str">
        <f>IF(B327="","",COUNTIFS(DB_All!$G$2:$G$1000,B327,DB_All!$L$2:$L$1000,"تحت إجراءات التوريد"))</f>
        <v/>
      </c>
      <c r="P327" t="str">
        <f>IF(B327="","",SUMIFS(DB_All!$N$2:$N$1000,DB_All!$G$2:$G$1000,B327,DB_All!$L$2:$L$1000,"بانتظار سندات الاستلام \ شهادة الإنجاز"))</f>
        <v/>
      </c>
      <c r="Q327" t="str">
        <f>IF(B327="","",COUNTIFS(DB_All!$G$2:$G$1000,B327,DB_All!$L$2:$L$1000,"بانتظار سندات الاستلام \ شهادة الإنجاز"))</f>
        <v/>
      </c>
      <c r="R327" t="str">
        <f t="shared" si="17"/>
        <v/>
      </c>
    </row>
    <row r="328" spans="6:18" x14ac:dyDescent="0.3">
      <c r="F328" t="str">
        <f>IF(B328="","",SUMIFS(DB_All!$M$2:$M$1000,DB_All!$G$2:$G$1000,B328,DB_All!$L$2:$L$1000,"تحت إجراءات التعاقد"))</f>
        <v/>
      </c>
      <c r="G328" t="str">
        <f>IF(B328="","",COUNTIFS(DB_All!$G$2:$G$1000,B328,DB_All!$L$2:$L$1000,"تحت إجراءات التعاقد"))</f>
        <v/>
      </c>
      <c r="H328" t="str">
        <f>IF(B328="","",SUMIFS(DB_All!$N$2:$N$1000,DB_All!$G$2:$G$1000,B328,DB_All!$L$2:$L$1000,"تم التوقيع"))</f>
        <v/>
      </c>
      <c r="I328" t="str">
        <f>IF(B328="","",COUNTIFS(DB_All!$G$2:$G$1000,B328,DB_All!$L$2:$L$1000,"تم التوقيع"))</f>
        <v/>
      </c>
      <c r="J328">
        <f t="shared" si="15"/>
        <v>0</v>
      </c>
      <c r="K328" t="str">
        <f>IF(B328="","",SUMIFS('المطالبات 2026'!$J:$J,'المطالبات 2026'!$E:$E,B328,'المطالبات 2026'!$I:$I,"مطالبة مرفوعة للمالية") + SUMIFS('المطالبات 2025'!$J:$J,'المطالبات 2025'!$E:$E,B328,'المطالبات 2025'!$I:$I,"مطالبة مرفوعة للمالية"))</f>
        <v/>
      </c>
      <c r="L328" t="str">
        <f>IF(B328="","",COUNTIFS('المطالبات 2026'!$E:$E,B328,'المطالبات 2026'!$I:$I,"مطالبة مرفوعة للمالية") + COUNTIFS('المطالبات 2025'!$E:$E,B328,'المطالبات 2025'!$I:$I,"مطالبة مرفوعة للمالية"))</f>
        <v/>
      </c>
      <c r="M328">
        <f t="shared" si="16"/>
        <v>0</v>
      </c>
      <c r="N328" t="str">
        <f>IF(B328="","",SUMIFS(DB_All!$N$2:$N$1000,DB_All!$G$2:$G$1000,B328,DB_All!$L$2:$L$1000,"تحت إجراءات التوريد"))</f>
        <v/>
      </c>
      <c r="O328" t="str">
        <f>IF(B328="","",COUNTIFS(DB_All!$G$2:$G$1000,B328,DB_All!$L$2:$L$1000,"تحت إجراءات التوريد"))</f>
        <v/>
      </c>
      <c r="P328" t="str">
        <f>IF(B328="","",SUMIFS(DB_All!$N$2:$N$1000,DB_All!$G$2:$G$1000,B328,DB_All!$L$2:$L$1000,"بانتظار سندات الاستلام \ شهادة الإنجاز"))</f>
        <v/>
      </c>
      <c r="Q328" t="str">
        <f>IF(B328="","",COUNTIFS(DB_All!$G$2:$G$1000,B328,DB_All!$L$2:$L$1000,"بانتظار سندات الاستلام \ شهادة الإنجاز"))</f>
        <v/>
      </c>
      <c r="R328" t="str">
        <f t="shared" si="17"/>
        <v/>
      </c>
    </row>
    <row r="329" spans="6:18" x14ac:dyDescent="0.3">
      <c r="F329" t="str">
        <f>IF(B329="","",SUMIFS(DB_All!$M$2:$M$1000,DB_All!$G$2:$G$1000,B329,DB_All!$L$2:$L$1000,"تحت إجراءات التعاقد"))</f>
        <v/>
      </c>
      <c r="G329" t="str">
        <f>IF(B329="","",COUNTIFS(DB_All!$G$2:$G$1000,B329,DB_All!$L$2:$L$1000,"تحت إجراءات التعاقد"))</f>
        <v/>
      </c>
      <c r="H329" t="str">
        <f>IF(B329="","",SUMIFS(DB_All!$N$2:$N$1000,DB_All!$G$2:$G$1000,B329,DB_All!$L$2:$L$1000,"تم التوقيع"))</f>
        <v/>
      </c>
      <c r="I329" t="str">
        <f>IF(B329="","",COUNTIFS(DB_All!$G$2:$G$1000,B329,DB_All!$L$2:$L$1000,"تم التوقيع"))</f>
        <v/>
      </c>
      <c r="J329">
        <f t="shared" si="15"/>
        <v>0</v>
      </c>
      <c r="K329" t="str">
        <f>IF(B329="","",SUMIFS('المطالبات 2026'!$J:$J,'المطالبات 2026'!$E:$E,B329,'المطالبات 2026'!$I:$I,"مطالبة مرفوعة للمالية") + SUMIFS('المطالبات 2025'!$J:$J,'المطالبات 2025'!$E:$E,B329,'المطالبات 2025'!$I:$I,"مطالبة مرفوعة للمالية"))</f>
        <v/>
      </c>
      <c r="L329" t="str">
        <f>IF(B329="","",COUNTIFS('المطالبات 2026'!$E:$E,B329,'المطالبات 2026'!$I:$I,"مطالبة مرفوعة للمالية") + COUNTIFS('المطالبات 2025'!$E:$E,B329,'المطالبات 2025'!$I:$I,"مطالبة مرفوعة للمالية"))</f>
        <v/>
      </c>
      <c r="M329">
        <f t="shared" si="16"/>
        <v>0</v>
      </c>
      <c r="N329" t="str">
        <f>IF(B329="","",SUMIFS(DB_All!$N$2:$N$1000,DB_All!$G$2:$G$1000,B329,DB_All!$L$2:$L$1000,"تحت إجراءات التوريد"))</f>
        <v/>
      </c>
      <c r="O329" t="str">
        <f>IF(B329="","",COUNTIFS(DB_All!$G$2:$G$1000,B329,DB_All!$L$2:$L$1000,"تحت إجراءات التوريد"))</f>
        <v/>
      </c>
      <c r="P329" t="str">
        <f>IF(B329="","",SUMIFS(DB_All!$N$2:$N$1000,DB_All!$G$2:$G$1000,B329,DB_All!$L$2:$L$1000,"بانتظار سندات الاستلام \ شهادة الإنجاز"))</f>
        <v/>
      </c>
      <c r="Q329" t="str">
        <f>IF(B329="","",COUNTIFS(DB_All!$G$2:$G$1000,B329,DB_All!$L$2:$L$1000,"بانتظار سندات الاستلام \ شهادة الإنجاز"))</f>
        <v/>
      </c>
      <c r="R329" t="str">
        <f t="shared" si="17"/>
        <v/>
      </c>
    </row>
    <row r="330" spans="6:18" x14ac:dyDescent="0.3">
      <c r="F330" t="str">
        <f>IF(B330="","",SUMIFS(DB_All!$M$2:$M$1000,DB_All!$G$2:$G$1000,B330,DB_All!$L$2:$L$1000,"تحت إجراءات التعاقد"))</f>
        <v/>
      </c>
      <c r="G330" t="str">
        <f>IF(B330="","",COUNTIFS(DB_All!$G$2:$G$1000,B330,DB_All!$L$2:$L$1000,"تحت إجراءات التعاقد"))</f>
        <v/>
      </c>
      <c r="H330" t="str">
        <f>IF(B330="","",SUMIFS(DB_All!$N$2:$N$1000,DB_All!$G$2:$G$1000,B330,DB_All!$L$2:$L$1000,"تم التوقيع"))</f>
        <v/>
      </c>
      <c r="I330" t="str">
        <f>IF(B330="","",COUNTIFS(DB_All!$G$2:$G$1000,B330,DB_All!$L$2:$L$1000,"تم التوقيع"))</f>
        <v/>
      </c>
      <c r="J330">
        <f t="shared" si="15"/>
        <v>0</v>
      </c>
      <c r="K330" t="str">
        <f>IF(B330="","",SUMIFS('المطالبات 2026'!$J:$J,'المطالبات 2026'!$E:$E,B330,'المطالبات 2026'!$I:$I,"مطالبة مرفوعة للمالية") + SUMIFS('المطالبات 2025'!$J:$J,'المطالبات 2025'!$E:$E,B330,'المطالبات 2025'!$I:$I,"مطالبة مرفوعة للمالية"))</f>
        <v/>
      </c>
      <c r="L330" t="str">
        <f>IF(B330="","",COUNTIFS('المطالبات 2026'!$E:$E,B330,'المطالبات 2026'!$I:$I,"مطالبة مرفوعة للمالية") + COUNTIFS('المطالبات 2025'!$E:$E,B330,'المطالبات 2025'!$I:$I,"مطالبة مرفوعة للمالية"))</f>
        <v/>
      </c>
      <c r="M330">
        <f t="shared" si="16"/>
        <v>0</v>
      </c>
      <c r="N330" t="str">
        <f>IF(B330="","",SUMIFS(DB_All!$N$2:$N$1000,DB_All!$G$2:$G$1000,B330,DB_All!$L$2:$L$1000,"تحت إجراءات التوريد"))</f>
        <v/>
      </c>
      <c r="O330" t="str">
        <f>IF(B330="","",COUNTIFS(DB_All!$G$2:$G$1000,B330,DB_All!$L$2:$L$1000,"تحت إجراءات التوريد"))</f>
        <v/>
      </c>
      <c r="P330" t="str">
        <f>IF(B330="","",SUMIFS(DB_All!$N$2:$N$1000,DB_All!$G$2:$G$1000,B330,DB_All!$L$2:$L$1000,"بانتظار سندات الاستلام \ شهادة الإنجاز"))</f>
        <v/>
      </c>
      <c r="Q330" t="str">
        <f>IF(B330="","",COUNTIFS(DB_All!$G$2:$G$1000,B330,DB_All!$L$2:$L$1000,"بانتظار سندات الاستلام \ شهادة الإنجاز"))</f>
        <v/>
      </c>
      <c r="R330" t="str">
        <f t="shared" si="17"/>
        <v/>
      </c>
    </row>
    <row r="331" spans="6:18" x14ac:dyDescent="0.3">
      <c r="F331" t="str">
        <f>IF(B331="","",SUMIFS(DB_All!$M$2:$M$1000,DB_All!$G$2:$G$1000,B331,DB_All!$L$2:$L$1000,"تحت إجراءات التعاقد"))</f>
        <v/>
      </c>
      <c r="G331" t="str">
        <f>IF(B331="","",COUNTIFS(DB_All!$G$2:$G$1000,B331,DB_All!$L$2:$L$1000,"تحت إجراءات التعاقد"))</f>
        <v/>
      </c>
      <c r="H331" t="str">
        <f>IF(B331="","",SUMIFS(DB_All!$N$2:$N$1000,DB_All!$G$2:$G$1000,B331,DB_All!$L$2:$L$1000,"تم التوقيع"))</f>
        <v/>
      </c>
      <c r="I331" t="str">
        <f>IF(B331="","",COUNTIFS(DB_All!$G$2:$G$1000,B331,DB_All!$L$2:$L$1000,"تم التوقيع"))</f>
        <v/>
      </c>
      <c r="J331">
        <f t="shared" si="15"/>
        <v>0</v>
      </c>
      <c r="K331" t="str">
        <f>IF(B331="","",SUMIFS('المطالبات 2026'!$J:$J,'المطالبات 2026'!$E:$E,B331,'المطالبات 2026'!$I:$I,"مطالبة مرفوعة للمالية") + SUMIFS('المطالبات 2025'!$J:$J,'المطالبات 2025'!$E:$E,B331,'المطالبات 2025'!$I:$I,"مطالبة مرفوعة للمالية"))</f>
        <v/>
      </c>
      <c r="L331" t="str">
        <f>IF(B331="","",COUNTIFS('المطالبات 2026'!$E:$E,B331,'المطالبات 2026'!$I:$I,"مطالبة مرفوعة للمالية") + COUNTIFS('المطالبات 2025'!$E:$E,B331,'المطالبات 2025'!$I:$I,"مطالبة مرفوعة للمالية"))</f>
        <v/>
      </c>
      <c r="M331">
        <f t="shared" si="16"/>
        <v>0</v>
      </c>
      <c r="N331" t="str">
        <f>IF(B331="","",SUMIFS(DB_All!$N$2:$N$1000,DB_All!$G$2:$G$1000,B331,DB_All!$L$2:$L$1000,"تحت إجراءات التوريد"))</f>
        <v/>
      </c>
      <c r="O331" t="str">
        <f>IF(B331="","",COUNTIFS(DB_All!$G$2:$G$1000,B331,DB_All!$L$2:$L$1000,"تحت إجراءات التوريد"))</f>
        <v/>
      </c>
      <c r="P331" t="str">
        <f>IF(B331="","",SUMIFS(DB_All!$N$2:$N$1000,DB_All!$G$2:$G$1000,B331,DB_All!$L$2:$L$1000,"بانتظار سندات الاستلام \ شهادة الإنجاز"))</f>
        <v/>
      </c>
      <c r="Q331" t="str">
        <f>IF(B331="","",COUNTIFS(DB_All!$G$2:$G$1000,B331,DB_All!$L$2:$L$1000,"بانتظار سندات الاستلام \ شهادة الإنجاز"))</f>
        <v/>
      </c>
      <c r="R331" t="str">
        <f t="shared" si="17"/>
        <v/>
      </c>
    </row>
    <row r="332" spans="6:18" x14ac:dyDescent="0.3">
      <c r="F332" t="str">
        <f>IF(B332="","",SUMIFS(DB_All!$M$2:$M$1000,DB_All!$G$2:$G$1000,B332,DB_All!$L$2:$L$1000,"تحت إجراءات التعاقد"))</f>
        <v/>
      </c>
      <c r="G332" t="str">
        <f>IF(B332="","",COUNTIFS(DB_All!$G$2:$G$1000,B332,DB_All!$L$2:$L$1000,"تحت إجراءات التعاقد"))</f>
        <v/>
      </c>
      <c r="H332" t="str">
        <f>IF(B332="","",SUMIFS(DB_All!$N$2:$N$1000,DB_All!$G$2:$G$1000,B332,DB_All!$L$2:$L$1000,"تم التوقيع"))</f>
        <v/>
      </c>
      <c r="I332" t="str">
        <f>IF(B332="","",COUNTIFS(DB_All!$G$2:$G$1000,B332,DB_All!$L$2:$L$1000,"تم التوقيع"))</f>
        <v/>
      </c>
      <c r="J332">
        <f t="shared" si="15"/>
        <v>0</v>
      </c>
      <c r="K332" t="str">
        <f>IF(B332="","",SUMIFS('المطالبات 2026'!$J:$J,'المطالبات 2026'!$E:$E,B332,'المطالبات 2026'!$I:$I,"مطالبة مرفوعة للمالية") + SUMIFS('المطالبات 2025'!$J:$J,'المطالبات 2025'!$E:$E,B332,'المطالبات 2025'!$I:$I,"مطالبة مرفوعة للمالية"))</f>
        <v/>
      </c>
      <c r="L332" t="str">
        <f>IF(B332="","",COUNTIFS('المطالبات 2026'!$E:$E,B332,'المطالبات 2026'!$I:$I,"مطالبة مرفوعة للمالية") + COUNTIFS('المطالبات 2025'!$E:$E,B332,'المطالبات 2025'!$I:$I,"مطالبة مرفوعة للمالية"))</f>
        <v/>
      </c>
      <c r="M332">
        <f t="shared" si="16"/>
        <v>0</v>
      </c>
      <c r="N332" t="str">
        <f>IF(B332="","",SUMIFS(DB_All!$N$2:$N$1000,DB_All!$G$2:$G$1000,B332,DB_All!$L$2:$L$1000,"تحت إجراءات التوريد"))</f>
        <v/>
      </c>
      <c r="O332" t="str">
        <f>IF(B332="","",COUNTIFS(DB_All!$G$2:$G$1000,B332,DB_All!$L$2:$L$1000,"تحت إجراءات التوريد"))</f>
        <v/>
      </c>
      <c r="P332" t="str">
        <f>IF(B332="","",SUMIFS(DB_All!$N$2:$N$1000,DB_All!$G$2:$G$1000,B332,DB_All!$L$2:$L$1000,"بانتظار سندات الاستلام \ شهادة الإنجاز"))</f>
        <v/>
      </c>
      <c r="Q332" t="str">
        <f>IF(B332="","",COUNTIFS(DB_All!$G$2:$G$1000,B332,DB_All!$L$2:$L$1000,"بانتظار سندات الاستلام \ شهادة الإنجاز"))</f>
        <v/>
      </c>
      <c r="R332" t="str">
        <f t="shared" si="17"/>
        <v/>
      </c>
    </row>
    <row r="333" spans="6:18" x14ac:dyDescent="0.3">
      <c r="F333" t="str">
        <f>IF(B333="","",SUMIFS(DB_All!$M$2:$M$1000,DB_All!$G$2:$G$1000,B333,DB_All!$L$2:$L$1000,"تحت إجراءات التعاقد"))</f>
        <v/>
      </c>
      <c r="G333" t="str">
        <f>IF(B333="","",COUNTIFS(DB_All!$G$2:$G$1000,B333,DB_All!$L$2:$L$1000,"تحت إجراءات التعاقد"))</f>
        <v/>
      </c>
      <c r="H333" t="str">
        <f>IF(B333="","",SUMIFS(DB_All!$N$2:$N$1000,DB_All!$G$2:$G$1000,B333,DB_All!$L$2:$L$1000,"تم التوقيع"))</f>
        <v/>
      </c>
      <c r="I333" t="str">
        <f>IF(B333="","",COUNTIFS(DB_All!$G$2:$G$1000,B333,DB_All!$L$2:$L$1000,"تم التوقيع"))</f>
        <v/>
      </c>
      <c r="J333">
        <f t="shared" si="15"/>
        <v>0</v>
      </c>
      <c r="K333" t="str">
        <f>IF(B333="","",SUMIFS('المطالبات 2026'!$J:$J,'المطالبات 2026'!$E:$E,B333,'المطالبات 2026'!$I:$I,"مطالبة مرفوعة للمالية") + SUMIFS('المطالبات 2025'!$J:$J,'المطالبات 2025'!$E:$E,B333,'المطالبات 2025'!$I:$I,"مطالبة مرفوعة للمالية"))</f>
        <v/>
      </c>
      <c r="L333" t="str">
        <f>IF(B333="","",COUNTIFS('المطالبات 2026'!$E:$E,B333,'المطالبات 2026'!$I:$I,"مطالبة مرفوعة للمالية") + COUNTIFS('المطالبات 2025'!$E:$E,B333,'المطالبات 2025'!$I:$I,"مطالبة مرفوعة للمالية"))</f>
        <v/>
      </c>
      <c r="M333">
        <f t="shared" si="16"/>
        <v>0</v>
      </c>
      <c r="N333" t="str">
        <f>IF(B333="","",SUMIFS(DB_All!$N$2:$N$1000,DB_All!$G$2:$G$1000,B333,DB_All!$L$2:$L$1000,"تحت إجراءات التوريد"))</f>
        <v/>
      </c>
      <c r="O333" t="str">
        <f>IF(B333="","",COUNTIFS(DB_All!$G$2:$G$1000,B333,DB_All!$L$2:$L$1000,"تحت إجراءات التوريد"))</f>
        <v/>
      </c>
      <c r="P333" t="str">
        <f>IF(B333="","",SUMIFS(DB_All!$N$2:$N$1000,DB_All!$G$2:$G$1000,B333,DB_All!$L$2:$L$1000,"بانتظار سندات الاستلام \ شهادة الإنجاز"))</f>
        <v/>
      </c>
      <c r="Q333" t="str">
        <f>IF(B333="","",COUNTIFS(DB_All!$G$2:$G$1000,B333,DB_All!$L$2:$L$1000,"بانتظار سندات الاستلام \ شهادة الإنجاز"))</f>
        <v/>
      </c>
      <c r="R333" t="str">
        <f t="shared" si="17"/>
        <v/>
      </c>
    </row>
    <row r="334" spans="6:18" x14ac:dyDescent="0.3">
      <c r="F334" t="str">
        <f>IF(B334="","",SUMIFS(DB_All!$M$2:$M$1000,DB_All!$G$2:$G$1000,B334,DB_All!$L$2:$L$1000,"تحت إجراءات التعاقد"))</f>
        <v/>
      </c>
      <c r="G334" t="str">
        <f>IF(B334="","",COUNTIFS(DB_All!$G$2:$G$1000,B334,DB_All!$L$2:$L$1000,"تحت إجراءات التعاقد"))</f>
        <v/>
      </c>
      <c r="H334" t="str">
        <f>IF(B334="","",SUMIFS(DB_All!$N$2:$N$1000,DB_All!$G$2:$G$1000,B334,DB_All!$L$2:$L$1000,"تم التوقيع"))</f>
        <v/>
      </c>
      <c r="I334" t="str">
        <f>IF(B334="","",COUNTIFS(DB_All!$G$2:$G$1000,B334,DB_All!$L$2:$L$1000,"تم التوقيع"))</f>
        <v/>
      </c>
      <c r="J334">
        <f t="shared" si="15"/>
        <v>0</v>
      </c>
      <c r="K334" t="str">
        <f>IF(B334="","",SUMIFS('المطالبات 2026'!$J:$J,'المطالبات 2026'!$E:$E,B334,'المطالبات 2026'!$I:$I,"مطالبة مرفوعة للمالية") + SUMIFS('المطالبات 2025'!$J:$J,'المطالبات 2025'!$E:$E,B334,'المطالبات 2025'!$I:$I,"مطالبة مرفوعة للمالية"))</f>
        <v/>
      </c>
      <c r="L334" t="str">
        <f>IF(B334="","",COUNTIFS('المطالبات 2026'!$E:$E,B334,'المطالبات 2026'!$I:$I,"مطالبة مرفوعة للمالية") + COUNTIFS('المطالبات 2025'!$E:$E,B334,'المطالبات 2025'!$I:$I,"مطالبة مرفوعة للمالية"))</f>
        <v/>
      </c>
      <c r="M334">
        <f t="shared" si="16"/>
        <v>0</v>
      </c>
      <c r="N334" t="str">
        <f>IF(B334="","",SUMIFS(DB_All!$N$2:$N$1000,DB_All!$G$2:$G$1000,B334,DB_All!$L$2:$L$1000,"تحت إجراءات التوريد"))</f>
        <v/>
      </c>
      <c r="O334" t="str">
        <f>IF(B334="","",COUNTIFS(DB_All!$G$2:$G$1000,B334,DB_All!$L$2:$L$1000,"تحت إجراءات التوريد"))</f>
        <v/>
      </c>
      <c r="P334" t="str">
        <f>IF(B334="","",SUMIFS(DB_All!$N$2:$N$1000,DB_All!$G$2:$G$1000,B334,DB_All!$L$2:$L$1000,"بانتظار سندات الاستلام \ شهادة الإنجاز"))</f>
        <v/>
      </c>
      <c r="Q334" t="str">
        <f>IF(B334="","",COUNTIFS(DB_All!$G$2:$G$1000,B334,DB_All!$L$2:$L$1000,"بانتظار سندات الاستلام \ شهادة الإنجاز"))</f>
        <v/>
      </c>
      <c r="R334" t="str">
        <f t="shared" si="17"/>
        <v/>
      </c>
    </row>
    <row r="335" spans="6:18" x14ac:dyDescent="0.3">
      <c r="F335" t="str">
        <f>IF(B335="","",SUMIFS(DB_All!$M$2:$M$1000,DB_All!$G$2:$G$1000,B335,DB_All!$L$2:$L$1000,"تحت إجراءات التعاقد"))</f>
        <v/>
      </c>
      <c r="G335" t="str">
        <f>IF(B335="","",COUNTIFS(DB_All!$G$2:$G$1000,B335,DB_All!$L$2:$L$1000,"تحت إجراءات التعاقد"))</f>
        <v/>
      </c>
      <c r="H335" t="str">
        <f>IF(B335="","",SUMIFS(DB_All!$N$2:$N$1000,DB_All!$G$2:$G$1000,B335,DB_All!$L$2:$L$1000,"تم التوقيع"))</f>
        <v/>
      </c>
      <c r="I335" t="str">
        <f>IF(B335="","",COUNTIFS(DB_All!$G$2:$G$1000,B335,DB_All!$L$2:$L$1000,"تم التوقيع"))</f>
        <v/>
      </c>
      <c r="J335">
        <f t="shared" si="15"/>
        <v>0</v>
      </c>
      <c r="K335" t="str">
        <f>IF(B335="","",SUMIFS('المطالبات 2026'!$J:$J,'المطالبات 2026'!$E:$E,B335,'المطالبات 2026'!$I:$I,"مطالبة مرفوعة للمالية") + SUMIFS('المطالبات 2025'!$J:$J,'المطالبات 2025'!$E:$E,B335,'المطالبات 2025'!$I:$I,"مطالبة مرفوعة للمالية"))</f>
        <v/>
      </c>
      <c r="L335" t="str">
        <f>IF(B335="","",COUNTIFS('المطالبات 2026'!$E:$E,B335,'المطالبات 2026'!$I:$I,"مطالبة مرفوعة للمالية") + COUNTIFS('المطالبات 2025'!$E:$E,B335,'المطالبات 2025'!$I:$I,"مطالبة مرفوعة للمالية"))</f>
        <v/>
      </c>
      <c r="M335">
        <f t="shared" si="16"/>
        <v>0</v>
      </c>
      <c r="N335" t="str">
        <f>IF(B335="","",SUMIFS(DB_All!$N$2:$N$1000,DB_All!$G$2:$G$1000,B335,DB_All!$L$2:$L$1000,"تحت إجراءات التوريد"))</f>
        <v/>
      </c>
      <c r="O335" t="str">
        <f>IF(B335="","",COUNTIFS(DB_All!$G$2:$G$1000,B335,DB_All!$L$2:$L$1000,"تحت إجراءات التوريد"))</f>
        <v/>
      </c>
      <c r="P335" t="str">
        <f>IF(B335="","",SUMIFS(DB_All!$N$2:$N$1000,DB_All!$G$2:$G$1000,B335,DB_All!$L$2:$L$1000,"بانتظار سندات الاستلام \ شهادة الإنجاز"))</f>
        <v/>
      </c>
      <c r="Q335" t="str">
        <f>IF(B335="","",COUNTIFS(DB_All!$G$2:$G$1000,B335,DB_All!$L$2:$L$1000,"بانتظار سندات الاستلام \ شهادة الإنجاز"))</f>
        <v/>
      </c>
      <c r="R335" t="str">
        <f t="shared" si="17"/>
        <v/>
      </c>
    </row>
    <row r="336" spans="6:18" x14ac:dyDescent="0.3">
      <c r="F336" t="str">
        <f>IF(B336="","",SUMIFS(DB_All!$M$2:$M$1000,DB_All!$G$2:$G$1000,B336,DB_All!$L$2:$L$1000,"تحت إجراءات التعاقد"))</f>
        <v/>
      </c>
      <c r="G336" t="str">
        <f>IF(B336="","",COUNTIFS(DB_All!$G$2:$G$1000,B336,DB_All!$L$2:$L$1000,"تحت إجراءات التعاقد"))</f>
        <v/>
      </c>
      <c r="H336" t="str">
        <f>IF(B336="","",SUMIFS(DB_All!$N$2:$N$1000,DB_All!$G$2:$G$1000,B336,DB_All!$L$2:$L$1000,"تم التوقيع"))</f>
        <v/>
      </c>
      <c r="I336" t="str">
        <f>IF(B336="","",COUNTIFS(DB_All!$G$2:$G$1000,B336,DB_All!$L$2:$L$1000,"تم التوقيع"))</f>
        <v/>
      </c>
      <c r="J336">
        <f t="shared" si="15"/>
        <v>0</v>
      </c>
      <c r="K336" t="str">
        <f>IF(B336="","",SUMIFS('المطالبات 2026'!$J:$J,'المطالبات 2026'!$E:$E,B336,'المطالبات 2026'!$I:$I,"مطالبة مرفوعة للمالية") + SUMIFS('المطالبات 2025'!$J:$J,'المطالبات 2025'!$E:$E,B336,'المطالبات 2025'!$I:$I,"مطالبة مرفوعة للمالية"))</f>
        <v/>
      </c>
      <c r="L336" t="str">
        <f>IF(B336="","",COUNTIFS('المطالبات 2026'!$E:$E,B336,'المطالبات 2026'!$I:$I,"مطالبة مرفوعة للمالية") + COUNTIFS('المطالبات 2025'!$E:$E,B336,'المطالبات 2025'!$I:$I,"مطالبة مرفوعة للمالية"))</f>
        <v/>
      </c>
      <c r="M336">
        <f t="shared" si="16"/>
        <v>0</v>
      </c>
      <c r="N336" t="str">
        <f>IF(B336="","",SUMIFS(DB_All!$N$2:$N$1000,DB_All!$G$2:$G$1000,B336,DB_All!$L$2:$L$1000,"تحت إجراءات التوريد"))</f>
        <v/>
      </c>
      <c r="O336" t="str">
        <f>IF(B336="","",COUNTIFS(DB_All!$G$2:$G$1000,B336,DB_All!$L$2:$L$1000,"تحت إجراءات التوريد"))</f>
        <v/>
      </c>
      <c r="P336" t="str">
        <f>IF(B336="","",SUMIFS(DB_All!$N$2:$N$1000,DB_All!$G$2:$G$1000,B336,DB_All!$L$2:$L$1000,"بانتظار سندات الاستلام \ شهادة الإنجاز"))</f>
        <v/>
      </c>
      <c r="Q336" t="str">
        <f>IF(B336="","",COUNTIFS(DB_All!$G$2:$G$1000,B336,DB_All!$L$2:$L$1000,"بانتظار سندات الاستلام \ شهادة الإنجاز"))</f>
        <v/>
      </c>
      <c r="R336" t="str">
        <f t="shared" si="17"/>
        <v/>
      </c>
    </row>
    <row r="337" spans="6:18" x14ac:dyDescent="0.3">
      <c r="F337" t="str">
        <f>IF(B337="","",SUMIFS(DB_All!$M$2:$M$1000,DB_All!$G$2:$G$1000,B337,DB_All!$L$2:$L$1000,"تحت إجراءات التعاقد"))</f>
        <v/>
      </c>
      <c r="G337" t="str">
        <f>IF(B337="","",COUNTIFS(DB_All!$G$2:$G$1000,B337,DB_All!$L$2:$L$1000,"تحت إجراءات التعاقد"))</f>
        <v/>
      </c>
      <c r="H337" t="str">
        <f>IF(B337="","",SUMIFS(DB_All!$N$2:$N$1000,DB_All!$G$2:$G$1000,B337,DB_All!$L$2:$L$1000,"تم التوقيع"))</f>
        <v/>
      </c>
      <c r="I337" t="str">
        <f>IF(B337="","",COUNTIFS(DB_All!$G$2:$G$1000,B337,DB_All!$L$2:$L$1000,"تم التوقيع"))</f>
        <v/>
      </c>
      <c r="J337">
        <f t="shared" si="15"/>
        <v>0</v>
      </c>
      <c r="K337" t="str">
        <f>IF(B337="","",SUMIFS('المطالبات 2026'!$J:$J,'المطالبات 2026'!$E:$E,B337,'المطالبات 2026'!$I:$I,"مطالبة مرفوعة للمالية") + SUMIFS('المطالبات 2025'!$J:$J,'المطالبات 2025'!$E:$E,B337,'المطالبات 2025'!$I:$I,"مطالبة مرفوعة للمالية"))</f>
        <v/>
      </c>
      <c r="L337" t="str">
        <f>IF(B337="","",COUNTIFS('المطالبات 2026'!$E:$E,B337,'المطالبات 2026'!$I:$I,"مطالبة مرفوعة للمالية") + COUNTIFS('المطالبات 2025'!$E:$E,B337,'المطالبات 2025'!$I:$I,"مطالبة مرفوعة للمالية"))</f>
        <v/>
      </c>
      <c r="M337">
        <f t="shared" si="16"/>
        <v>0</v>
      </c>
      <c r="N337" t="str">
        <f>IF(B337="","",SUMIFS(DB_All!$N$2:$N$1000,DB_All!$G$2:$G$1000,B337,DB_All!$L$2:$L$1000,"تحت إجراءات التوريد"))</f>
        <v/>
      </c>
      <c r="O337" t="str">
        <f>IF(B337="","",COUNTIFS(DB_All!$G$2:$G$1000,B337,DB_All!$L$2:$L$1000,"تحت إجراءات التوريد"))</f>
        <v/>
      </c>
      <c r="P337" t="str">
        <f>IF(B337="","",SUMIFS(DB_All!$N$2:$N$1000,DB_All!$G$2:$G$1000,B337,DB_All!$L$2:$L$1000,"بانتظار سندات الاستلام \ شهادة الإنجاز"))</f>
        <v/>
      </c>
      <c r="Q337" t="str">
        <f>IF(B337="","",COUNTIFS(DB_All!$G$2:$G$1000,B337,DB_All!$L$2:$L$1000,"بانتظار سندات الاستلام \ شهادة الإنجاز"))</f>
        <v/>
      </c>
      <c r="R337" t="str">
        <f t="shared" si="17"/>
        <v/>
      </c>
    </row>
    <row r="338" spans="6:18" x14ac:dyDescent="0.3">
      <c r="F338" t="str">
        <f>IF(B338="","",SUMIFS(DB_All!$M$2:$M$1000,DB_All!$G$2:$G$1000,B338,DB_All!$L$2:$L$1000,"تحت إجراءات التعاقد"))</f>
        <v/>
      </c>
      <c r="G338" t="str">
        <f>IF(B338="","",COUNTIFS(DB_All!$G$2:$G$1000,B338,DB_All!$L$2:$L$1000,"تحت إجراءات التعاقد"))</f>
        <v/>
      </c>
      <c r="H338" t="str">
        <f>IF(B338="","",SUMIFS(DB_All!$N$2:$N$1000,DB_All!$G$2:$G$1000,B338,DB_All!$L$2:$L$1000,"تم التوقيع"))</f>
        <v/>
      </c>
      <c r="I338" t="str">
        <f>IF(B338="","",COUNTIFS(DB_All!$G$2:$G$1000,B338,DB_All!$L$2:$L$1000,"تم التوقيع"))</f>
        <v/>
      </c>
      <c r="J338">
        <f t="shared" si="15"/>
        <v>0</v>
      </c>
      <c r="K338" t="str">
        <f>IF(B338="","",SUMIFS('المطالبات 2026'!$J:$J,'المطالبات 2026'!$E:$E,B338,'المطالبات 2026'!$I:$I,"مطالبة مرفوعة للمالية") + SUMIFS('المطالبات 2025'!$J:$J,'المطالبات 2025'!$E:$E,B338,'المطالبات 2025'!$I:$I,"مطالبة مرفوعة للمالية"))</f>
        <v/>
      </c>
      <c r="L338" t="str">
        <f>IF(B338="","",COUNTIFS('المطالبات 2026'!$E:$E,B338,'المطالبات 2026'!$I:$I,"مطالبة مرفوعة للمالية") + COUNTIFS('المطالبات 2025'!$E:$E,B338,'المطالبات 2025'!$I:$I,"مطالبة مرفوعة للمالية"))</f>
        <v/>
      </c>
      <c r="M338">
        <f t="shared" si="16"/>
        <v>0</v>
      </c>
      <c r="N338" t="str">
        <f>IF(B338="","",SUMIFS(DB_All!$N$2:$N$1000,DB_All!$G$2:$G$1000,B338,DB_All!$L$2:$L$1000,"تحت إجراءات التوريد"))</f>
        <v/>
      </c>
      <c r="O338" t="str">
        <f>IF(B338="","",COUNTIFS(DB_All!$G$2:$G$1000,B338,DB_All!$L$2:$L$1000,"تحت إجراءات التوريد"))</f>
        <v/>
      </c>
      <c r="P338" t="str">
        <f>IF(B338="","",SUMIFS(DB_All!$N$2:$N$1000,DB_All!$G$2:$G$1000,B338,DB_All!$L$2:$L$1000,"بانتظار سندات الاستلام \ شهادة الإنجاز"))</f>
        <v/>
      </c>
      <c r="Q338" t="str">
        <f>IF(B338="","",COUNTIFS(DB_All!$G$2:$G$1000,B338,DB_All!$L$2:$L$1000,"بانتظار سندات الاستلام \ شهادة الإنجاز"))</f>
        <v/>
      </c>
      <c r="R338" t="str">
        <f t="shared" si="17"/>
        <v/>
      </c>
    </row>
    <row r="339" spans="6:18" x14ac:dyDescent="0.3">
      <c r="F339" t="str">
        <f>IF(B339="","",SUMIFS(DB_All!$M$2:$M$1000,DB_All!$G$2:$G$1000,B339,DB_All!$L$2:$L$1000,"تحت إجراءات التعاقد"))</f>
        <v/>
      </c>
      <c r="G339" t="str">
        <f>IF(B339="","",COUNTIFS(DB_All!$G$2:$G$1000,B339,DB_All!$L$2:$L$1000,"تحت إجراءات التعاقد"))</f>
        <v/>
      </c>
      <c r="H339" t="str">
        <f>IF(B339="","",SUMIFS(DB_All!$N$2:$N$1000,DB_All!$G$2:$G$1000,B339,DB_All!$L$2:$L$1000,"تم التوقيع"))</f>
        <v/>
      </c>
      <c r="I339" t="str">
        <f>IF(B339="","",COUNTIFS(DB_All!$G$2:$G$1000,B339,DB_All!$L$2:$L$1000,"تم التوقيع"))</f>
        <v/>
      </c>
      <c r="J339">
        <f t="shared" si="15"/>
        <v>0</v>
      </c>
      <c r="K339" t="str">
        <f>IF(B339="","",SUMIFS('المطالبات 2026'!$J:$J,'المطالبات 2026'!$E:$E,B339,'المطالبات 2026'!$I:$I,"مطالبة مرفوعة للمالية") + SUMIFS('المطالبات 2025'!$J:$J,'المطالبات 2025'!$E:$E,B339,'المطالبات 2025'!$I:$I,"مطالبة مرفوعة للمالية"))</f>
        <v/>
      </c>
      <c r="L339" t="str">
        <f>IF(B339="","",COUNTIFS('المطالبات 2026'!$E:$E,B339,'المطالبات 2026'!$I:$I,"مطالبة مرفوعة للمالية") + COUNTIFS('المطالبات 2025'!$E:$E,B339,'المطالبات 2025'!$I:$I,"مطالبة مرفوعة للمالية"))</f>
        <v/>
      </c>
      <c r="M339">
        <f t="shared" si="16"/>
        <v>0</v>
      </c>
      <c r="N339" t="str">
        <f>IF(B339="","",SUMIFS(DB_All!$N$2:$N$1000,DB_All!$G$2:$G$1000,B339,DB_All!$L$2:$L$1000,"تحت إجراءات التوريد"))</f>
        <v/>
      </c>
      <c r="O339" t="str">
        <f>IF(B339="","",COUNTIFS(DB_All!$G$2:$G$1000,B339,DB_All!$L$2:$L$1000,"تحت إجراءات التوريد"))</f>
        <v/>
      </c>
      <c r="P339" t="str">
        <f>IF(B339="","",SUMIFS(DB_All!$N$2:$N$1000,DB_All!$G$2:$G$1000,B339,DB_All!$L$2:$L$1000,"بانتظار سندات الاستلام \ شهادة الإنجاز"))</f>
        <v/>
      </c>
      <c r="Q339" t="str">
        <f>IF(B339="","",COUNTIFS(DB_All!$G$2:$G$1000,B339,DB_All!$L$2:$L$1000,"بانتظار سندات الاستلام \ شهادة الإنجاز"))</f>
        <v/>
      </c>
      <c r="R339" t="str">
        <f t="shared" si="17"/>
        <v/>
      </c>
    </row>
    <row r="340" spans="6:18" x14ac:dyDescent="0.3">
      <c r="F340" t="str">
        <f>IF(B340="","",SUMIFS(DB_All!$M$2:$M$1000,DB_All!$G$2:$G$1000,B340,DB_All!$L$2:$L$1000,"تحت إجراءات التعاقد"))</f>
        <v/>
      </c>
      <c r="G340" t="str">
        <f>IF(B340="","",COUNTIFS(DB_All!$G$2:$G$1000,B340,DB_All!$L$2:$L$1000,"تحت إجراءات التعاقد"))</f>
        <v/>
      </c>
      <c r="H340" t="str">
        <f>IF(B340="","",SUMIFS(DB_All!$N$2:$N$1000,DB_All!$G$2:$G$1000,B340,DB_All!$L$2:$L$1000,"تم التوقيع"))</f>
        <v/>
      </c>
      <c r="I340" t="str">
        <f>IF(B340="","",COUNTIFS(DB_All!$G$2:$G$1000,B340,DB_All!$L$2:$L$1000,"تم التوقيع"))</f>
        <v/>
      </c>
      <c r="J340">
        <f t="shared" si="15"/>
        <v>0</v>
      </c>
      <c r="K340" t="str">
        <f>IF(B340="","",SUMIFS('المطالبات 2026'!$J:$J,'المطالبات 2026'!$E:$E,B340,'المطالبات 2026'!$I:$I,"مطالبة مرفوعة للمالية") + SUMIFS('المطالبات 2025'!$J:$J,'المطالبات 2025'!$E:$E,B340,'المطالبات 2025'!$I:$I,"مطالبة مرفوعة للمالية"))</f>
        <v/>
      </c>
      <c r="L340" t="str">
        <f>IF(B340="","",COUNTIFS('المطالبات 2026'!$E:$E,B340,'المطالبات 2026'!$I:$I,"مطالبة مرفوعة للمالية") + COUNTIFS('المطالبات 2025'!$E:$E,B340,'المطالبات 2025'!$I:$I,"مطالبة مرفوعة للمالية"))</f>
        <v/>
      </c>
      <c r="M340">
        <f t="shared" si="16"/>
        <v>0</v>
      </c>
      <c r="N340" t="str">
        <f>IF(B340="","",SUMIFS(DB_All!$N$2:$N$1000,DB_All!$G$2:$G$1000,B340,DB_All!$L$2:$L$1000,"تحت إجراءات التوريد"))</f>
        <v/>
      </c>
      <c r="O340" t="str">
        <f>IF(B340="","",COUNTIFS(DB_All!$G$2:$G$1000,B340,DB_All!$L$2:$L$1000,"تحت إجراءات التوريد"))</f>
        <v/>
      </c>
      <c r="P340" t="str">
        <f>IF(B340="","",SUMIFS(DB_All!$N$2:$N$1000,DB_All!$G$2:$G$1000,B340,DB_All!$L$2:$L$1000,"بانتظار سندات الاستلام \ شهادة الإنجاز"))</f>
        <v/>
      </c>
      <c r="Q340" t="str">
        <f>IF(B340="","",COUNTIFS(DB_All!$G$2:$G$1000,B340,DB_All!$L$2:$L$1000,"بانتظار سندات الاستلام \ شهادة الإنجاز"))</f>
        <v/>
      </c>
      <c r="R340" t="str">
        <f t="shared" si="17"/>
        <v/>
      </c>
    </row>
    <row r="341" spans="6:18" x14ac:dyDescent="0.3">
      <c r="F341" t="str">
        <f>IF(B341="","",SUMIFS(DB_All!$M$2:$M$1000,DB_All!$G$2:$G$1000,B341,DB_All!$L$2:$L$1000,"تحت إجراءات التعاقد"))</f>
        <v/>
      </c>
      <c r="G341" t="str">
        <f>IF(B341="","",COUNTIFS(DB_All!$G$2:$G$1000,B341,DB_All!$L$2:$L$1000,"تحت إجراءات التعاقد"))</f>
        <v/>
      </c>
      <c r="H341" t="str">
        <f>IF(B341="","",SUMIFS(DB_All!$N$2:$N$1000,DB_All!$G$2:$G$1000,B341,DB_All!$L$2:$L$1000,"تم التوقيع"))</f>
        <v/>
      </c>
      <c r="I341" t="str">
        <f>IF(B341="","",COUNTIFS(DB_All!$G$2:$G$1000,B341,DB_All!$L$2:$L$1000,"تم التوقيع"))</f>
        <v/>
      </c>
      <c r="J341">
        <f t="shared" si="15"/>
        <v>0</v>
      </c>
      <c r="K341" t="str">
        <f>IF(B341="","",SUMIFS('المطالبات 2026'!$J:$J,'المطالبات 2026'!$E:$E,B341,'المطالبات 2026'!$I:$I,"مطالبة مرفوعة للمالية") + SUMIFS('المطالبات 2025'!$J:$J,'المطالبات 2025'!$E:$E,B341,'المطالبات 2025'!$I:$I,"مطالبة مرفوعة للمالية"))</f>
        <v/>
      </c>
      <c r="L341" t="str">
        <f>IF(B341="","",COUNTIFS('المطالبات 2026'!$E:$E,B341,'المطالبات 2026'!$I:$I,"مطالبة مرفوعة للمالية") + COUNTIFS('المطالبات 2025'!$E:$E,B341,'المطالبات 2025'!$I:$I,"مطالبة مرفوعة للمالية"))</f>
        <v/>
      </c>
      <c r="M341">
        <f t="shared" si="16"/>
        <v>0</v>
      </c>
      <c r="N341" t="str">
        <f>IF(B341="","",SUMIFS(DB_All!$N$2:$N$1000,DB_All!$G$2:$G$1000,B341,DB_All!$L$2:$L$1000,"تحت إجراءات التوريد"))</f>
        <v/>
      </c>
      <c r="O341" t="str">
        <f>IF(B341="","",COUNTIFS(DB_All!$G$2:$G$1000,B341,DB_All!$L$2:$L$1000,"تحت إجراءات التوريد"))</f>
        <v/>
      </c>
      <c r="P341" t="str">
        <f>IF(B341="","",SUMIFS(DB_All!$N$2:$N$1000,DB_All!$G$2:$G$1000,B341,DB_All!$L$2:$L$1000,"بانتظار سندات الاستلام \ شهادة الإنجاز"))</f>
        <v/>
      </c>
      <c r="Q341" t="str">
        <f>IF(B341="","",COUNTIFS(DB_All!$G$2:$G$1000,B341,DB_All!$L$2:$L$1000,"بانتظار سندات الاستلام \ شهادة الإنجاز"))</f>
        <v/>
      </c>
      <c r="R341" t="str">
        <f t="shared" si="17"/>
        <v/>
      </c>
    </row>
    <row r="342" spans="6:18" x14ac:dyDescent="0.3">
      <c r="F342" t="str">
        <f>IF(B342="","",SUMIFS(DB_All!$M$2:$M$1000,DB_All!$G$2:$G$1000,B342,DB_All!$L$2:$L$1000,"تحت إجراءات التعاقد"))</f>
        <v/>
      </c>
      <c r="G342" t="str">
        <f>IF(B342="","",COUNTIFS(DB_All!$G$2:$G$1000,B342,DB_All!$L$2:$L$1000,"تحت إجراءات التعاقد"))</f>
        <v/>
      </c>
      <c r="H342" t="str">
        <f>IF(B342="","",SUMIFS(DB_All!$N$2:$N$1000,DB_All!$G$2:$G$1000,B342,DB_All!$L$2:$L$1000,"تم التوقيع"))</f>
        <v/>
      </c>
      <c r="I342" t="str">
        <f>IF(B342="","",COUNTIFS(DB_All!$G$2:$G$1000,B342,DB_All!$L$2:$L$1000,"تم التوقيع"))</f>
        <v/>
      </c>
      <c r="J342">
        <f t="shared" si="15"/>
        <v>0</v>
      </c>
      <c r="K342" t="str">
        <f>IF(B342="","",SUMIFS('المطالبات 2026'!$J:$J,'المطالبات 2026'!$E:$E,B342,'المطالبات 2026'!$I:$I,"مطالبة مرفوعة للمالية") + SUMIFS('المطالبات 2025'!$J:$J,'المطالبات 2025'!$E:$E,B342,'المطالبات 2025'!$I:$I,"مطالبة مرفوعة للمالية"))</f>
        <v/>
      </c>
      <c r="L342" t="str">
        <f>IF(B342="","",COUNTIFS('المطالبات 2026'!$E:$E,B342,'المطالبات 2026'!$I:$I,"مطالبة مرفوعة للمالية") + COUNTIFS('المطالبات 2025'!$E:$E,B342,'المطالبات 2025'!$I:$I,"مطالبة مرفوعة للمالية"))</f>
        <v/>
      </c>
      <c r="M342">
        <f t="shared" si="16"/>
        <v>0</v>
      </c>
      <c r="N342" t="str">
        <f>IF(B342="","",SUMIFS(DB_All!$N$2:$N$1000,DB_All!$G$2:$G$1000,B342,DB_All!$L$2:$L$1000,"تحت إجراءات التوريد"))</f>
        <v/>
      </c>
      <c r="O342" t="str">
        <f>IF(B342="","",COUNTIFS(DB_All!$G$2:$G$1000,B342,DB_All!$L$2:$L$1000,"تحت إجراءات التوريد"))</f>
        <v/>
      </c>
      <c r="P342" t="str">
        <f>IF(B342="","",SUMIFS(DB_All!$N$2:$N$1000,DB_All!$G$2:$G$1000,B342,DB_All!$L$2:$L$1000,"بانتظار سندات الاستلام \ شهادة الإنجاز"))</f>
        <v/>
      </c>
      <c r="Q342" t="str">
        <f>IF(B342="","",COUNTIFS(DB_All!$G$2:$G$1000,B342,DB_All!$L$2:$L$1000,"بانتظار سندات الاستلام \ شهادة الإنجاز"))</f>
        <v/>
      </c>
      <c r="R342" t="str">
        <f t="shared" si="17"/>
        <v/>
      </c>
    </row>
    <row r="343" spans="6:18" x14ac:dyDescent="0.3">
      <c r="F343" t="str">
        <f>IF(B343="","",SUMIFS(DB_All!$M$2:$M$1000,DB_All!$G$2:$G$1000,B343,DB_All!$L$2:$L$1000,"تحت إجراءات التعاقد"))</f>
        <v/>
      </c>
      <c r="G343" t="str">
        <f>IF(B343="","",COUNTIFS(DB_All!$G$2:$G$1000,B343,DB_All!$L$2:$L$1000,"تحت إجراءات التعاقد"))</f>
        <v/>
      </c>
      <c r="H343" t="str">
        <f>IF(B343="","",SUMIFS(DB_All!$N$2:$N$1000,DB_All!$G$2:$G$1000,B343,DB_All!$L$2:$L$1000,"تم التوقيع"))</f>
        <v/>
      </c>
      <c r="I343" t="str">
        <f>IF(B343="","",COUNTIFS(DB_All!$G$2:$G$1000,B343,DB_All!$L$2:$L$1000,"تم التوقيع"))</f>
        <v/>
      </c>
      <c r="J343">
        <f t="shared" si="15"/>
        <v>0</v>
      </c>
      <c r="K343" t="str">
        <f>IF(B343="","",SUMIFS('المطالبات 2026'!$J:$J,'المطالبات 2026'!$E:$E,B343,'المطالبات 2026'!$I:$I,"مطالبة مرفوعة للمالية") + SUMIFS('المطالبات 2025'!$J:$J,'المطالبات 2025'!$E:$E,B343,'المطالبات 2025'!$I:$I,"مطالبة مرفوعة للمالية"))</f>
        <v/>
      </c>
      <c r="L343" t="str">
        <f>IF(B343="","",COUNTIFS('المطالبات 2026'!$E:$E,B343,'المطالبات 2026'!$I:$I,"مطالبة مرفوعة للمالية") + COUNTIFS('المطالبات 2025'!$E:$E,B343,'المطالبات 2025'!$I:$I,"مطالبة مرفوعة للمالية"))</f>
        <v/>
      </c>
      <c r="M343">
        <f t="shared" si="16"/>
        <v>0</v>
      </c>
      <c r="N343" t="str">
        <f>IF(B343="","",SUMIFS(DB_All!$N$2:$N$1000,DB_All!$G$2:$G$1000,B343,DB_All!$L$2:$L$1000,"تحت إجراءات التوريد"))</f>
        <v/>
      </c>
      <c r="O343" t="str">
        <f>IF(B343="","",COUNTIFS(DB_All!$G$2:$G$1000,B343,DB_All!$L$2:$L$1000,"تحت إجراءات التوريد"))</f>
        <v/>
      </c>
      <c r="P343" t="str">
        <f>IF(B343="","",SUMIFS(DB_All!$N$2:$N$1000,DB_All!$G$2:$G$1000,B343,DB_All!$L$2:$L$1000,"بانتظار سندات الاستلام \ شهادة الإنجاز"))</f>
        <v/>
      </c>
      <c r="Q343" t="str">
        <f>IF(B343="","",COUNTIFS(DB_All!$G$2:$G$1000,B343,DB_All!$L$2:$L$1000,"بانتظار سندات الاستلام \ شهادة الإنجاز"))</f>
        <v/>
      </c>
      <c r="R343" t="str">
        <f t="shared" si="17"/>
        <v/>
      </c>
    </row>
    <row r="344" spans="6:18" x14ac:dyDescent="0.3">
      <c r="F344" t="str">
        <f>IF(B344="","",SUMIFS(DB_All!$M$2:$M$1000,DB_All!$G$2:$G$1000,B344,DB_All!$L$2:$L$1000,"تحت إجراءات التعاقد"))</f>
        <v/>
      </c>
      <c r="G344" t="str">
        <f>IF(B344="","",COUNTIFS(DB_All!$G$2:$G$1000,B344,DB_All!$L$2:$L$1000,"تحت إجراءات التعاقد"))</f>
        <v/>
      </c>
      <c r="H344" t="str">
        <f>IF(B344="","",SUMIFS(DB_All!$N$2:$N$1000,DB_All!$G$2:$G$1000,B344,DB_All!$L$2:$L$1000,"تم التوقيع"))</f>
        <v/>
      </c>
      <c r="I344" t="str">
        <f>IF(B344="","",COUNTIFS(DB_All!$G$2:$G$1000,B344,DB_All!$L$2:$L$1000,"تم التوقيع"))</f>
        <v/>
      </c>
      <c r="J344">
        <f t="shared" si="15"/>
        <v>0</v>
      </c>
      <c r="K344" t="str">
        <f>IF(B344="","",SUMIFS('المطالبات 2026'!$J:$J,'المطالبات 2026'!$E:$E,B344,'المطالبات 2026'!$I:$I,"مطالبة مرفوعة للمالية") + SUMIFS('المطالبات 2025'!$J:$J,'المطالبات 2025'!$E:$E,B344,'المطالبات 2025'!$I:$I,"مطالبة مرفوعة للمالية"))</f>
        <v/>
      </c>
      <c r="L344" t="str">
        <f>IF(B344="","",COUNTIFS('المطالبات 2026'!$E:$E,B344,'المطالبات 2026'!$I:$I,"مطالبة مرفوعة للمالية") + COUNTIFS('المطالبات 2025'!$E:$E,B344,'المطالبات 2025'!$I:$I,"مطالبة مرفوعة للمالية"))</f>
        <v/>
      </c>
      <c r="M344">
        <f t="shared" si="16"/>
        <v>0</v>
      </c>
      <c r="N344" t="str">
        <f>IF(B344="","",SUMIFS(DB_All!$N$2:$N$1000,DB_All!$G$2:$G$1000,B344,DB_All!$L$2:$L$1000,"تحت إجراءات التوريد"))</f>
        <v/>
      </c>
      <c r="O344" t="str">
        <f>IF(B344="","",COUNTIFS(DB_All!$G$2:$G$1000,B344,DB_All!$L$2:$L$1000,"تحت إجراءات التوريد"))</f>
        <v/>
      </c>
      <c r="P344" t="str">
        <f>IF(B344="","",SUMIFS(DB_All!$N$2:$N$1000,DB_All!$G$2:$G$1000,B344,DB_All!$L$2:$L$1000,"بانتظار سندات الاستلام \ شهادة الإنجاز"))</f>
        <v/>
      </c>
      <c r="Q344" t="str">
        <f>IF(B344="","",COUNTIFS(DB_All!$G$2:$G$1000,B344,DB_All!$L$2:$L$1000,"بانتظار سندات الاستلام \ شهادة الإنجاز"))</f>
        <v/>
      </c>
      <c r="R344" t="str">
        <f t="shared" si="17"/>
        <v/>
      </c>
    </row>
    <row r="345" spans="6:18" x14ac:dyDescent="0.3">
      <c r="F345" t="str">
        <f>IF(B345="","",SUMIFS(DB_All!$M$2:$M$1000,DB_All!$G$2:$G$1000,B345,DB_All!$L$2:$L$1000,"تحت إجراءات التعاقد"))</f>
        <v/>
      </c>
      <c r="G345" t="str">
        <f>IF(B345="","",COUNTIFS(DB_All!$G$2:$G$1000,B345,DB_All!$L$2:$L$1000,"تحت إجراءات التعاقد"))</f>
        <v/>
      </c>
      <c r="H345" t="str">
        <f>IF(B345="","",SUMIFS(DB_All!$N$2:$N$1000,DB_All!$G$2:$G$1000,B345,DB_All!$L$2:$L$1000,"تم التوقيع"))</f>
        <v/>
      </c>
      <c r="I345" t="str">
        <f>IF(B345="","",COUNTIFS(DB_All!$G$2:$G$1000,B345,DB_All!$L$2:$L$1000,"تم التوقيع"))</f>
        <v/>
      </c>
      <c r="J345">
        <f t="shared" si="15"/>
        <v>0</v>
      </c>
      <c r="K345" t="str">
        <f>IF(B345="","",SUMIFS('المطالبات 2026'!$J:$J,'المطالبات 2026'!$E:$E,B345,'المطالبات 2026'!$I:$I,"مطالبة مرفوعة للمالية") + SUMIFS('المطالبات 2025'!$J:$J,'المطالبات 2025'!$E:$E,B345,'المطالبات 2025'!$I:$I,"مطالبة مرفوعة للمالية"))</f>
        <v/>
      </c>
      <c r="L345" t="str">
        <f>IF(B345="","",COUNTIFS('المطالبات 2026'!$E:$E,B345,'المطالبات 2026'!$I:$I,"مطالبة مرفوعة للمالية") + COUNTIFS('المطالبات 2025'!$E:$E,B345,'المطالبات 2025'!$I:$I,"مطالبة مرفوعة للمالية"))</f>
        <v/>
      </c>
      <c r="M345">
        <f t="shared" si="16"/>
        <v>0</v>
      </c>
      <c r="N345" t="str">
        <f>IF(B345="","",SUMIFS(DB_All!$N$2:$N$1000,DB_All!$G$2:$G$1000,B345,DB_All!$L$2:$L$1000,"تحت إجراءات التوريد"))</f>
        <v/>
      </c>
      <c r="O345" t="str">
        <f>IF(B345="","",COUNTIFS(DB_All!$G$2:$G$1000,B345,DB_All!$L$2:$L$1000,"تحت إجراءات التوريد"))</f>
        <v/>
      </c>
      <c r="P345" t="str">
        <f>IF(B345="","",SUMIFS(DB_All!$N$2:$N$1000,DB_All!$G$2:$G$1000,B345,DB_All!$L$2:$L$1000,"بانتظار سندات الاستلام \ شهادة الإنجاز"))</f>
        <v/>
      </c>
      <c r="Q345" t="str">
        <f>IF(B345="","",COUNTIFS(DB_All!$G$2:$G$1000,B345,DB_All!$L$2:$L$1000,"بانتظار سندات الاستلام \ شهادة الإنجاز"))</f>
        <v/>
      </c>
      <c r="R345" t="str">
        <f t="shared" si="17"/>
        <v/>
      </c>
    </row>
    <row r="346" spans="6:18" x14ac:dyDescent="0.3">
      <c r="F346" t="str">
        <f>IF(B346="","",SUMIFS(DB_All!$M$2:$M$1000,DB_All!$G$2:$G$1000,B346,DB_All!$L$2:$L$1000,"تحت إجراءات التعاقد"))</f>
        <v/>
      </c>
      <c r="G346" t="str">
        <f>IF(B346="","",COUNTIFS(DB_All!$G$2:$G$1000,B346,DB_All!$L$2:$L$1000,"تحت إجراءات التعاقد"))</f>
        <v/>
      </c>
      <c r="H346" t="str">
        <f>IF(B346="","",SUMIFS(DB_All!$N$2:$N$1000,DB_All!$G$2:$G$1000,B346,DB_All!$L$2:$L$1000,"تم التوقيع"))</f>
        <v/>
      </c>
      <c r="I346" t="str">
        <f>IF(B346="","",COUNTIFS(DB_All!$G$2:$G$1000,B346,DB_All!$L$2:$L$1000,"تم التوقيع"))</f>
        <v/>
      </c>
      <c r="J346">
        <f t="shared" si="15"/>
        <v>0</v>
      </c>
      <c r="K346" t="str">
        <f>IF(B346="","",SUMIFS('المطالبات 2026'!$J:$J,'المطالبات 2026'!$E:$E,B346,'المطالبات 2026'!$I:$I,"مطالبة مرفوعة للمالية") + SUMIFS('المطالبات 2025'!$J:$J,'المطالبات 2025'!$E:$E,B346,'المطالبات 2025'!$I:$I,"مطالبة مرفوعة للمالية"))</f>
        <v/>
      </c>
      <c r="L346" t="str">
        <f>IF(B346="","",COUNTIFS('المطالبات 2026'!$E:$E,B346,'المطالبات 2026'!$I:$I,"مطالبة مرفوعة للمالية") + COUNTIFS('المطالبات 2025'!$E:$E,B346,'المطالبات 2025'!$I:$I,"مطالبة مرفوعة للمالية"))</f>
        <v/>
      </c>
      <c r="M346">
        <f t="shared" si="16"/>
        <v>0</v>
      </c>
      <c r="N346" t="str">
        <f>IF(B346="","",SUMIFS(DB_All!$N$2:$N$1000,DB_All!$G$2:$G$1000,B346,DB_All!$L$2:$L$1000,"تحت إجراءات التوريد"))</f>
        <v/>
      </c>
      <c r="O346" t="str">
        <f>IF(B346="","",COUNTIFS(DB_All!$G$2:$G$1000,B346,DB_All!$L$2:$L$1000,"تحت إجراءات التوريد"))</f>
        <v/>
      </c>
      <c r="P346" t="str">
        <f>IF(B346="","",SUMIFS(DB_All!$N$2:$N$1000,DB_All!$G$2:$G$1000,B346,DB_All!$L$2:$L$1000,"بانتظار سندات الاستلام \ شهادة الإنجاز"))</f>
        <v/>
      </c>
      <c r="Q346" t="str">
        <f>IF(B346="","",COUNTIFS(DB_All!$G$2:$G$1000,B346,DB_All!$L$2:$L$1000,"بانتظار سندات الاستلام \ شهادة الإنجاز"))</f>
        <v/>
      </c>
      <c r="R346" t="str">
        <f t="shared" si="17"/>
        <v/>
      </c>
    </row>
    <row r="347" spans="6:18" x14ac:dyDescent="0.3">
      <c r="F347" t="str">
        <f>IF(B347="","",SUMIFS(DB_All!$M$2:$M$1000,DB_All!$G$2:$G$1000,B347,DB_All!$L$2:$L$1000,"تحت إجراءات التعاقد"))</f>
        <v/>
      </c>
      <c r="G347" t="str">
        <f>IF(B347="","",COUNTIFS(DB_All!$G$2:$G$1000,B347,DB_All!$L$2:$L$1000,"تحت إجراءات التعاقد"))</f>
        <v/>
      </c>
      <c r="H347" t="str">
        <f>IF(B347="","",SUMIFS(DB_All!$N$2:$N$1000,DB_All!$G$2:$G$1000,B347,DB_All!$L$2:$L$1000,"تم التوقيع"))</f>
        <v/>
      </c>
      <c r="I347" t="str">
        <f>IF(B347="","",COUNTIFS(DB_All!$G$2:$G$1000,B347,DB_All!$L$2:$L$1000,"تم التوقيع"))</f>
        <v/>
      </c>
      <c r="J347">
        <f t="shared" si="15"/>
        <v>0</v>
      </c>
      <c r="K347" t="str">
        <f>IF(B347="","",SUMIFS('المطالبات 2026'!$J:$J,'المطالبات 2026'!$E:$E,B347,'المطالبات 2026'!$I:$I,"مطالبة مرفوعة للمالية") + SUMIFS('المطالبات 2025'!$J:$J,'المطالبات 2025'!$E:$E,B347,'المطالبات 2025'!$I:$I,"مطالبة مرفوعة للمالية"))</f>
        <v/>
      </c>
      <c r="L347" t="str">
        <f>IF(B347="","",COUNTIFS('المطالبات 2026'!$E:$E,B347,'المطالبات 2026'!$I:$I,"مطالبة مرفوعة للمالية") + COUNTIFS('المطالبات 2025'!$E:$E,B347,'المطالبات 2025'!$I:$I,"مطالبة مرفوعة للمالية"))</f>
        <v/>
      </c>
      <c r="M347">
        <f t="shared" si="16"/>
        <v>0</v>
      </c>
      <c r="N347" t="str">
        <f>IF(B347="","",SUMIFS(DB_All!$N$2:$N$1000,DB_All!$G$2:$G$1000,B347,DB_All!$L$2:$L$1000,"تحت إجراءات التوريد"))</f>
        <v/>
      </c>
      <c r="O347" t="str">
        <f>IF(B347="","",COUNTIFS(DB_All!$G$2:$G$1000,B347,DB_All!$L$2:$L$1000,"تحت إجراءات التوريد"))</f>
        <v/>
      </c>
      <c r="P347" t="str">
        <f>IF(B347="","",SUMIFS(DB_All!$N$2:$N$1000,DB_All!$G$2:$G$1000,B347,DB_All!$L$2:$L$1000,"بانتظار سندات الاستلام \ شهادة الإنجاز"))</f>
        <v/>
      </c>
      <c r="Q347" t="str">
        <f>IF(B347="","",COUNTIFS(DB_All!$G$2:$G$1000,B347,DB_All!$L$2:$L$1000,"بانتظار سندات الاستلام \ شهادة الإنجاز"))</f>
        <v/>
      </c>
      <c r="R347" t="str">
        <f t="shared" si="17"/>
        <v/>
      </c>
    </row>
    <row r="348" spans="6:18" x14ac:dyDescent="0.3">
      <c r="F348" t="str">
        <f>IF(B348="","",SUMIFS(DB_All!$M$2:$M$1000,DB_All!$G$2:$G$1000,B348,DB_All!$L$2:$L$1000,"تحت إجراءات التعاقد"))</f>
        <v/>
      </c>
      <c r="G348" t="str">
        <f>IF(B348="","",COUNTIFS(DB_All!$G$2:$G$1000,B348,DB_All!$L$2:$L$1000,"تحت إجراءات التعاقد"))</f>
        <v/>
      </c>
      <c r="H348" t="str">
        <f>IF(B348="","",SUMIFS(DB_All!$N$2:$N$1000,DB_All!$G$2:$G$1000,B348,DB_All!$L$2:$L$1000,"تم التوقيع"))</f>
        <v/>
      </c>
      <c r="I348" t="str">
        <f>IF(B348="","",COUNTIFS(DB_All!$G$2:$G$1000,B348,DB_All!$L$2:$L$1000,"تم التوقيع"))</f>
        <v/>
      </c>
      <c r="J348">
        <f t="shared" si="15"/>
        <v>0</v>
      </c>
      <c r="K348" t="str">
        <f>IF(B348="","",SUMIFS('المطالبات 2026'!$J:$J,'المطالبات 2026'!$E:$E,B348,'المطالبات 2026'!$I:$I,"مطالبة مرفوعة للمالية") + SUMIFS('المطالبات 2025'!$J:$J,'المطالبات 2025'!$E:$E,B348,'المطالبات 2025'!$I:$I,"مطالبة مرفوعة للمالية"))</f>
        <v/>
      </c>
      <c r="L348" t="str">
        <f>IF(B348="","",COUNTIFS('المطالبات 2026'!$E:$E,B348,'المطالبات 2026'!$I:$I,"مطالبة مرفوعة للمالية") + COUNTIFS('المطالبات 2025'!$E:$E,B348,'المطالبات 2025'!$I:$I,"مطالبة مرفوعة للمالية"))</f>
        <v/>
      </c>
      <c r="M348">
        <f t="shared" si="16"/>
        <v>0</v>
      </c>
      <c r="N348" t="str">
        <f>IF(B348="","",SUMIFS(DB_All!$N$2:$N$1000,DB_All!$G$2:$G$1000,B348,DB_All!$L$2:$L$1000,"تحت إجراءات التوريد"))</f>
        <v/>
      </c>
      <c r="O348" t="str">
        <f>IF(B348="","",COUNTIFS(DB_All!$G$2:$G$1000,B348,DB_All!$L$2:$L$1000,"تحت إجراءات التوريد"))</f>
        <v/>
      </c>
      <c r="P348" t="str">
        <f>IF(B348="","",SUMIFS(DB_All!$N$2:$N$1000,DB_All!$G$2:$G$1000,B348,DB_All!$L$2:$L$1000,"بانتظار سندات الاستلام \ شهادة الإنجاز"))</f>
        <v/>
      </c>
      <c r="Q348" t="str">
        <f>IF(B348="","",COUNTIFS(DB_All!$G$2:$G$1000,B348,DB_All!$L$2:$L$1000,"بانتظار سندات الاستلام \ شهادة الإنجاز"))</f>
        <v/>
      </c>
      <c r="R348" t="str">
        <f t="shared" si="17"/>
        <v/>
      </c>
    </row>
    <row r="349" spans="6:18" x14ac:dyDescent="0.3">
      <c r="F349" t="str">
        <f>IF(B349="","",SUMIFS(DB_All!$M$2:$M$1000,DB_All!$G$2:$G$1000,B349,DB_All!$L$2:$L$1000,"تحت إجراءات التعاقد"))</f>
        <v/>
      </c>
      <c r="G349" t="str">
        <f>IF(B349="","",COUNTIFS(DB_All!$G$2:$G$1000,B349,DB_All!$L$2:$L$1000,"تحت إجراءات التعاقد"))</f>
        <v/>
      </c>
      <c r="H349" t="str">
        <f>IF(B349="","",SUMIFS(DB_All!$N$2:$N$1000,DB_All!$G$2:$G$1000,B349,DB_All!$L$2:$L$1000,"تم التوقيع"))</f>
        <v/>
      </c>
      <c r="I349" t="str">
        <f>IF(B349="","",COUNTIFS(DB_All!$G$2:$G$1000,B349,DB_All!$L$2:$L$1000,"تم التوقيع"))</f>
        <v/>
      </c>
      <c r="J349">
        <f t="shared" si="15"/>
        <v>0</v>
      </c>
      <c r="K349" t="str">
        <f>IF(B349="","",SUMIFS('المطالبات 2026'!$J:$J,'المطالبات 2026'!$E:$E,B349,'المطالبات 2026'!$I:$I,"مطالبة مرفوعة للمالية") + SUMIFS('المطالبات 2025'!$J:$J,'المطالبات 2025'!$E:$E,B349,'المطالبات 2025'!$I:$I,"مطالبة مرفوعة للمالية"))</f>
        <v/>
      </c>
      <c r="L349" t="str">
        <f>IF(B349="","",COUNTIFS('المطالبات 2026'!$E:$E,B349,'المطالبات 2026'!$I:$I,"مطالبة مرفوعة للمالية") + COUNTIFS('المطالبات 2025'!$E:$E,B349,'المطالبات 2025'!$I:$I,"مطالبة مرفوعة للمالية"))</f>
        <v/>
      </c>
      <c r="M349">
        <f t="shared" si="16"/>
        <v>0</v>
      </c>
      <c r="N349" t="str">
        <f>IF(B349="","",SUMIFS(DB_All!$N$2:$N$1000,DB_All!$G$2:$G$1000,B349,DB_All!$L$2:$L$1000,"تحت إجراءات التوريد"))</f>
        <v/>
      </c>
      <c r="O349" t="str">
        <f>IF(B349="","",COUNTIFS(DB_All!$G$2:$G$1000,B349,DB_All!$L$2:$L$1000,"تحت إجراءات التوريد"))</f>
        <v/>
      </c>
      <c r="P349" t="str">
        <f>IF(B349="","",SUMIFS(DB_All!$N$2:$N$1000,DB_All!$G$2:$G$1000,B349,DB_All!$L$2:$L$1000,"بانتظار سندات الاستلام \ شهادة الإنجاز"))</f>
        <v/>
      </c>
      <c r="Q349" t="str">
        <f>IF(B349="","",COUNTIFS(DB_All!$G$2:$G$1000,B349,DB_All!$L$2:$L$1000,"بانتظار سندات الاستلام \ شهادة الإنجاز"))</f>
        <v/>
      </c>
      <c r="R349" t="str">
        <f t="shared" si="17"/>
        <v/>
      </c>
    </row>
    <row r="350" spans="6:18" x14ac:dyDescent="0.3">
      <c r="F350" t="str">
        <f>IF(B350="","",SUMIFS(DB_All!$M$2:$M$1000,DB_All!$G$2:$G$1000,B350,DB_All!$L$2:$L$1000,"تحت إجراءات التعاقد"))</f>
        <v/>
      </c>
      <c r="G350" t="str">
        <f>IF(B350="","",COUNTIFS(DB_All!$G$2:$G$1000,B350,DB_All!$L$2:$L$1000,"تحت إجراءات التعاقد"))</f>
        <v/>
      </c>
      <c r="H350" t="str">
        <f>IF(B350="","",SUMIFS(DB_All!$N$2:$N$1000,DB_All!$G$2:$G$1000,B350,DB_All!$L$2:$L$1000,"تم التوقيع"))</f>
        <v/>
      </c>
      <c r="I350" t="str">
        <f>IF(B350="","",COUNTIFS(DB_All!$G$2:$G$1000,B350,DB_All!$L$2:$L$1000,"تم التوقيع"))</f>
        <v/>
      </c>
      <c r="J350">
        <f t="shared" si="15"/>
        <v>0</v>
      </c>
      <c r="K350" t="str">
        <f>IF(B350="","",SUMIFS('المطالبات 2026'!$J:$J,'المطالبات 2026'!$E:$E,B350,'المطالبات 2026'!$I:$I,"مطالبة مرفوعة للمالية") + SUMIFS('المطالبات 2025'!$J:$J,'المطالبات 2025'!$E:$E,B350,'المطالبات 2025'!$I:$I,"مطالبة مرفوعة للمالية"))</f>
        <v/>
      </c>
      <c r="L350" t="str">
        <f>IF(B350="","",COUNTIFS('المطالبات 2026'!$E:$E,B350,'المطالبات 2026'!$I:$I,"مطالبة مرفوعة للمالية") + COUNTIFS('المطالبات 2025'!$E:$E,B350,'المطالبات 2025'!$I:$I,"مطالبة مرفوعة للمالية"))</f>
        <v/>
      </c>
      <c r="M350">
        <f t="shared" si="16"/>
        <v>0</v>
      </c>
      <c r="N350" t="str">
        <f>IF(B350="","",SUMIFS(DB_All!$N$2:$N$1000,DB_All!$G$2:$G$1000,B350,DB_All!$L$2:$L$1000,"تحت إجراءات التوريد"))</f>
        <v/>
      </c>
      <c r="O350" t="str">
        <f>IF(B350="","",COUNTIFS(DB_All!$G$2:$G$1000,B350,DB_All!$L$2:$L$1000,"تحت إجراءات التوريد"))</f>
        <v/>
      </c>
      <c r="P350" t="str">
        <f>IF(B350="","",SUMIFS(DB_All!$N$2:$N$1000,DB_All!$G$2:$G$1000,B350,DB_All!$L$2:$L$1000,"بانتظار سندات الاستلام \ شهادة الإنجاز"))</f>
        <v/>
      </c>
      <c r="Q350" t="str">
        <f>IF(B350="","",COUNTIFS(DB_All!$G$2:$G$1000,B350,DB_All!$L$2:$L$1000,"بانتظار سندات الاستلام \ شهادة الإنجاز"))</f>
        <v/>
      </c>
      <c r="R350" t="str">
        <f t="shared" si="17"/>
        <v/>
      </c>
    </row>
    <row r="351" spans="6:18" x14ac:dyDescent="0.3">
      <c r="F351" t="str">
        <f>IF(B351="","",SUMIFS(DB_All!$M$2:$M$1000,DB_All!$G$2:$G$1000,B351,DB_All!$L$2:$L$1000,"تحت إجراءات التعاقد"))</f>
        <v/>
      </c>
      <c r="G351" t="str">
        <f>IF(B351="","",COUNTIFS(DB_All!$G$2:$G$1000,B351,DB_All!$L$2:$L$1000,"تحت إجراءات التعاقد"))</f>
        <v/>
      </c>
      <c r="H351" t="str">
        <f>IF(B351="","",SUMIFS(DB_All!$N$2:$N$1000,DB_All!$G$2:$G$1000,B351,DB_All!$L$2:$L$1000,"تم التوقيع"))</f>
        <v/>
      </c>
      <c r="I351" t="str">
        <f>IF(B351="","",COUNTIFS(DB_All!$G$2:$G$1000,B351,DB_All!$L$2:$L$1000,"تم التوقيع"))</f>
        <v/>
      </c>
      <c r="J351">
        <f t="shared" si="15"/>
        <v>0</v>
      </c>
      <c r="K351" t="str">
        <f>IF(B351="","",SUMIFS('المطالبات 2026'!$J:$J,'المطالبات 2026'!$E:$E,B351,'المطالبات 2026'!$I:$I,"مطالبة مرفوعة للمالية") + SUMIFS('المطالبات 2025'!$J:$J,'المطالبات 2025'!$E:$E,B351,'المطالبات 2025'!$I:$I,"مطالبة مرفوعة للمالية"))</f>
        <v/>
      </c>
      <c r="L351" t="str">
        <f>IF(B351="","",COUNTIFS('المطالبات 2026'!$E:$E,B351,'المطالبات 2026'!$I:$I,"مطالبة مرفوعة للمالية") + COUNTIFS('المطالبات 2025'!$E:$E,B351,'المطالبات 2025'!$I:$I,"مطالبة مرفوعة للمالية"))</f>
        <v/>
      </c>
      <c r="M351">
        <f t="shared" si="16"/>
        <v>0</v>
      </c>
      <c r="N351" t="str">
        <f>IF(B351="","",SUMIFS(DB_All!$N$2:$N$1000,DB_All!$G$2:$G$1000,B351,DB_All!$L$2:$L$1000,"تحت إجراءات التوريد"))</f>
        <v/>
      </c>
      <c r="O351" t="str">
        <f>IF(B351="","",COUNTIFS(DB_All!$G$2:$G$1000,B351,DB_All!$L$2:$L$1000,"تحت إجراءات التوريد"))</f>
        <v/>
      </c>
      <c r="P351" t="str">
        <f>IF(B351="","",SUMIFS(DB_All!$N$2:$N$1000,DB_All!$G$2:$G$1000,B351,DB_All!$L$2:$L$1000,"بانتظار سندات الاستلام \ شهادة الإنجاز"))</f>
        <v/>
      </c>
      <c r="Q351" t="str">
        <f>IF(B351="","",COUNTIFS(DB_All!$G$2:$G$1000,B351,DB_All!$L$2:$L$1000,"بانتظار سندات الاستلام \ شهادة الإنجاز"))</f>
        <v/>
      </c>
      <c r="R351" t="str">
        <f t="shared" si="17"/>
        <v/>
      </c>
    </row>
    <row r="352" spans="6:18" x14ac:dyDescent="0.3">
      <c r="F352" t="str">
        <f>IF(B352="","",SUMIFS(DB_All!$M$2:$M$1000,DB_All!$G$2:$G$1000,B352,DB_All!$L$2:$L$1000,"تحت إجراءات التعاقد"))</f>
        <v/>
      </c>
      <c r="G352" t="str">
        <f>IF(B352="","",COUNTIFS(DB_All!$G$2:$G$1000,B352,DB_All!$L$2:$L$1000,"تحت إجراءات التعاقد"))</f>
        <v/>
      </c>
      <c r="H352" t="str">
        <f>IF(B352="","",SUMIFS(DB_All!$N$2:$N$1000,DB_All!$G$2:$G$1000,B352,DB_All!$L$2:$L$1000,"تم التوقيع"))</f>
        <v/>
      </c>
      <c r="I352" t="str">
        <f>IF(B352="","",COUNTIFS(DB_All!$G$2:$G$1000,B352,DB_All!$L$2:$L$1000,"تم التوقيع"))</f>
        <v/>
      </c>
      <c r="J352">
        <f t="shared" si="15"/>
        <v>0</v>
      </c>
      <c r="K352" t="str">
        <f>IF(B352="","",SUMIFS('المطالبات 2026'!$J:$J,'المطالبات 2026'!$E:$E,B352,'المطالبات 2026'!$I:$I,"مطالبة مرفوعة للمالية") + SUMIFS('المطالبات 2025'!$J:$J,'المطالبات 2025'!$E:$E,B352,'المطالبات 2025'!$I:$I,"مطالبة مرفوعة للمالية"))</f>
        <v/>
      </c>
      <c r="L352" t="str">
        <f>IF(B352="","",COUNTIFS('المطالبات 2026'!$E:$E,B352,'المطالبات 2026'!$I:$I,"مطالبة مرفوعة للمالية") + COUNTIFS('المطالبات 2025'!$E:$E,B352,'المطالبات 2025'!$I:$I,"مطالبة مرفوعة للمالية"))</f>
        <v/>
      </c>
      <c r="M352">
        <f t="shared" si="16"/>
        <v>0</v>
      </c>
      <c r="N352" t="str">
        <f>IF(B352="","",SUMIFS(DB_All!$N$2:$N$1000,DB_All!$G$2:$G$1000,B352,DB_All!$L$2:$L$1000,"تحت إجراءات التوريد"))</f>
        <v/>
      </c>
      <c r="O352" t="str">
        <f>IF(B352="","",COUNTIFS(DB_All!$G$2:$G$1000,B352,DB_All!$L$2:$L$1000,"تحت إجراءات التوريد"))</f>
        <v/>
      </c>
      <c r="P352" t="str">
        <f>IF(B352="","",SUMIFS(DB_All!$N$2:$N$1000,DB_All!$G$2:$G$1000,B352,DB_All!$L$2:$L$1000,"بانتظار سندات الاستلام \ شهادة الإنجاز"))</f>
        <v/>
      </c>
      <c r="Q352" t="str">
        <f>IF(B352="","",COUNTIFS(DB_All!$G$2:$G$1000,B352,DB_All!$L$2:$L$1000,"بانتظار سندات الاستلام \ شهادة الإنجاز"))</f>
        <v/>
      </c>
      <c r="R352" t="str">
        <f t="shared" si="17"/>
        <v/>
      </c>
    </row>
    <row r="353" spans="6:18" x14ac:dyDescent="0.3">
      <c r="F353" t="str">
        <f>IF(B353="","",SUMIFS(DB_All!$M$2:$M$1000,DB_All!$G$2:$G$1000,B353,DB_All!$L$2:$L$1000,"تحت إجراءات التعاقد"))</f>
        <v/>
      </c>
      <c r="G353" t="str">
        <f>IF(B353="","",COUNTIFS(DB_All!$G$2:$G$1000,B353,DB_All!$L$2:$L$1000,"تحت إجراءات التعاقد"))</f>
        <v/>
      </c>
      <c r="H353" t="str">
        <f>IF(B353="","",SUMIFS(DB_All!$N$2:$N$1000,DB_All!$G$2:$G$1000,B353,DB_All!$L$2:$L$1000,"تم التوقيع"))</f>
        <v/>
      </c>
      <c r="I353" t="str">
        <f>IF(B353="","",COUNTIFS(DB_All!$G$2:$G$1000,B353,DB_All!$L$2:$L$1000,"تم التوقيع"))</f>
        <v/>
      </c>
      <c r="J353">
        <f t="shared" si="15"/>
        <v>0</v>
      </c>
      <c r="K353" t="str">
        <f>IF(B353="","",SUMIFS('المطالبات 2026'!$J:$J,'المطالبات 2026'!$E:$E,B353,'المطالبات 2026'!$I:$I,"مطالبة مرفوعة للمالية") + SUMIFS('المطالبات 2025'!$J:$J,'المطالبات 2025'!$E:$E,B353,'المطالبات 2025'!$I:$I,"مطالبة مرفوعة للمالية"))</f>
        <v/>
      </c>
      <c r="L353" t="str">
        <f>IF(B353="","",COUNTIFS('المطالبات 2026'!$E:$E,B353,'المطالبات 2026'!$I:$I,"مطالبة مرفوعة للمالية") + COUNTIFS('المطالبات 2025'!$E:$E,B353,'المطالبات 2025'!$I:$I,"مطالبة مرفوعة للمالية"))</f>
        <v/>
      </c>
      <c r="M353">
        <f t="shared" si="16"/>
        <v>0</v>
      </c>
      <c r="N353" t="str">
        <f>IF(B353="","",SUMIFS(DB_All!$N$2:$N$1000,DB_All!$G$2:$G$1000,B353,DB_All!$L$2:$L$1000,"تحت إجراءات التوريد"))</f>
        <v/>
      </c>
      <c r="O353" t="str">
        <f>IF(B353="","",COUNTIFS(DB_All!$G$2:$G$1000,B353,DB_All!$L$2:$L$1000,"تحت إجراءات التوريد"))</f>
        <v/>
      </c>
      <c r="P353" t="str">
        <f>IF(B353="","",SUMIFS(DB_All!$N$2:$N$1000,DB_All!$G$2:$G$1000,B353,DB_All!$L$2:$L$1000,"بانتظار سندات الاستلام \ شهادة الإنجاز"))</f>
        <v/>
      </c>
      <c r="Q353" t="str">
        <f>IF(B353="","",COUNTIFS(DB_All!$G$2:$G$1000,B353,DB_All!$L$2:$L$1000,"بانتظار سندات الاستلام \ شهادة الإنجاز"))</f>
        <v/>
      </c>
      <c r="R353" t="str">
        <f t="shared" si="17"/>
        <v/>
      </c>
    </row>
    <row r="354" spans="6:18" x14ac:dyDescent="0.3">
      <c r="F354" t="str">
        <f>IF(B354="","",SUMIFS(DB_All!$M$2:$M$1000,DB_All!$G$2:$G$1000,B354,DB_All!$L$2:$L$1000,"تحت إجراءات التعاقد"))</f>
        <v/>
      </c>
      <c r="G354" t="str">
        <f>IF(B354="","",COUNTIFS(DB_All!$G$2:$G$1000,B354,DB_All!$L$2:$L$1000,"تحت إجراءات التعاقد"))</f>
        <v/>
      </c>
      <c r="H354" t="str">
        <f>IF(B354="","",SUMIFS(DB_All!$N$2:$N$1000,DB_All!$G$2:$G$1000,B354,DB_All!$L$2:$L$1000,"تم التوقيع"))</f>
        <v/>
      </c>
      <c r="I354" t="str">
        <f>IF(B354="","",COUNTIFS(DB_All!$G$2:$G$1000,B354,DB_All!$L$2:$L$1000,"تم التوقيع"))</f>
        <v/>
      </c>
      <c r="J354">
        <f t="shared" si="15"/>
        <v>0</v>
      </c>
      <c r="K354" t="str">
        <f>IF(B354="","",SUMIFS('المطالبات 2026'!$J:$J,'المطالبات 2026'!$E:$E,B354,'المطالبات 2026'!$I:$I,"مطالبة مرفوعة للمالية") + SUMIFS('المطالبات 2025'!$J:$J,'المطالبات 2025'!$E:$E,B354,'المطالبات 2025'!$I:$I,"مطالبة مرفوعة للمالية"))</f>
        <v/>
      </c>
      <c r="L354" t="str">
        <f>IF(B354="","",COUNTIFS('المطالبات 2026'!$E:$E,B354,'المطالبات 2026'!$I:$I,"مطالبة مرفوعة للمالية") + COUNTIFS('المطالبات 2025'!$E:$E,B354,'المطالبات 2025'!$I:$I,"مطالبة مرفوعة للمالية"))</f>
        <v/>
      </c>
      <c r="M354">
        <f t="shared" si="16"/>
        <v>0</v>
      </c>
      <c r="N354" t="str">
        <f>IF(B354="","",SUMIFS(DB_All!$N$2:$N$1000,DB_All!$G$2:$G$1000,B354,DB_All!$L$2:$L$1000,"تحت إجراءات التوريد"))</f>
        <v/>
      </c>
      <c r="O354" t="str">
        <f>IF(B354="","",COUNTIFS(DB_All!$G$2:$G$1000,B354,DB_All!$L$2:$L$1000,"تحت إجراءات التوريد"))</f>
        <v/>
      </c>
      <c r="P354" t="str">
        <f>IF(B354="","",SUMIFS(DB_All!$N$2:$N$1000,DB_All!$G$2:$G$1000,B354,DB_All!$L$2:$L$1000,"بانتظار سندات الاستلام \ شهادة الإنجاز"))</f>
        <v/>
      </c>
      <c r="Q354" t="str">
        <f>IF(B354="","",COUNTIFS(DB_All!$G$2:$G$1000,B354,DB_All!$L$2:$L$1000,"بانتظار سندات الاستلام \ شهادة الإنجاز"))</f>
        <v/>
      </c>
      <c r="R354" t="str">
        <f t="shared" si="17"/>
        <v/>
      </c>
    </row>
    <row r="355" spans="6:18" x14ac:dyDescent="0.3">
      <c r="F355" t="str">
        <f>IF(B355="","",SUMIFS(DB_All!$M$2:$M$1000,DB_All!$G$2:$G$1000,B355,DB_All!$L$2:$L$1000,"تحت إجراءات التعاقد"))</f>
        <v/>
      </c>
      <c r="G355" t="str">
        <f>IF(B355="","",COUNTIFS(DB_All!$G$2:$G$1000,B355,DB_All!$L$2:$L$1000,"تحت إجراءات التعاقد"))</f>
        <v/>
      </c>
      <c r="H355" t="str">
        <f>IF(B355="","",SUMIFS(DB_All!$N$2:$N$1000,DB_All!$G$2:$G$1000,B355,DB_All!$L$2:$L$1000,"تم التوقيع"))</f>
        <v/>
      </c>
      <c r="I355" t="str">
        <f>IF(B355="","",COUNTIFS(DB_All!$G$2:$G$1000,B355,DB_All!$L$2:$L$1000,"تم التوقيع"))</f>
        <v/>
      </c>
      <c r="J355">
        <f t="shared" si="15"/>
        <v>0</v>
      </c>
      <c r="K355" t="str">
        <f>IF(B355="","",SUMIFS('المطالبات 2026'!$J:$J,'المطالبات 2026'!$E:$E,B355,'المطالبات 2026'!$I:$I,"مطالبة مرفوعة للمالية") + SUMIFS('المطالبات 2025'!$J:$J,'المطالبات 2025'!$E:$E,B355,'المطالبات 2025'!$I:$I,"مطالبة مرفوعة للمالية"))</f>
        <v/>
      </c>
      <c r="L355" t="str">
        <f>IF(B355="","",COUNTIFS('المطالبات 2026'!$E:$E,B355,'المطالبات 2026'!$I:$I,"مطالبة مرفوعة للمالية") + COUNTIFS('المطالبات 2025'!$E:$E,B355,'المطالبات 2025'!$I:$I,"مطالبة مرفوعة للمالية"))</f>
        <v/>
      </c>
      <c r="M355">
        <f t="shared" si="16"/>
        <v>0</v>
      </c>
      <c r="N355" t="str">
        <f>IF(B355="","",SUMIFS(DB_All!$N$2:$N$1000,DB_All!$G$2:$G$1000,B355,DB_All!$L$2:$L$1000,"تحت إجراءات التوريد"))</f>
        <v/>
      </c>
      <c r="O355" t="str">
        <f>IF(B355="","",COUNTIFS(DB_All!$G$2:$G$1000,B355,DB_All!$L$2:$L$1000,"تحت إجراءات التوريد"))</f>
        <v/>
      </c>
      <c r="P355" t="str">
        <f>IF(B355="","",SUMIFS(DB_All!$N$2:$N$1000,DB_All!$G$2:$G$1000,B355,DB_All!$L$2:$L$1000,"بانتظار سندات الاستلام \ شهادة الإنجاز"))</f>
        <v/>
      </c>
      <c r="Q355" t="str">
        <f>IF(B355="","",COUNTIFS(DB_All!$G$2:$G$1000,B355,DB_All!$L$2:$L$1000,"بانتظار سندات الاستلام \ شهادة الإنجاز"))</f>
        <v/>
      </c>
      <c r="R355" t="str">
        <f t="shared" si="17"/>
        <v/>
      </c>
    </row>
    <row r="356" spans="6:18" x14ac:dyDescent="0.3">
      <c r="F356" t="str">
        <f>IF(B356="","",SUMIFS(DB_All!$M$2:$M$1000,DB_All!$G$2:$G$1000,B356,DB_All!$L$2:$L$1000,"تحت إجراءات التعاقد"))</f>
        <v/>
      </c>
      <c r="G356" t="str">
        <f>IF(B356="","",COUNTIFS(DB_All!$G$2:$G$1000,B356,DB_All!$L$2:$L$1000,"تحت إجراءات التعاقد"))</f>
        <v/>
      </c>
      <c r="H356" t="str">
        <f>IF(B356="","",SUMIFS(DB_All!$N$2:$N$1000,DB_All!$G$2:$G$1000,B356,DB_All!$L$2:$L$1000,"تم التوقيع"))</f>
        <v/>
      </c>
      <c r="I356" t="str">
        <f>IF(B356="","",COUNTIFS(DB_All!$G$2:$G$1000,B356,DB_All!$L$2:$L$1000,"تم التوقيع"))</f>
        <v/>
      </c>
      <c r="J356">
        <f t="shared" si="15"/>
        <v>0</v>
      </c>
      <c r="K356" t="str">
        <f>IF(B356="","",SUMIFS('المطالبات 2026'!$J:$J,'المطالبات 2026'!$E:$E,B356,'المطالبات 2026'!$I:$I,"مطالبة مرفوعة للمالية") + SUMIFS('المطالبات 2025'!$J:$J,'المطالبات 2025'!$E:$E,B356,'المطالبات 2025'!$I:$I,"مطالبة مرفوعة للمالية"))</f>
        <v/>
      </c>
      <c r="L356" t="str">
        <f>IF(B356="","",COUNTIFS('المطالبات 2026'!$E:$E,B356,'المطالبات 2026'!$I:$I,"مطالبة مرفوعة للمالية") + COUNTIFS('المطالبات 2025'!$E:$E,B356,'المطالبات 2025'!$I:$I,"مطالبة مرفوعة للمالية"))</f>
        <v/>
      </c>
      <c r="M356">
        <f t="shared" si="16"/>
        <v>0</v>
      </c>
      <c r="N356" t="str">
        <f>IF(B356="","",SUMIFS(DB_All!$N$2:$N$1000,DB_All!$G$2:$G$1000,B356,DB_All!$L$2:$L$1000,"تحت إجراءات التوريد"))</f>
        <v/>
      </c>
      <c r="O356" t="str">
        <f>IF(B356="","",COUNTIFS(DB_All!$G$2:$G$1000,B356,DB_All!$L$2:$L$1000,"تحت إجراءات التوريد"))</f>
        <v/>
      </c>
      <c r="P356" t="str">
        <f>IF(B356="","",SUMIFS(DB_All!$N$2:$N$1000,DB_All!$G$2:$G$1000,B356,DB_All!$L$2:$L$1000,"بانتظار سندات الاستلام \ شهادة الإنجاز"))</f>
        <v/>
      </c>
      <c r="Q356" t="str">
        <f>IF(B356="","",COUNTIFS(DB_All!$G$2:$G$1000,B356,DB_All!$L$2:$L$1000,"بانتظار سندات الاستلام \ شهادة الإنجاز"))</f>
        <v/>
      </c>
      <c r="R356" t="str">
        <f t="shared" si="17"/>
        <v/>
      </c>
    </row>
    <row r="357" spans="6:18" x14ac:dyDescent="0.3">
      <c r="F357" t="str">
        <f>IF(B357="","",SUMIFS(DB_All!$M$2:$M$1000,DB_All!$G$2:$G$1000,B357,DB_All!$L$2:$L$1000,"تحت إجراءات التعاقد"))</f>
        <v/>
      </c>
      <c r="G357" t="str">
        <f>IF(B357="","",COUNTIFS(DB_All!$G$2:$G$1000,B357,DB_All!$L$2:$L$1000,"تحت إجراءات التعاقد"))</f>
        <v/>
      </c>
      <c r="H357" t="str">
        <f>IF(B357="","",SUMIFS(DB_All!$N$2:$N$1000,DB_All!$G$2:$G$1000,B357,DB_All!$L$2:$L$1000,"تم التوقيع"))</f>
        <v/>
      </c>
      <c r="I357" t="str">
        <f>IF(B357="","",COUNTIFS(DB_All!$G$2:$G$1000,B357,DB_All!$L$2:$L$1000,"تم التوقيع"))</f>
        <v/>
      </c>
      <c r="J357">
        <f t="shared" si="15"/>
        <v>0</v>
      </c>
      <c r="K357" t="str">
        <f>IF(B357="","",SUMIFS('المطالبات 2026'!$J:$J,'المطالبات 2026'!$E:$E,B357,'المطالبات 2026'!$I:$I,"مطالبة مرفوعة للمالية") + SUMIFS('المطالبات 2025'!$J:$J,'المطالبات 2025'!$E:$E,B357,'المطالبات 2025'!$I:$I,"مطالبة مرفوعة للمالية"))</f>
        <v/>
      </c>
      <c r="L357" t="str">
        <f>IF(B357="","",COUNTIFS('المطالبات 2026'!$E:$E,B357,'المطالبات 2026'!$I:$I,"مطالبة مرفوعة للمالية") + COUNTIFS('المطالبات 2025'!$E:$E,B357,'المطالبات 2025'!$I:$I,"مطالبة مرفوعة للمالية"))</f>
        <v/>
      </c>
      <c r="M357">
        <f t="shared" si="16"/>
        <v>0</v>
      </c>
      <c r="N357" t="str">
        <f>IF(B357="","",SUMIFS(DB_All!$N$2:$N$1000,DB_All!$G$2:$G$1000,B357,DB_All!$L$2:$L$1000,"تحت إجراءات التوريد"))</f>
        <v/>
      </c>
      <c r="O357" t="str">
        <f>IF(B357="","",COUNTIFS(DB_All!$G$2:$G$1000,B357,DB_All!$L$2:$L$1000,"تحت إجراءات التوريد"))</f>
        <v/>
      </c>
      <c r="P357" t="str">
        <f>IF(B357="","",SUMIFS(DB_All!$N$2:$N$1000,DB_All!$G$2:$G$1000,B357,DB_All!$L$2:$L$1000,"بانتظار سندات الاستلام \ شهادة الإنجاز"))</f>
        <v/>
      </c>
      <c r="Q357" t="str">
        <f>IF(B357="","",COUNTIFS(DB_All!$G$2:$G$1000,B357,DB_All!$L$2:$L$1000,"بانتظار سندات الاستلام \ شهادة الإنجاز"))</f>
        <v/>
      </c>
      <c r="R357" t="str">
        <f t="shared" si="17"/>
        <v/>
      </c>
    </row>
    <row r="358" spans="6:18" x14ac:dyDescent="0.3">
      <c r="F358" t="str">
        <f>IF(B358="","",SUMIFS(DB_All!$M$2:$M$1000,DB_All!$G$2:$G$1000,B358,DB_All!$L$2:$L$1000,"تحت إجراءات التعاقد"))</f>
        <v/>
      </c>
      <c r="G358" t="str">
        <f>IF(B358="","",COUNTIFS(DB_All!$G$2:$G$1000,B358,DB_All!$L$2:$L$1000,"تحت إجراءات التعاقد"))</f>
        <v/>
      </c>
      <c r="H358" t="str">
        <f>IF(B358="","",SUMIFS(DB_All!$N$2:$N$1000,DB_All!$G$2:$G$1000,B358,DB_All!$L$2:$L$1000,"تم التوقيع"))</f>
        <v/>
      </c>
      <c r="I358" t="str">
        <f>IF(B358="","",COUNTIFS(DB_All!$G$2:$G$1000,B358,DB_All!$L$2:$L$1000,"تم التوقيع"))</f>
        <v/>
      </c>
      <c r="J358">
        <f t="shared" si="15"/>
        <v>0</v>
      </c>
      <c r="K358" t="str">
        <f>IF(B358="","",SUMIFS('المطالبات 2026'!$J:$J,'المطالبات 2026'!$E:$E,B358,'المطالبات 2026'!$I:$I,"مطالبة مرفوعة للمالية") + SUMIFS('المطالبات 2025'!$J:$J,'المطالبات 2025'!$E:$E,B358,'المطالبات 2025'!$I:$I,"مطالبة مرفوعة للمالية"))</f>
        <v/>
      </c>
      <c r="L358" t="str">
        <f>IF(B358="","",COUNTIFS('المطالبات 2026'!$E:$E,B358,'المطالبات 2026'!$I:$I,"مطالبة مرفوعة للمالية") + COUNTIFS('المطالبات 2025'!$E:$E,B358,'المطالبات 2025'!$I:$I,"مطالبة مرفوعة للمالية"))</f>
        <v/>
      </c>
      <c r="M358">
        <f t="shared" si="16"/>
        <v>0</v>
      </c>
      <c r="N358" t="str">
        <f>IF(B358="","",SUMIFS(DB_All!$N$2:$N$1000,DB_All!$G$2:$G$1000,B358,DB_All!$L$2:$L$1000,"تحت إجراءات التوريد"))</f>
        <v/>
      </c>
      <c r="O358" t="str">
        <f>IF(B358="","",COUNTIFS(DB_All!$G$2:$G$1000,B358,DB_All!$L$2:$L$1000,"تحت إجراءات التوريد"))</f>
        <v/>
      </c>
      <c r="P358" t="str">
        <f>IF(B358="","",SUMIFS(DB_All!$N$2:$N$1000,DB_All!$G$2:$G$1000,B358,DB_All!$L$2:$L$1000,"بانتظار سندات الاستلام \ شهادة الإنجاز"))</f>
        <v/>
      </c>
      <c r="Q358" t="str">
        <f>IF(B358="","",COUNTIFS(DB_All!$G$2:$G$1000,B358,DB_All!$L$2:$L$1000,"بانتظار سندات الاستلام \ شهادة الإنجاز"))</f>
        <v/>
      </c>
      <c r="R358" t="str">
        <f t="shared" si="17"/>
        <v/>
      </c>
    </row>
    <row r="359" spans="6:18" x14ac:dyDescent="0.3">
      <c r="F359" t="str">
        <f>IF(B359="","",SUMIFS(DB_All!$M$2:$M$1000,DB_All!$G$2:$G$1000,B359,DB_All!$L$2:$L$1000,"تحت إجراءات التعاقد"))</f>
        <v/>
      </c>
      <c r="G359" t="str">
        <f>IF(B359="","",COUNTIFS(DB_All!$G$2:$G$1000,B359,DB_All!$L$2:$L$1000,"تحت إجراءات التعاقد"))</f>
        <v/>
      </c>
      <c r="H359" t="str">
        <f>IF(B359="","",SUMIFS(DB_All!$N$2:$N$1000,DB_All!$G$2:$G$1000,B359,DB_All!$L$2:$L$1000,"تم التوقيع"))</f>
        <v/>
      </c>
      <c r="I359" t="str">
        <f>IF(B359="","",COUNTIFS(DB_All!$G$2:$G$1000,B359,DB_All!$L$2:$L$1000,"تم التوقيع"))</f>
        <v/>
      </c>
      <c r="J359">
        <f t="shared" si="15"/>
        <v>0</v>
      </c>
      <c r="K359" t="str">
        <f>IF(B359="","",SUMIFS('المطالبات 2026'!$J:$J,'المطالبات 2026'!$E:$E,B359,'المطالبات 2026'!$I:$I,"مطالبة مرفوعة للمالية") + SUMIFS('المطالبات 2025'!$J:$J,'المطالبات 2025'!$E:$E,B359,'المطالبات 2025'!$I:$I,"مطالبة مرفوعة للمالية"))</f>
        <v/>
      </c>
      <c r="L359" t="str">
        <f>IF(B359="","",COUNTIFS('المطالبات 2026'!$E:$E,B359,'المطالبات 2026'!$I:$I,"مطالبة مرفوعة للمالية") + COUNTIFS('المطالبات 2025'!$E:$E,B359,'المطالبات 2025'!$I:$I,"مطالبة مرفوعة للمالية"))</f>
        <v/>
      </c>
      <c r="M359">
        <f t="shared" si="16"/>
        <v>0</v>
      </c>
      <c r="N359" t="str">
        <f>IF(B359="","",SUMIFS(DB_All!$N$2:$N$1000,DB_All!$G$2:$G$1000,B359,DB_All!$L$2:$L$1000,"تحت إجراءات التوريد"))</f>
        <v/>
      </c>
      <c r="O359" t="str">
        <f>IF(B359="","",COUNTIFS(DB_All!$G$2:$G$1000,B359,DB_All!$L$2:$L$1000,"تحت إجراءات التوريد"))</f>
        <v/>
      </c>
      <c r="P359" t="str">
        <f>IF(B359="","",SUMIFS(DB_All!$N$2:$N$1000,DB_All!$G$2:$G$1000,B359,DB_All!$L$2:$L$1000,"بانتظار سندات الاستلام \ شهادة الإنجاز"))</f>
        <v/>
      </c>
      <c r="Q359" t="str">
        <f>IF(B359="","",COUNTIFS(DB_All!$G$2:$G$1000,B359,DB_All!$L$2:$L$1000,"بانتظار سندات الاستلام \ شهادة الإنجاز"))</f>
        <v/>
      </c>
      <c r="R359" t="str">
        <f t="shared" si="17"/>
        <v/>
      </c>
    </row>
    <row r="360" spans="6:18" x14ac:dyDescent="0.3">
      <c r="F360" t="str">
        <f>IF(B360="","",SUMIFS(DB_All!$M$2:$M$1000,DB_All!$G$2:$G$1000,B360,DB_All!$L$2:$L$1000,"تحت إجراءات التعاقد"))</f>
        <v/>
      </c>
      <c r="G360" t="str">
        <f>IF(B360="","",COUNTIFS(DB_All!$G$2:$G$1000,B360,DB_All!$L$2:$L$1000,"تحت إجراءات التعاقد"))</f>
        <v/>
      </c>
      <c r="H360" t="str">
        <f>IF(B360="","",SUMIFS(DB_All!$N$2:$N$1000,DB_All!$G$2:$G$1000,B360,DB_All!$L$2:$L$1000,"تم التوقيع"))</f>
        <v/>
      </c>
      <c r="I360" t="str">
        <f>IF(B360="","",COUNTIFS(DB_All!$G$2:$G$1000,B360,DB_All!$L$2:$L$1000,"تم التوقيع"))</f>
        <v/>
      </c>
      <c r="J360">
        <f t="shared" si="15"/>
        <v>0</v>
      </c>
      <c r="K360" t="str">
        <f>IF(B360="","",SUMIFS('المطالبات 2026'!$J:$J,'المطالبات 2026'!$E:$E,B360,'المطالبات 2026'!$I:$I,"مطالبة مرفوعة للمالية") + SUMIFS('المطالبات 2025'!$J:$J,'المطالبات 2025'!$E:$E,B360,'المطالبات 2025'!$I:$I,"مطالبة مرفوعة للمالية"))</f>
        <v/>
      </c>
      <c r="L360" t="str">
        <f>IF(B360="","",COUNTIFS('المطالبات 2026'!$E:$E,B360,'المطالبات 2026'!$I:$I,"مطالبة مرفوعة للمالية") + COUNTIFS('المطالبات 2025'!$E:$E,B360,'المطالبات 2025'!$I:$I,"مطالبة مرفوعة للمالية"))</f>
        <v/>
      </c>
      <c r="M360">
        <f t="shared" si="16"/>
        <v>0</v>
      </c>
      <c r="N360" t="str">
        <f>IF(B360="","",SUMIFS(DB_All!$N$2:$N$1000,DB_All!$G$2:$G$1000,B360,DB_All!$L$2:$L$1000,"تحت إجراءات التوريد"))</f>
        <v/>
      </c>
      <c r="O360" t="str">
        <f>IF(B360="","",COUNTIFS(DB_All!$G$2:$G$1000,B360,DB_All!$L$2:$L$1000,"تحت إجراءات التوريد"))</f>
        <v/>
      </c>
      <c r="P360" t="str">
        <f>IF(B360="","",SUMIFS(DB_All!$N$2:$N$1000,DB_All!$G$2:$G$1000,B360,DB_All!$L$2:$L$1000,"بانتظار سندات الاستلام \ شهادة الإنجاز"))</f>
        <v/>
      </c>
      <c r="Q360" t="str">
        <f>IF(B360="","",COUNTIFS(DB_All!$G$2:$G$1000,B360,DB_All!$L$2:$L$1000,"بانتظار سندات الاستلام \ شهادة الإنجاز"))</f>
        <v/>
      </c>
      <c r="R360" t="str">
        <f t="shared" si="17"/>
        <v/>
      </c>
    </row>
    <row r="361" spans="6:18" x14ac:dyDescent="0.3">
      <c r="F361" t="str">
        <f>IF(B361="","",SUMIFS(DB_All!$M$2:$M$1000,DB_All!$G$2:$G$1000,B361,DB_All!$L$2:$L$1000,"تحت إجراءات التعاقد"))</f>
        <v/>
      </c>
      <c r="G361" t="str">
        <f>IF(B361="","",COUNTIFS(DB_All!$G$2:$G$1000,B361,DB_All!$L$2:$L$1000,"تحت إجراءات التعاقد"))</f>
        <v/>
      </c>
      <c r="H361" t="str">
        <f>IF(B361="","",SUMIFS(DB_All!$N$2:$N$1000,DB_All!$G$2:$G$1000,B361,DB_All!$L$2:$L$1000,"تم التوقيع"))</f>
        <v/>
      </c>
      <c r="I361" t="str">
        <f>IF(B361="","",COUNTIFS(DB_All!$G$2:$G$1000,B361,DB_All!$L$2:$L$1000,"تم التوقيع"))</f>
        <v/>
      </c>
      <c r="J361">
        <f t="shared" si="15"/>
        <v>0</v>
      </c>
      <c r="K361" t="str">
        <f>IF(B361="","",SUMIFS('المطالبات 2026'!$J:$J,'المطالبات 2026'!$E:$E,B361,'المطالبات 2026'!$I:$I,"مطالبة مرفوعة للمالية") + SUMIFS('المطالبات 2025'!$J:$J,'المطالبات 2025'!$E:$E,B361,'المطالبات 2025'!$I:$I,"مطالبة مرفوعة للمالية"))</f>
        <v/>
      </c>
      <c r="L361" t="str">
        <f>IF(B361="","",COUNTIFS('المطالبات 2026'!$E:$E,B361,'المطالبات 2026'!$I:$I,"مطالبة مرفوعة للمالية") + COUNTIFS('المطالبات 2025'!$E:$E,B361,'المطالبات 2025'!$I:$I,"مطالبة مرفوعة للمالية"))</f>
        <v/>
      </c>
      <c r="M361">
        <f t="shared" si="16"/>
        <v>0</v>
      </c>
      <c r="N361" t="str">
        <f>IF(B361="","",SUMIFS(DB_All!$N$2:$N$1000,DB_All!$G$2:$G$1000,B361,DB_All!$L$2:$L$1000,"تحت إجراءات التوريد"))</f>
        <v/>
      </c>
      <c r="O361" t="str">
        <f>IF(B361="","",COUNTIFS(DB_All!$G$2:$G$1000,B361,DB_All!$L$2:$L$1000,"تحت إجراءات التوريد"))</f>
        <v/>
      </c>
      <c r="P361" t="str">
        <f>IF(B361="","",SUMIFS(DB_All!$N$2:$N$1000,DB_All!$G$2:$G$1000,B361,DB_All!$L$2:$L$1000,"بانتظار سندات الاستلام \ شهادة الإنجاز"))</f>
        <v/>
      </c>
      <c r="Q361" t="str">
        <f>IF(B361="","",COUNTIFS(DB_All!$G$2:$G$1000,B361,DB_All!$L$2:$L$1000,"بانتظار سندات الاستلام \ شهادة الإنجاز"))</f>
        <v/>
      </c>
      <c r="R361" t="str">
        <f t="shared" si="17"/>
        <v/>
      </c>
    </row>
    <row r="362" spans="6:18" x14ac:dyDescent="0.3">
      <c r="F362" t="str">
        <f>IF(B362="","",SUMIFS(DB_All!$M$2:$M$1000,DB_All!$G$2:$G$1000,B362,DB_All!$L$2:$L$1000,"تحت إجراءات التعاقد"))</f>
        <v/>
      </c>
      <c r="G362" t="str">
        <f>IF(B362="","",COUNTIFS(DB_All!$G$2:$G$1000,B362,DB_All!$L$2:$L$1000,"تحت إجراءات التعاقد"))</f>
        <v/>
      </c>
      <c r="H362" t="str">
        <f>IF(B362="","",SUMIFS(DB_All!$N$2:$N$1000,DB_All!$G$2:$G$1000,B362,DB_All!$L$2:$L$1000,"تم التوقيع"))</f>
        <v/>
      </c>
      <c r="I362" t="str">
        <f>IF(B362="","",COUNTIFS(DB_All!$G$2:$G$1000,B362,DB_All!$L$2:$L$1000,"تم التوقيع"))</f>
        <v/>
      </c>
      <c r="J362">
        <f t="shared" si="15"/>
        <v>0</v>
      </c>
      <c r="K362" t="str">
        <f>IF(B362="","",SUMIFS('المطالبات 2026'!$J:$J,'المطالبات 2026'!$E:$E,B362,'المطالبات 2026'!$I:$I,"مطالبة مرفوعة للمالية") + SUMIFS('المطالبات 2025'!$J:$J,'المطالبات 2025'!$E:$E,B362,'المطالبات 2025'!$I:$I,"مطالبة مرفوعة للمالية"))</f>
        <v/>
      </c>
      <c r="L362" t="str">
        <f>IF(B362="","",COUNTIFS('المطالبات 2026'!$E:$E,B362,'المطالبات 2026'!$I:$I,"مطالبة مرفوعة للمالية") + COUNTIFS('المطالبات 2025'!$E:$E,B362,'المطالبات 2025'!$I:$I,"مطالبة مرفوعة للمالية"))</f>
        <v/>
      </c>
      <c r="M362">
        <f t="shared" si="16"/>
        <v>0</v>
      </c>
      <c r="N362" t="str">
        <f>IF(B362="","",SUMIFS(DB_All!$N$2:$N$1000,DB_All!$G$2:$G$1000,B362,DB_All!$L$2:$L$1000,"تحت إجراءات التوريد"))</f>
        <v/>
      </c>
      <c r="O362" t="str">
        <f>IF(B362="","",COUNTIFS(DB_All!$G$2:$G$1000,B362,DB_All!$L$2:$L$1000,"تحت إجراءات التوريد"))</f>
        <v/>
      </c>
      <c r="P362" t="str">
        <f>IF(B362="","",SUMIFS(DB_All!$N$2:$N$1000,DB_All!$G$2:$G$1000,B362,DB_All!$L$2:$L$1000,"بانتظار سندات الاستلام \ شهادة الإنجاز"))</f>
        <v/>
      </c>
      <c r="Q362" t="str">
        <f>IF(B362="","",COUNTIFS(DB_All!$G$2:$G$1000,B362,DB_All!$L$2:$L$1000,"بانتظار سندات الاستلام \ شهادة الإنجاز"))</f>
        <v/>
      </c>
      <c r="R362" t="str">
        <f t="shared" si="17"/>
        <v/>
      </c>
    </row>
    <row r="363" spans="6:18" x14ac:dyDescent="0.3">
      <c r="F363" t="str">
        <f>IF(B363="","",SUMIFS(DB_All!$M$2:$M$1000,DB_All!$G$2:$G$1000,B363,DB_All!$L$2:$L$1000,"تحت إجراءات التعاقد"))</f>
        <v/>
      </c>
      <c r="G363" t="str">
        <f>IF(B363="","",COUNTIFS(DB_All!$G$2:$G$1000,B363,DB_All!$L$2:$L$1000,"تحت إجراءات التعاقد"))</f>
        <v/>
      </c>
      <c r="H363" t="str">
        <f>IF(B363="","",SUMIFS(DB_All!$N$2:$N$1000,DB_All!$G$2:$G$1000,B363,DB_All!$L$2:$L$1000,"تم التوقيع"))</f>
        <v/>
      </c>
      <c r="I363" t="str">
        <f>IF(B363="","",COUNTIFS(DB_All!$G$2:$G$1000,B363,DB_All!$L$2:$L$1000,"تم التوقيع"))</f>
        <v/>
      </c>
      <c r="J363">
        <f t="shared" si="15"/>
        <v>0</v>
      </c>
      <c r="K363" t="str">
        <f>IF(B363="","",SUMIFS('المطالبات 2026'!$J:$J,'المطالبات 2026'!$E:$E,B363,'المطالبات 2026'!$I:$I,"مطالبة مرفوعة للمالية") + SUMIFS('المطالبات 2025'!$J:$J,'المطالبات 2025'!$E:$E,B363,'المطالبات 2025'!$I:$I,"مطالبة مرفوعة للمالية"))</f>
        <v/>
      </c>
      <c r="L363" t="str">
        <f>IF(B363="","",COUNTIFS('المطالبات 2026'!$E:$E,B363,'المطالبات 2026'!$I:$I,"مطالبة مرفوعة للمالية") + COUNTIFS('المطالبات 2025'!$E:$E,B363,'المطالبات 2025'!$I:$I,"مطالبة مرفوعة للمالية"))</f>
        <v/>
      </c>
      <c r="M363">
        <f t="shared" si="16"/>
        <v>0</v>
      </c>
      <c r="N363" t="str">
        <f>IF(B363="","",SUMIFS(DB_All!$N$2:$N$1000,DB_All!$G$2:$G$1000,B363,DB_All!$L$2:$L$1000,"تحت إجراءات التوريد"))</f>
        <v/>
      </c>
      <c r="O363" t="str">
        <f>IF(B363="","",COUNTIFS(DB_All!$G$2:$G$1000,B363,DB_All!$L$2:$L$1000,"تحت إجراءات التوريد"))</f>
        <v/>
      </c>
      <c r="P363" t="str">
        <f>IF(B363="","",SUMIFS(DB_All!$N$2:$N$1000,DB_All!$G$2:$G$1000,B363,DB_All!$L$2:$L$1000,"بانتظار سندات الاستلام \ شهادة الإنجاز"))</f>
        <v/>
      </c>
      <c r="Q363" t="str">
        <f>IF(B363="","",COUNTIFS(DB_All!$G$2:$G$1000,B363,DB_All!$L$2:$L$1000,"بانتظار سندات الاستلام \ شهادة الإنجاز"))</f>
        <v/>
      </c>
      <c r="R363" t="str">
        <f t="shared" si="17"/>
        <v/>
      </c>
    </row>
    <row r="364" spans="6:18" x14ac:dyDescent="0.3">
      <c r="F364" t="str">
        <f>IF(B364="","",SUMIFS(DB_All!$M$2:$M$1000,DB_All!$G$2:$G$1000,B364,DB_All!$L$2:$L$1000,"تحت إجراءات التعاقد"))</f>
        <v/>
      </c>
      <c r="G364" t="str">
        <f>IF(B364="","",COUNTIFS(DB_All!$G$2:$G$1000,B364,DB_All!$L$2:$L$1000,"تحت إجراءات التعاقد"))</f>
        <v/>
      </c>
      <c r="H364" t="str">
        <f>IF(B364="","",SUMIFS(DB_All!$N$2:$N$1000,DB_All!$G$2:$G$1000,B364,DB_All!$L$2:$L$1000,"تم التوقيع"))</f>
        <v/>
      </c>
      <c r="I364" t="str">
        <f>IF(B364="","",COUNTIFS(DB_All!$G$2:$G$1000,B364,DB_All!$L$2:$L$1000,"تم التوقيع"))</f>
        <v/>
      </c>
      <c r="J364">
        <f t="shared" si="15"/>
        <v>0</v>
      </c>
      <c r="K364" t="str">
        <f>IF(B364="","",SUMIFS('المطالبات 2026'!$J:$J,'المطالبات 2026'!$E:$E,B364,'المطالبات 2026'!$I:$I,"مطالبة مرفوعة للمالية") + SUMIFS('المطالبات 2025'!$J:$J,'المطالبات 2025'!$E:$E,B364,'المطالبات 2025'!$I:$I,"مطالبة مرفوعة للمالية"))</f>
        <v/>
      </c>
      <c r="L364" t="str">
        <f>IF(B364="","",COUNTIFS('المطالبات 2026'!$E:$E,B364,'المطالبات 2026'!$I:$I,"مطالبة مرفوعة للمالية") + COUNTIFS('المطالبات 2025'!$E:$E,B364,'المطالبات 2025'!$I:$I,"مطالبة مرفوعة للمالية"))</f>
        <v/>
      </c>
      <c r="M364">
        <f t="shared" si="16"/>
        <v>0</v>
      </c>
      <c r="N364" t="str">
        <f>IF(B364="","",SUMIFS(DB_All!$N$2:$N$1000,DB_All!$G$2:$G$1000,B364,DB_All!$L$2:$L$1000,"تحت إجراءات التوريد"))</f>
        <v/>
      </c>
      <c r="O364" t="str">
        <f>IF(B364="","",COUNTIFS(DB_All!$G$2:$G$1000,B364,DB_All!$L$2:$L$1000,"تحت إجراءات التوريد"))</f>
        <v/>
      </c>
      <c r="P364" t="str">
        <f>IF(B364="","",SUMIFS(DB_All!$N$2:$N$1000,DB_All!$G$2:$G$1000,B364,DB_All!$L$2:$L$1000,"بانتظار سندات الاستلام \ شهادة الإنجاز"))</f>
        <v/>
      </c>
      <c r="Q364" t="str">
        <f>IF(B364="","",COUNTIFS(DB_All!$G$2:$G$1000,B364,DB_All!$L$2:$L$1000,"بانتظار سندات الاستلام \ شهادة الإنجاز"))</f>
        <v/>
      </c>
      <c r="R364" t="str">
        <f t="shared" si="17"/>
        <v/>
      </c>
    </row>
    <row r="365" spans="6:18" x14ac:dyDescent="0.3">
      <c r="F365" t="str">
        <f>IF(B365="","",SUMIFS(DB_All!$M$2:$M$1000,DB_All!$G$2:$G$1000,B365,DB_All!$L$2:$L$1000,"تحت إجراءات التعاقد"))</f>
        <v/>
      </c>
      <c r="G365" t="str">
        <f>IF(B365="","",COUNTIFS(DB_All!$G$2:$G$1000,B365,DB_All!$L$2:$L$1000,"تحت إجراءات التعاقد"))</f>
        <v/>
      </c>
      <c r="H365" t="str">
        <f>IF(B365="","",SUMIFS(DB_All!$N$2:$N$1000,DB_All!$G$2:$G$1000,B365,DB_All!$L$2:$L$1000,"تم التوقيع"))</f>
        <v/>
      </c>
      <c r="I365" t="str">
        <f>IF(B365="","",COUNTIFS(DB_All!$G$2:$G$1000,B365,DB_All!$L$2:$L$1000,"تم التوقيع"))</f>
        <v/>
      </c>
      <c r="J365">
        <f t="shared" si="15"/>
        <v>0</v>
      </c>
      <c r="K365" t="str">
        <f>IF(B365="","",SUMIFS('المطالبات 2026'!$J:$J,'المطالبات 2026'!$E:$E,B365,'المطالبات 2026'!$I:$I,"مطالبة مرفوعة للمالية") + SUMIFS('المطالبات 2025'!$J:$J,'المطالبات 2025'!$E:$E,B365,'المطالبات 2025'!$I:$I,"مطالبة مرفوعة للمالية"))</f>
        <v/>
      </c>
      <c r="L365" t="str">
        <f>IF(B365="","",COUNTIFS('المطالبات 2026'!$E:$E,B365,'المطالبات 2026'!$I:$I,"مطالبة مرفوعة للمالية") + COUNTIFS('المطالبات 2025'!$E:$E,B365,'المطالبات 2025'!$I:$I,"مطالبة مرفوعة للمالية"))</f>
        <v/>
      </c>
      <c r="M365">
        <f t="shared" si="16"/>
        <v>0</v>
      </c>
      <c r="N365" t="str">
        <f>IF(B365="","",SUMIFS(DB_All!$N$2:$N$1000,DB_All!$G$2:$G$1000,B365,DB_All!$L$2:$L$1000,"تحت إجراءات التوريد"))</f>
        <v/>
      </c>
      <c r="O365" t="str">
        <f>IF(B365="","",COUNTIFS(DB_All!$G$2:$G$1000,B365,DB_All!$L$2:$L$1000,"تحت إجراءات التوريد"))</f>
        <v/>
      </c>
      <c r="P365" t="str">
        <f>IF(B365="","",SUMIFS(DB_All!$N$2:$N$1000,DB_All!$G$2:$G$1000,B365,DB_All!$L$2:$L$1000,"بانتظار سندات الاستلام \ شهادة الإنجاز"))</f>
        <v/>
      </c>
      <c r="Q365" t="str">
        <f>IF(B365="","",COUNTIFS(DB_All!$G$2:$G$1000,B365,DB_All!$L$2:$L$1000,"بانتظار سندات الاستلام \ شهادة الإنجاز"))</f>
        <v/>
      </c>
      <c r="R365" t="str">
        <f t="shared" si="17"/>
        <v/>
      </c>
    </row>
    <row r="366" spans="6:18" x14ac:dyDescent="0.3">
      <c r="F366" t="str">
        <f>IF(B366="","",SUMIFS(DB_All!$M$2:$M$1000,DB_All!$G$2:$G$1000,B366,DB_All!$L$2:$L$1000,"تحت إجراءات التعاقد"))</f>
        <v/>
      </c>
      <c r="G366" t="str">
        <f>IF(B366="","",COUNTIFS(DB_All!$G$2:$G$1000,B366,DB_All!$L$2:$L$1000,"تحت إجراءات التعاقد"))</f>
        <v/>
      </c>
      <c r="H366" t="str">
        <f>IF(B366="","",SUMIFS(DB_All!$N$2:$N$1000,DB_All!$G$2:$G$1000,B366,DB_All!$L$2:$L$1000,"تم التوقيع"))</f>
        <v/>
      </c>
      <c r="I366" t="str">
        <f>IF(B366="","",COUNTIFS(DB_All!$G$2:$G$1000,B366,DB_All!$L$2:$L$1000,"تم التوقيع"))</f>
        <v/>
      </c>
      <c r="J366">
        <f t="shared" si="15"/>
        <v>0</v>
      </c>
      <c r="K366" t="str">
        <f>IF(B366="","",SUMIFS('المطالبات 2026'!$J:$J,'المطالبات 2026'!$E:$E,B366,'المطالبات 2026'!$I:$I,"مطالبة مرفوعة للمالية") + SUMIFS('المطالبات 2025'!$J:$J,'المطالبات 2025'!$E:$E,B366,'المطالبات 2025'!$I:$I,"مطالبة مرفوعة للمالية"))</f>
        <v/>
      </c>
      <c r="L366" t="str">
        <f>IF(B366="","",COUNTIFS('المطالبات 2026'!$E:$E,B366,'المطالبات 2026'!$I:$I,"مطالبة مرفوعة للمالية") + COUNTIFS('المطالبات 2025'!$E:$E,B366,'المطالبات 2025'!$I:$I,"مطالبة مرفوعة للمالية"))</f>
        <v/>
      </c>
      <c r="M366">
        <f t="shared" si="16"/>
        <v>0</v>
      </c>
      <c r="N366" t="str">
        <f>IF(B366="","",SUMIFS(DB_All!$N$2:$N$1000,DB_All!$G$2:$G$1000,B366,DB_All!$L$2:$L$1000,"تحت إجراءات التوريد"))</f>
        <v/>
      </c>
      <c r="O366" t="str">
        <f>IF(B366="","",COUNTIFS(DB_All!$G$2:$G$1000,B366,DB_All!$L$2:$L$1000,"تحت إجراءات التوريد"))</f>
        <v/>
      </c>
      <c r="P366" t="str">
        <f>IF(B366="","",SUMIFS(DB_All!$N$2:$N$1000,DB_All!$G$2:$G$1000,B366,DB_All!$L$2:$L$1000,"بانتظار سندات الاستلام \ شهادة الإنجاز"))</f>
        <v/>
      </c>
      <c r="Q366" t="str">
        <f>IF(B366="","",COUNTIFS(DB_All!$G$2:$G$1000,B366,DB_All!$L$2:$L$1000,"بانتظار سندات الاستلام \ شهادة الإنجاز"))</f>
        <v/>
      </c>
      <c r="R366" t="str">
        <f t="shared" si="17"/>
        <v/>
      </c>
    </row>
    <row r="367" spans="6:18" x14ac:dyDescent="0.3">
      <c r="F367" t="str">
        <f>IF(B367="","",SUMIFS(DB_All!$M$2:$M$1000,DB_All!$G$2:$G$1000,B367,DB_All!$L$2:$L$1000,"تحت إجراءات التعاقد"))</f>
        <v/>
      </c>
      <c r="G367" t="str">
        <f>IF(B367="","",COUNTIFS(DB_All!$G$2:$G$1000,B367,DB_All!$L$2:$L$1000,"تحت إجراءات التعاقد"))</f>
        <v/>
      </c>
      <c r="H367" t="str">
        <f>IF(B367="","",SUMIFS(DB_All!$N$2:$N$1000,DB_All!$G$2:$G$1000,B367,DB_All!$L$2:$L$1000,"تم التوقيع"))</f>
        <v/>
      </c>
      <c r="I367" t="str">
        <f>IF(B367="","",COUNTIFS(DB_All!$G$2:$G$1000,B367,DB_All!$L$2:$L$1000,"تم التوقيع"))</f>
        <v/>
      </c>
      <c r="J367">
        <f t="shared" si="15"/>
        <v>0</v>
      </c>
      <c r="K367" t="str">
        <f>IF(B367="","",SUMIFS('المطالبات 2026'!$J:$J,'المطالبات 2026'!$E:$E,B367,'المطالبات 2026'!$I:$I,"مطالبة مرفوعة للمالية") + SUMIFS('المطالبات 2025'!$J:$J,'المطالبات 2025'!$E:$E,B367,'المطالبات 2025'!$I:$I,"مطالبة مرفوعة للمالية"))</f>
        <v/>
      </c>
      <c r="L367" t="str">
        <f>IF(B367="","",COUNTIFS('المطالبات 2026'!$E:$E,B367,'المطالبات 2026'!$I:$I,"مطالبة مرفوعة للمالية") + COUNTIFS('المطالبات 2025'!$E:$E,B367,'المطالبات 2025'!$I:$I,"مطالبة مرفوعة للمالية"))</f>
        <v/>
      </c>
      <c r="M367">
        <f t="shared" si="16"/>
        <v>0</v>
      </c>
      <c r="N367" t="str">
        <f>IF(B367="","",SUMIFS(DB_All!$N$2:$N$1000,DB_All!$G$2:$G$1000,B367,DB_All!$L$2:$L$1000,"تحت إجراءات التوريد"))</f>
        <v/>
      </c>
      <c r="O367" t="str">
        <f>IF(B367="","",COUNTIFS(DB_All!$G$2:$G$1000,B367,DB_All!$L$2:$L$1000,"تحت إجراءات التوريد"))</f>
        <v/>
      </c>
      <c r="P367" t="str">
        <f>IF(B367="","",SUMIFS(DB_All!$N$2:$N$1000,DB_All!$G$2:$G$1000,B367,DB_All!$L$2:$L$1000,"بانتظار سندات الاستلام \ شهادة الإنجاز"))</f>
        <v/>
      </c>
      <c r="Q367" t="str">
        <f>IF(B367="","",COUNTIFS(DB_All!$G$2:$G$1000,B367,DB_All!$L$2:$L$1000,"بانتظار سندات الاستلام \ شهادة الإنجاز"))</f>
        <v/>
      </c>
      <c r="R367" t="str">
        <f t="shared" si="17"/>
        <v/>
      </c>
    </row>
    <row r="368" spans="6:18" x14ac:dyDescent="0.3">
      <c r="F368" t="str">
        <f>IF(B368="","",SUMIFS(DB_All!$M$2:$M$1000,DB_All!$G$2:$G$1000,B368,DB_All!$L$2:$L$1000,"تحت إجراءات التعاقد"))</f>
        <v/>
      </c>
      <c r="G368" t="str">
        <f>IF(B368="","",COUNTIFS(DB_All!$G$2:$G$1000,B368,DB_All!$L$2:$L$1000,"تحت إجراءات التعاقد"))</f>
        <v/>
      </c>
      <c r="H368" t="str">
        <f>IF(B368="","",SUMIFS(DB_All!$N$2:$N$1000,DB_All!$G$2:$G$1000,B368,DB_All!$L$2:$L$1000,"تم التوقيع"))</f>
        <v/>
      </c>
      <c r="I368" t="str">
        <f>IF(B368="","",COUNTIFS(DB_All!$G$2:$G$1000,B368,DB_All!$L$2:$L$1000,"تم التوقيع"))</f>
        <v/>
      </c>
      <c r="J368">
        <f t="shared" si="15"/>
        <v>0</v>
      </c>
      <c r="K368" t="str">
        <f>IF(B368="","",SUMIFS('المطالبات 2026'!$J:$J,'المطالبات 2026'!$E:$E,B368,'المطالبات 2026'!$I:$I,"مطالبة مرفوعة للمالية") + SUMIFS('المطالبات 2025'!$J:$J,'المطالبات 2025'!$E:$E,B368,'المطالبات 2025'!$I:$I,"مطالبة مرفوعة للمالية"))</f>
        <v/>
      </c>
      <c r="L368" t="str">
        <f>IF(B368="","",COUNTIFS('المطالبات 2026'!$E:$E,B368,'المطالبات 2026'!$I:$I,"مطالبة مرفوعة للمالية") + COUNTIFS('المطالبات 2025'!$E:$E,B368,'المطالبات 2025'!$I:$I,"مطالبة مرفوعة للمالية"))</f>
        <v/>
      </c>
      <c r="M368">
        <f t="shared" si="16"/>
        <v>0</v>
      </c>
      <c r="N368" t="str">
        <f>IF(B368="","",SUMIFS(DB_All!$N$2:$N$1000,DB_All!$G$2:$G$1000,B368,DB_All!$L$2:$L$1000,"تحت إجراءات التوريد"))</f>
        <v/>
      </c>
      <c r="O368" t="str">
        <f>IF(B368="","",COUNTIFS(DB_All!$G$2:$G$1000,B368,DB_All!$L$2:$L$1000,"تحت إجراءات التوريد"))</f>
        <v/>
      </c>
      <c r="P368" t="str">
        <f>IF(B368="","",SUMIFS(DB_All!$N$2:$N$1000,DB_All!$G$2:$G$1000,B368,DB_All!$L$2:$L$1000,"بانتظار سندات الاستلام \ شهادة الإنجاز"))</f>
        <v/>
      </c>
      <c r="Q368" t="str">
        <f>IF(B368="","",COUNTIFS(DB_All!$G$2:$G$1000,B368,DB_All!$L$2:$L$1000,"بانتظار سندات الاستلام \ شهادة الإنجاز"))</f>
        <v/>
      </c>
      <c r="R368" t="str">
        <f t="shared" si="17"/>
        <v/>
      </c>
    </row>
    <row r="369" spans="6:18" x14ac:dyDescent="0.3">
      <c r="F369" t="str">
        <f>IF(B369="","",SUMIFS(DB_All!$M$2:$M$1000,DB_All!$G$2:$G$1000,B369,DB_All!$L$2:$L$1000,"تحت إجراءات التعاقد"))</f>
        <v/>
      </c>
      <c r="G369" t="str">
        <f>IF(B369="","",COUNTIFS(DB_All!$G$2:$G$1000,B369,DB_All!$L$2:$L$1000,"تحت إجراءات التعاقد"))</f>
        <v/>
      </c>
      <c r="H369" t="str">
        <f>IF(B369="","",SUMIFS(DB_All!$N$2:$N$1000,DB_All!$G$2:$G$1000,B369,DB_All!$L$2:$L$1000,"تم التوقيع"))</f>
        <v/>
      </c>
      <c r="I369" t="str">
        <f>IF(B369="","",COUNTIFS(DB_All!$G$2:$G$1000,B369,DB_All!$L$2:$L$1000,"تم التوقيع"))</f>
        <v/>
      </c>
      <c r="J369">
        <f t="shared" si="15"/>
        <v>0</v>
      </c>
      <c r="K369" t="str">
        <f>IF(B369="","",SUMIFS('المطالبات 2026'!$J:$J,'المطالبات 2026'!$E:$E,B369,'المطالبات 2026'!$I:$I,"مطالبة مرفوعة للمالية") + SUMIFS('المطالبات 2025'!$J:$J,'المطالبات 2025'!$E:$E,B369,'المطالبات 2025'!$I:$I,"مطالبة مرفوعة للمالية"))</f>
        <v/>
      </c>
      <c r="L369" t="str">
        <f>IF(B369="","",COUNTIFS('المطالبات 2026'!$E:$E,B369,'المطالبات 2026'!$I:$I,"مطالبة مرفوعة للمالية") + COUNTIFS('المطالبات 2025'!$E:$E,B369,'المطالبات 2025'!$I:$I,"مطالبة مرفوعة للمالية"))</f>
        <v/>
      </c>
      <c r="M369">
        <f t="shared" si="16"/>
        <v>0</v>
      </c>
      <c r="N369" t="str">
        <f>IF(B369="","",SUMIFS(DB_All!$N$2:$N$1000,DB_All!$G$2:$G$1000,B369,DB_All!$L$2:$L$1000,"تحت إجراءات التوريد"))</f>
        <v/>
      </c>
      <c r="O369" t="str">
        <f>IF(B369="","",COUNTIFS(DB_All!$G$2:$G$1000,B369,DB_All!$L$2:$L$1000,"تحت إجراءات التوريد"))</f>
        <v/>
      </c>
      <c r="P369" t="str">
        <f>IF(B369="","",SUMIFS(DB_All!$N$2:$N$1000,DB_All!$G$2:$G$1000,B369,DB_All!$L$2:$L$1000,"بانتظار سندات الاستلام \ شهادة الإنجاز"))</f>
        <v/>
      </c>
      <c r="Q369" t="str">
        <f>IF(B369="","",COUNTIFS(DB_All!$G$2:$G$1000,B369,DB_All!$L$2:$L$1000,"بانتظار سندات الاستلام \ شهادة الإنجاز"))</f>
        <v/>
      </c>
      <c r="R369" t="str">
        <f t="shared" si="17"/>
        <v/>
      </c>
    </row>
    <row r="370" spans="6:18" x14ac:dyDescent="0.3">
      <c r="F370" t="str">
        <f>IF(B370="","",SUMIFS(DB_All!$M$2:$M$1000,DB_All!$G$2:$G$1000,B370,DB_All!$L$2:$L$1000,"تحت إجراءات التعاقد"))</f>
        <v/>
      </c>
      <c r="G370" t="str">
        <f>IF(B370="","",COUNTIFS(DB_All!$G$2:$G$1000,B370,DB_All!$L$2:$L$1000,"تحت إجراءات التعاقد"))</f>
        <v/>
      </c>
      <c r="H370" t="str">
        <f>IF(B370="","",SUMIFS(DB_All!$N$2:$N$1000,DB_All!$G$2:$G$1000,B370,DB_All!$L$2:$L$1000,"تم التوقيع"))</f>
        <v/>
      </c>
      <c r="I370" t="str">
        <f>IF(B370="","",COUNTIFS(DB_All!$G$2:$G$1000,B370,DB_All!$L$2:$L$1000,"تم التوقيع"))</f>
        <v/>
      </c>
      <c r="J370">
        <f t="shared" si="15"/>
        <v>0</v>
      </c>
      <c r="K370" t="str">
        <f>IF(B370="","",SUMIFS('المطالبات 2026'!$J:$J,'المطالبات 2026'!$E:$E,B370,'المطالبات 2026'!$I:$I,"مطالبة مرفوعة للمالية") + SUMIFS('المطالبات 2025'!$J:$J,'المطالبات 2025'!$E:$E,B370,'المطالبات 2025'!$I:$I,"مطالبة مرفوعة للمالية"))</f>
        <v/>
      </c>
      <c r="L370" t="str">
        <f>IF(B370="","",COUNTIFS('المطالبات 2026'!$E:$E,B370,'المطالبات 2026'!$I:$I,"مطالبة مرفوعة للمالية") + COUNTIFS('المطالبات 2025'!$E:$E,B370,'المطالبات 2025'!$I:$I,"مطالبة مرفوعة للمالية"))</f>
        <v/>
      </c>
      <c r="M370">
        <f t="shared" si="16"/>
        <v>0</v>
      </c>
      <c r="N370" t="str">
        <f>IF(B370="","",SUMIFS(DB_All!$N$2:$N$1000,DB_All!$G$2:$G$1000,B370,DB_All!$L$2:$L$1000,"تحت إجراءات التوريد"))</f>
        <v/>
      </c>
      <c r="O370" t="str">
        <f>IF(B370="","",COUNTIFS(DB_All!$G$2:$G$1000,B370,DB_All!$L$2:$L$1000,"تحت إجراءات التوريد"))</f>
        <v/>
      </c>
      <c r="P370" t="str">
        <f>IF(B370="","",SUMIFS(DB_All!$N$2:$N$1000,DB_All!$G$2:$G$1000,B370,DB_All!$L$2:$L$1000,"بانتظار سندات الاستلام \ شهادة الإنجاز"))</f>
        <v/>
      </c>
      <c r="Q370" t="str">
        <f>IF(B370="","",COUNTIFS(DB_All!$G$2:$G$1000,B370,DB_All!$L$2:$L$1000,"بانتظار سندات الاستلام \ شهادة الإنجاز"))</f>
        <v/>
      </c>
      <c r="R370" t="str">
        <f t="shared" si="17"/>
        <v/>
      </c>
    </row>
    <row r="371" spans="6:18" x14ac:dyDescent="0.3">
      <c r="F371" t="str">
        <f>IF(B371="","",SUMIFS(DB_All!$M$2:$M$1000,DB_All!$G$2:$G$1000,B371,DB_All!$L$2:$L$1000,"تحت إجراءات التعاقد"))</f>
        <v/>
      </c>
      <c r="G371" t="str">
        <f>IF(B371="","",COUNTIFS(DB_All!$G$2:$G$1000,B371,DB_All!$L$2:$L$1000,"تحت إجراءات التعاقد"))</f>
        <v/>
      </c>
      <c r="H371" t="str">
        <f>IF(B371="","",SUMIFS(DB_All!$N$2:$N$1000,DB_All!$G$2:$G$1000,B371,DB_All!$L$2:$L$1000,"تم التوقيع"))</f>
        <v/>
      </c>
      <c r="I371" t="str">
        <f>IF(B371="","",COUNTIFS(DB_All!$G$2:$G$1000,B371,DB_All!$L$2:$L$1000,"تم التوقيع"))</f>
        <v/>
      </c>
      <c r="J371">
        <f t="shared" si="15"/>
        <v>0</v>
      </c>
      <c r="K371" t="str">
        <f>IF(B371="","",SUMIFS('المطالبات 2026'!$J:$J,'المطالبات 2026'!$E:$E,B371,'المطالبات 2026'!$I:$I,"مطالبة مرفوعة للمالية") + SUMIFS('المطالبات 2025'!$J:$J,'المطالبات 2025'!$E:$E,B371,'المطالبات 2025'!$I:$I,"مطالبة مرفوعة للمالية"))</f>
        <v/>
      </c>
      <c r="L371" t="str">
        <f>IF(B371="","",COUNTIFS('المطالبات 2026'!$E:$E,B371,'المطالبات 2026'!$I:$I,"مطالبة مرفوعة للمالية") + COUNTIFS('المطالبات 2025'!$E:$E,B371,'المطالبات 2025'!$I:$I,"مطالبة مرفوعة للمالية"))</f>
        <v/>
      </c>
      <c r="M371">
        <f t="shared" si="16"/>
        <v>0</v>
      </c>
      <c r="N371" t="str">
        <f>IF(B371="","",SUMIFS(DB_All!$N$2:$N$1000,DB_All!$G$2:$G$1000,B371,DB_All!$L$2:$L$1000,"تحت إجراءات التوريد"))</f>
        <v/>
      </c>
      <c r="O371" t="str">
        <f>IF(B371="","",COUNTIFS(DB_All!$G$2:$G$1000,B371,DB_All!$L$2:$L$1000,"تحت إجراءات التوريد"))</f>
        <v/>
      </c>
      <c r="P371" t="str">
        <f>IF(B371="","",SUMIFS(DB_All!$N$2:$N$1000,DB_All!$G$2:$G$1000,B371,DB_All!$L$2:$L$1000,"بانتظار سندات الاستلام \ شهادة الإنجاز"))</f>
        <v/>
      </c>
      <c r="Q371" t="str">
        <f>IF(B371="","",COUNTIFS(DB_All!$G$2:$G$1000,B371,DB_All!$L$2:$L$1000,"بانتظار سندات الاستلام \ شهادة الإنجاز"))</f>
        <v/>
      </c>
      <c r="R371" t="str">
        <f t="shared" si="17"/>
        <v/>
      </c>
    </row>
    <row r="372" spans="6:18" x14ac:dyDescent="0.3">
      <c r="F372" t="str">
        <f>IF(B372="","",SUMIFS(DB_All!$M$2:$M$1000,DB_All!$G$2:$G$1000,B372,DB_All!$L$2:$L$1000,"تحت إجراءات التعاقد"))</f>
        <v/>
      </c>
      <c r="G372" t="str">
        <f>IF(B372="","",COUNTIFS(DB_All!$G$2:$G$1000,B372,DB_All!$L$2:$L$1000,"تحت إجراءات التعاقد"))</f>
        <v/>
      </c>
      <c r="H372" t="str">
        <f>IF(B372="","",SUMIFS(DB_All!$N$2:$N$1000,DB_All!$G$2:$G$1000,B372,DB_All!$L$2:$L$1000,"تم التوقيع"))</f>
        <v/>
      </c>
      <c r="I372" t="str">
        <f>IF(B372="","",COUNTIFS(DB_All!$G$2:$G$1000,B372,DB_All!$L$2:$L$1000,"تم التوقيع"))</f>
        <v/>
      </c>
      <c r="J372">
        <f t="shared" si="15"/>
        <v>0</v>
      </c>
      <c r="K372" t="str">
        <f>IF(B372="","",SUMIFS('المطالبات 2026'!$J:$J,'المطالبات 2026'!$E:$E,B372,'المطالبات 2026'!$I:$I,"مطالبة مرفوعة للمالية") + SUMIFS('المطالبات 2025'!$J:$J,'المطالبات 2025'!$E:$E,B372,'المطالبات 2025'!$I:$I,"مطالبة مرفوعة للمالية"))</f>
        <v/>
      </c>
      <c r="L372" t="str">
        <f>IF(B372="","",COUNTIFS('المطالبات 2026'!$E:$E,B372,'المطالبات 2026'!$I:$I,"مطالبة مرفوعة للمالية") + COUNTIFS('المطالبات 2025'!$E:$E,B372,'المطالبات 2025'!$I:$I,"مطالبة مرفوعة للمالية"))</f>
        <v/>
      </c>
      <c r="M372">
        <f t="shared" si="16"/>
        <v>0</v>
      </c>
      <c r="N372" t="str">
        <f>IF(B372="","",SUMIFS(DB_All!$N$2:$N$1000,DB_All!$G$2:$G$1000,B372,DB_All!$L$2:$L$1000,"تحت إجراءات التوريد"))</f>
        <v/>
      </c>
      <c r="O372" t="str">
        <f>IF(B372="","",COUNTIFS(DB_All!$G$2:$G$1000,B372,DB_All!$L$2:$L$1000,"تحت إجراءات التوريد"))</f>
        <v/>
      </c>
      <c r="P372" t="str">
        <f>IF(B372="","",SUMIFS(DB_All!$N$2:$N$1000,DB_All!$G$2:$G$1000,B372,DB_All!$L$2:$L$1000,"بانتظار سندات الاستلام \ شهادة الإنجاز"))</f>
        <v/>
      </c>
      <c r="Q372" t="str">
        <f>IF(B372="","",COUNTIFS(DB_All!$G$2:$G$1000,B372,DB_All!$L$2:$L$1000,"بانتظار سندات الاستلام \ شهادة الإنجاز"))</f>
        <v/>
      </c>
      <c r="R372" t="str">
        <f t="shared" si="17"/>
        <v/>
      </c>
    </row>
    <row r="373" spans="6:18" x14ac:dyDescent="0.3">
      <c r="F373" t="str">
        <f>IF(B373="","",SUMIFS(DB_All!$M$2:$M$1000,DB_All!$G$2:$G$1000,B373,DB_All!$L$2:$L$1000,"تحت إجراءات التعاقد"))</f>
        <v/>
      </c>
      <c r="G373" t="str">
        <f>IF(B373="","",COUNTIFS(DB_All!$G$2:$G$1000,B373,DB_All!$L$2:$L$1000,"تحت إجراءات التعاقد"))</f>
        <v/>
      </c>
      <c r="H373" t="str">
        <f>IF(B373="","",SUMIFS(DB_All!$N$2:$N$1000,DB_All!$G$2:$G$1000,B373,DB_All!$L$2:$L$1000,"تم التوقيع"))</f>
        <v/>
      </c>
      <c r="I373" t="str">
        <f>IF(B373="","",COUNTIFS(DB_All!$G$2:$G$1000,B373,DB_All!$L$2:$L$1000,"تم التوقيع"))</f>
        <v/>
      </c>
      <c r="J373">
        <f t="shared" si="15"/>
        <v>0</v>
      </c>
      <c r="K373" t="str">
        <f>IF(B373="","",SUMIFS('المطالبات 2026'!$J:$J,'المطالبات 2026'!$E:$E,B373,'المطالبات 2026'!$I:$I,"مطالبة مرفوعة للمالية") + SUMIFS('المطالبات 2025'!$J:$J,'المطالبات 2025'!$E:$E,B373,'المطالبات 2025'!$I:$I,"مطالبة مرفوعة للمالية"))</f>
        <v/>
      </c>
      <c r="L373" t="str">
        <f>IF(B373="","",COUNTIFS('المطالبات 2026'!$E:$E,B373,'المطالبات 2026'!$I:$I,"مطالبة مرفوعة للمالية") + COUNTIFS('المطالبات 2025'!$E:$E,B373,'المطالبات 2025'!$I:$I,"مطالبة مرفوعة للمالية"))</f>
        <v/>
      </c>
      <c r="M373">
        <f t="shared" si="16"/>
        <v>0</v>
      </c>
      <c r="N373" t="str">
        <f>IF(B373="","",SUMIFS(DB_All!$N$2:$N$1000,DB_All!$G$2:$G$1000,B373,DB_All!$L$2:$L$1000,"تحت إجراءات التوريد"))</f>
        <v/>
      </c>
      <c r="O373" t="str">
        <f>IF(B373="","",COUNTIFS(DB_All!$G$2:$G$1000,B373,DB_All!$L$2:$L$1000,"تحت إجراءات التوريد"))</f>
        <v/>
      </c>
      <c r="P373" t="str">
        <f>IF(B373="","",SUMIFS(DB_All!$N$2:$N$1000,DB_All!$G$2:$G$1000,B373,DB_All!$L$2:$L$1000,"بانتظار سندات الاستلام \ شهادة الإنجاز"))</f>
        <v/>
      </c>
      <c r="Q373" t="str">
        <f>IF(B373="","",COUNTIFS(DB_All!$G$2:$G$1000,B373,DB_All!$L$2:$L$1000,"بانتظار سندات الاستلام \ شهادة الإنجاز"))</f>
        <v/>
      </c>
      <c r="R373" t="str">
        <f t="shared" si="17"/>
        <v/>
      </c>
    </row>
    <row r="374" spans="6:18" x14ac:dyDescent="0.3">
      <c r="F374" t="str">
        <f>IF(B374="","",SUMIFS(DB_All!$M$2:$M$1000,DB_All!$G$2:$G$1000,B374,DB_All!$L$2:$L$1000,"تحت إجراءات التعاقد"))</f>
        <v/>
      </c>
      <c r="G374" t="str">
        <f>IF(B374="","",COUNTIFS(DB_All!$G$2:$G$1000,B374,DB_All!$L$2:$L$1000,"تحت إجراءات التعاقد"))</f>
        <v/>
      </c>
      <c r="H374" t="str">
        <f>IF(B374="","",SUMIFS(DB_All!$N$2:$N$1000,DB_All!$G$2:$G$1000,B374,DB_All!$L$2:$L$1000,"تم التوقيع"))</f>
        <v/>
      </c>
      <c r="I374" t="str">
        <f>IF(B374="","",COUNTIFS(DB_All!$G$2:$G$1000,B374,DB_All!$L$2:$L$1000,"تم التوقيع"))</f>
        <v/>
      </c>
      <c r="J374">
        <f t="shared" si="15"/>
        <v>0</v>
      </c>
      <c r="K374" t="str">
        <f>IF(B374="","",SUMIFS('المطالبات 2026'!$J:$J,'المطالبات 2026'!$E:$E,B374,'المطالبات 2026'!$I:$I,"مطالبة مرفوعة للمالية") + SUMIFS('المطالبات 2025'!$J:$J,'المطالبات 2025'!$E:$E,B374,'المطالبات 2025'!$I:$I,"مطالبة مرفوعة للمالية"))</f>
        <v/>
      </c>
      <c r="L374" t="str">
        <f>IF(B374="","",COUNTIFS('المطالبات 2026'!$E:$E,B374,'المطالبات 2026'!$I:$I,"مطالبة مرفوعة للمالية") + COUNTIFS('المطالبات 2025'!$E:$E,B374,'المطالبات 2025'!$I:$I,"مطالبة مرفوعة للمالية"))</f>
        <v/>
      </c>
      <c r="M374">
        <f t="shared" si="16"/>
        <v>0</v>
      </c>
      <c r="N374" t="str">
        <f>IF(B374="","",SUMIFS(DB_All!$N$2:$N$1000,DB_All!$G$2:$G$1000,B374,DB_All!$L$2:$L$1000,"تحت إجراءات التوريد"))</f>
        <v/>
      </c>
      <c r="O374" t="str">
        <f>IF(B374="","",COUNTIFS(DB_All!$G$2:$G$1000,B374,DB_All!$L$2:$L$1000,"تحت إجراءات التوريد"))</f>
        <v/>
      </c>
      <c r="P374" t="str">
        <f>IF(B374="","",SUMIFS(DB_All!$N$2:$N$1000,DB_All!$G$2:$G$1000,B374,DB_All!$L$2:$L$1000,"بانتظار سندات الاستلام \ شهادة الإنجاز"))</f>
        <v/>
      </c>
      <c r="Q374" t="str">
        <f>IF(B374="","",COUNTIFS(DB_All!$G$2:$G$1000,B374,DB_All!$L$2:$L$1000,"بانتظار سندات الاستلام \ شهادة الإنجاز"))</f>
        <v/>
      </c>
      <c r="R374" t="str">
        <f t="shared" si="17"/>
        <v/>
      </c>
    </row>
    <row r="375" spans="6:18" x14ac:dyDescent="0.3">
      <c r="F375" t="str">
        <f>IF(B375="","",SUMIFS(DB_All!$M$2:$M$1000,DB_All!$G$2:$G$1000,B375,DB_All!$L$2:$L$1000,"تحت إجراءات التعاقد"))</f>
        <v/>
      </c>
      <c r="G375" t="str">
        <f>IF(B375="","",COUNTIFS(DB_All!$G$2:$G$1000,B375,DB_All!$L$2:$L$1000,"تحت إجراءات التعاقد"))</f>
        <v/>
      </c>
      <c r="H375" t="str">
        <f>IF(B375="","",SUMIFS(DB_All!$N$2:$N$1000,DB_All!$G$2:$G$1000,B375,DB_All!$L$2:$L$1000,"تم التوقيع"))</f>
        <v/>
      </c>
      <c r="I375" t="str">
        <f>IF(B375="","",COUNTIFS(DB_All!$G$2:$G$1000,B375,DB_All!$L$2:$L$1000,"تم التوقيع"))</f>
        <v/>
      </c>
      <c r="J375">
        <f t="shared" si="15"/>
        <v>0</v>
      </c>
      <c r="K375" t="str">
        <f>IF(B375="","",SUMIFS('المطالبات 2026'!$J:$J,'المطالبات 2026'!$E:$E,B375,'المطالبات 2026'!$I:$I,"مطالبة مرفوعة للمالية") + SUMIFS('المطالبات 2025'!$J:$J,'المطالبات 2025'!$E:$E,B375,'المطالبات 2025'!$I:$I,"مطالبة مرفوعة للمالية"))</f>
        <v/>
      </c>
      <c r="L375" t="str">
        <f>IF(B375="","",COUNTIFS('المطالبات 2026'!$E:$E,B375,'المطالبات 2026'!$I:$I,"مطالبة مرفوعة للمالية") + COUNTIFS('المطالبات 2025'!$E:$E,B375,'المطالبات 2025'!$I:$I,"مطالبة مرفوعة للمالية"))</f>
        <v/>
      </c>
      <c r="M375">
        <f t="shared" si="16"/>
        <v>0</v>
      </c>
      <c r="N375" t="str">
        <f>IF(B375="","",SUMIFS(DB_All!$N$2:$N$1000,DB_All!$G$2:$G$1000,B375,DB_All!$L$2:$L$1000,"تحت إجراءات التوريد"))</f>
        <v/>
      </c>
      <c r="O375" t="str">
        <f>IF(B375="","",COUNTIFS(DB_All!$G$2:$G$1000,B375,DB_All!$L$2:$L$1000,"تحت إجراءات التوريد"))</f>
        <v/>
      </c>
      <c r="P375" t="str">
        <f>IF(B375="","",SUMIFS(DB_All!$N$2:$N$1000,DB_All!$G$2:$G$1000,B375,DB_All!$L$2:$L$1000,"بانتظار سندات الاستلام \ شهادة الإنجاز"))</f>
        <v/>
      </c>
      <c r="Q375" t="str">
        <f>IF(B375="","",COUNTIFS(DB_All!$G$2:$G$1000,B375,DB_All!$L$2:$L$1000,"بانتظار سندات الاستلام \ شهادة الإنجاز"))</f>
        <v/>
      </c>
      <c r="R375" t="str">
        <f t="shared" si="17"/>
        <v/>
      </c>
    </row>
    <row r="376" spans="6:18" x14ac:dyDescent="0.3">
      <c r="F376" t="str">
        <f>IF(B376="","",SUMIFS(DB_All!$M$2:$M$1000,DB_All!$G$2:$G$1000,B376,DB_All!$L$2:$L$1000,"تحت إجراءات التعاقد"))</f>
        <v/>
      </c>
      <c r="G376" t="str">
        <f>IF(B376="","",COUNTIFS(DB_All!$G$2:$G$1000,B376,DB_All!$L$2:$L$1000,"تحت إجراءات التعاقد"))</f>
        <v/>
      </c>
      <c r="H376" t="str">
        <f>IF(B376="","",SUMIFS(DB_All!$N$2:$N$1000,DB_All!$G$2:$G$1000,B376,DB_All!$L$2:$L$1000,"تم التوقيع"))</f>
        <v/>
      </c>
      <c r="I376" t="str">
        <f>IF(B376="","",COUNTIFS(DB_All!$G$2:$G$1000,B376,DB_All!$L$2:$L$1000,"تم التوقيع"))</f>
        <v/>
      </c>
      <c r="J376">
        <f t="shared" si="15"/>
        <v>0</v>
      </c>
      <c r="K376" t="str">
        <f>IF(B376="","",SUMIFS('المطالبات 2026'!$J:$J,'المطالبات 2026'!$E:$E,B376,'المطالبات 2026'!$I:$I,"مطالبة مرفوعة للمالية") + SUMIFS('المطالبات 2025'!$J:$J,'المطالبات 2025'!$E:$E,B376,'المطالبات 2025'!$I:$I,"مطالبة مرفوعة للمالية"))</f>
        <v/>
      </c>
      <c r="L376" t="str">
        <f>IF(B376="","",COUNTIFS('المطالبات 2026'!$E:$E,B376,'المطالبات 2026'!$I:$I,"مطالبة مرفوعة للمالية") + COUNTIFS('المطالبات 2025'!$E:$E,B376,'المطالبات 2025'!$I:$I,"مطالبة مرفوعة للمالية"))</f>
        <v/>
      </c>
      <c r="M376">
        <f t="shared" si="16"/>
        <v>0</v>
      </c>
      <c r="N376" t="str">
        <f>IF(B376="","",SUMIFS(DB_All!$N$2:$N$1000,DB_All!$G$2:$G$1000,B376,DB_All!$L$2:$L$1000,"تحت إجراءات التوريد"))</f>
        <v/>
      </c>
      <c r="O376" t="str">
        <f>IF(B376="","",COUNTIFS(DB_All!$G$2:$G$1000,B376,DB_All!$L$2:$L$1000,"تحت إجراءات التوريد"))</f>
        <v/>
      </c>
      <c r="P376" t="str">
        <f>IF(B376="","",SUMIFS(DB_All!$N$2:$N$1000,DB_All!$G$2:$G$1000,B376,DB_All!$L$2:$L$1000,"بانتظار سندات الاستلام \ شهادة الإنجاز"))</f>
        <v/>
      </c>
      <c r="Q376" t="str">
        <f>IF(B376="","",COUNTIFS(DB_All!$G$2:$G$1000,B376,DB_All!$L$2:$L$1000,"بانتظار سندات الاستلام \ شهادة الإنجاز"))</f>
        <v/>
      </c>
      <c r="R376" t="str">
        <f t="shared" si="17"/>
        <v/>
      </c>
    </row>
    <row r="377" spans="6:18" x14ac:dyDescent="0.3">
      <c r="F377" t="str">
        <f>IF(B377="","",SUMIFS(DB_All!$M$2:$M$1000,DB_All!$G$2:$G$1000,B377,DB_All!$L$2:$L$1000,"تحت إجراءات التعاقد"))</f>
        <v/>
      </c>
      <c r="G377" t="str">
        <f>IF(B377="","",COUNTIFS(DB_All!$G$2:$G$1000,B377,DB_All!$L$2:$L$1000,"تحت إجراءات التعاقد"))</f>
        <v/>
      </c>
      <c r="H377" t="str">
        <f>IF(B377="","",SUMIFS(DB_All!$N$2:$N$1000,DB_All!$G$2:$G$1000,B377,DB_All!$L$2:$L$1000,"تم التوقيع"))</f>
        <v/>
      </c>
      <c r="I377" t="str">
        <f>IF(B377="","",COUNTIFS(DB_All!$G$2:$G$1000,B377,DB_All!$L$2:$L$1000,"تم التوقيع"))</f>
        <v/>
      </c>
      <c r="J377">
        <f t="shared" si="15"/>
        <v>0</v>
      </c>
      <c r="K377" t="str">
        <f>IF(B377="","",SUMIFS('المطالبات 2026'!$J:$J,'المطالبات 2026'!$E:$E,B377,'المطالبات 2026'!$I:$I,"مطالبة مرفوعة للمالية") + SUMIFS('المطالبات 2025'!$J:$J,'المطالبات 2025'!$E:$E,B377,'المطالبات 2025'!$I:$I,"مطالبة مرفوعة للمالية"))</f>
        <v/>
      </c>
      <c r="L377" t="str">
        <f>IF(B377="","",COUNTIFS('المطالبات 2026'!$E:$E,B377,'المطالبات 2026'!$I:$I,"مطالبة مرفوعة للمالية") + COUNTIFS('المطالبات 2025'!$E:$E,B377,'المطالبات 2025'!$I:$I,"مطالبة مرفوعة للمالية"))</f>
        <v/>
      </c>
      <c r="M377">
        <f t="shared" si="16"/>
        <v>0</v>
      </c>
      <c r="N377" t="str">
        <f>IF(B377="","",SUMIFS(DB_All!$N$2:$N$1000,DB_All!$G$2:$G$1000,B377,DB_All!$L$2:$L$1000,"تحت إجراءات التوريد"))</f>
        <v/>
      </c>
      <c r="O377" t="str">
        <f>IF(B377="","",COUNTIFS(DB_All!$G$2:$G$1000,B377,DB_All!$L$2:$L$1000,"تحت إجراءات التوريد"))</f>
        <v/>
      </c>
      <c r="P377" t="str">
        <f>IF(B377="","",SUMIFS(DB_All!$N$2:$N$1000,DB_All!$G$2:$G$1000,B377,DB_All!$L$2:$L$1000,"بانتظار سندات الاستلام \ شهادة الإنجاز"))</f>
        <v/>
      </c>
      <c r="Q377" t="str">
        <f>IF(B377="","",COUNTIFS(DB_All!$G$2:$G$1000,B377,DB_All!$L$2:$L$1000,"بانتظار سندات الاستلام \ شهادة الإنجاز"))</f>
        <v/>
      </c>
      <c r="R377" t="str">
        <f t="shared" si="17"/>
        <v/>
      </c>
    </row>
    <row r="378" spans="6:18" x14ac:dyDescent="0.3">
      <c r="F378" t="str">
        <f>IF(B378="","",SUMIFS(DB_All!$M$2:$M$1000,DB_All!$G$2:$G$1000,B378,DB_All!$L$2:$L$1000,"تحت إجراءات التعاقد"))</f>
        <v/>
      </c>
      <c r="G378" t="str">
        <f>IF(B378="","",COUNTIFS(DB_All!$G$2:$G$1000,B378,DB_All!$L$2:$L$1000,"تحت إجراءات التعاقد"))</f>
        <v/>
      </c>
      <c r="H378" t="str">
        <f>IF(B378="","",SUMIFS(DB_All!$N$2:$N$1000,DB_All!$G$2:$G$1000,B378,DB_All!$L$2:$L$1000,"تم التوقيع"))</f>
        <v/>
      </c>
      <c r="I378" t="str">
        <f>IF(B378="","",COUNTIFS(DB_All!$G$2:$G$1000,B378,DB_All!$L$2:$L$1000,"تم التوقيع"))</f>
        <v/>
      </c>
      <c r="J378">
        <f t="shared" si="15"/>
        <v>0</v>
      </c>
      <c r="K378" t="str">
        <f>IF(B378="","",SUMIFS('المطالبات 2026'!$J:$J,'المطالبات 2026'!$E:$E,B378,'المطالبات 2026'!$I:$I,"مطالبة مرفوعة للمالية") + SUMIFS('المطالبات 2025'!$J:$J,'المطالبات 2025'!$E:$E,B378,'المطالبات 2025'!$I:$I,"مطالبة مرفوعة للمالية"))</f>
        <v/>
      </c>
      <c r="L378" t="str">
        <f>IF(B378="","",COUNTIFS('المطالبات 2026'!$E:$E,B378,'المطالبات 2026'!$I:$I,"مطالبة مرفوعة للمالية") + COUNTIFS('المطالبات 2025'!$E:$E,B378,'المطالبات 2025'!$I:$I,"مطالبة مرفوعة للمالية"))</f>
        <v/>
      </c>
      <c r="M378">
        <f t="shared" si="16"/>
        <v>0</v>
      </c>
      <c r="N378" t="str">
        <f>IF(B378="","",SUMIFS(DB_All!$N$2:$N$1000,DB_All!$G$2:$G$1000,B378,DB_All!$L$2:$L$1000,"تحت إجراءات التوريد"))</f>
        <v/>
      </c>
      <c r="O378" t="str">
        <f>IF(B378="","",COUNTIFS(DB_All!$G$2:$G$1000,B378,DB_All!$L$2:$L$1000,"تحت إجراءات التوريد"))</f>
        <v/>
      </c>
      <c r="P378" t="str">
        <f>IF(B378="","",SUMIFS(DB_All!$N$2:$N$1000,DB_All!$G$2:$G$1000,B378,DB_All!$L$2:$L$1000,"بانتظار سندات الاستلام \ شهادة الإنجاز"))</f>
        <v/>
      </c>
      <c r="Q378" t="str">
        <f>IF(B378="","",COUNTIFS(DB_All!$G$2:$G$1000,B378,DB_All!$L$2:$L$1000,"بانتظار سندات الاستلام \ شهادة الإنجاز"))</f>
        <v/>
      </c>
      <c r="R378" t="str">
        <f t="shared" si="17"/>
        <v/>
      </c>
    </row>
    <row r="379" spans="6:18" x14ac:dyDescent="0.3">
      <c r="F379" t="str">
        <f>IF(B379="","",SUMIFS(DB_All!$M$2:$M$1000,DB_All!$G$2:$G$1000,B379,DB_All!$L$2:$L$1000,"تحت إجراءات التعاقد"))</f>
        <v/>
      </c>
      <c r="G379" t="str">
        <f>IF(B379="","",COUNTIFS(DB_All!$G$2:$G$1000,B379,DB_All!$L$2:$L$1000,"تحت إجراءات التعاقد"))</f>
        <v/>
      </c>
      <c r="H379" t="str">
        <f>IF(B379="","",SUMIFS(DB_All!$N$2:$N$1000,DB_All!$G$2:$G$1000,B379,DB_All!$L$2:$L$1000,"تم التوقيع"))</f>
        <v/>
      </c>
      <c r="I379" t="str">
        <f>IF(B379="","",COUNTIFS(DB_All!$G$2:$G$1000,B379,DB_All!$L$2:$L$1000,"تم التوقيع"))</f>
        <v/>
      </c>
      <c r="J379">
        <f t="shared" si="15"/>
        <v>0</v>
      </c>
      <c r="K379" t="str">
        <f>IF(B379="","",SUMIFS('المطالبات 2026'!$J:$J,'المطالبات 2026'!$E:$E,B379,'المطالبات 2026'!$I:$I,"مطالبة مرفوعة للمالية") + SUMIFS('المطالبات 2025'!$J:$J,'المطالبات 2025'!$E:$E,B379,'المطالبات 2025'!$I:$I,"مطالبة مرفوعة للمالية"))</f>
        <v/>
      </c>
      <c r="L379" t="str">
        <f>IF(B379="","",COUNTIFS('المطالبات 2026'!$E:$E,B379,'المطالبات 2026'!$I:$I,"مطالبة مرفوعة للمالية") + COUNTIFS('المطالبات 2025'!$E:$E,B379,'المطالبات 2025'!$I:$I,"مطالبة مرفوعة للمالية"))</f>
        <v/>
      </c>
      <c r="M379">
        <f t="shared" si="16"/>
        <v>0</v>
      </c>
      <c r="N379" t="str">
        <f>IF(B379="","",SUMIFS(DB_All!$N$2:$N$1000,DB_All!$G$2:$G$1000,B379,DB_All!$L$2:$L$1000,"تحت إجراءات التوريد"))</f>
        <v/>
      </c>
      <c r="O379" t="str">
        <f>IF(B379="","",COUNTIFS(DB_All!$G$2:$G$1000,B379,DB_All!$L$2:$L$1000,"تحت إجراءات التوريد"))</f>
        <v/>
      </c>
      <c r="P379" t="str">
        <f>IF(B379="","",SUMIFS(DB_All!$N$2:$N$1000,DB_All!$G$2:$G$1000,B379,DB_All!$L$2:$L$1000,"بانتظار سندات الاستلام \ شهادة الإنجاز"))</f>
        <v/>
      </c>
      <c r="Q379" t="str">
        <f>IF(B379="","",COUNTIFS(DB_All!$G$2:$G$1000,B379,DB_All!$L$2:$L$1000,"بانتظار سندات الاستلام \ شهادة الإنجاز"))</f>
        <v/>
      </c>
      <c r="R379" t="str">
        <f t="shared" si="17"/>
        <v/>
      </c>
    </row>
    <row r="380" spans="6:18" x14ac:dyDescent="0.3">
      <c r="F380" t="str">
        <f>IF(B380="","",SUMIFS(DB_All!$M$2:$M$1000,DB_All!$G$2:$G$1000,B380,DB_All!$L$2:$L$1000,"تحت إجراءات التعاقد"))</f>
        <v/>
      </c>
      <c r="G380" t="str">
        <f>IF(B380="","",COUNTIFS(DB_All!$G$2:$G$1000,B380,DB_All!$L$2:$L$1000,"تحت إجراءات التعاقد"))</f>
        <v/>
      </c>
      <c r="H380" t="str">
        <f>IF(B380="","",SUMIFS(DB_All!$N$2:$N$1000,DB_All!$G$2:$G$1000,B380,DB_All!$L$2:$L$1000,"تم التوقيع"))</f>
        <v/>
      </c>
      <c r="I380" t="str">
        <f>IF(B380="","",COUNTIFS(DB_All!$G$2:$G$1000,B380,DB_All!$L$2:$L$1000,"تم التوقيع"))</f>
        <v/>
      </c>
      <c r="J380">
        <f t="shared" si="15"/>
        <v>0</v>
      </c>
      <c r="K380" t="str">
        <f>IF(B380="","",SUMIFS('المطالبات 2026'!$J:$J,'المطالبات 2026'!$E:$E,B380,'المطالبات 2026'!$I:$I,"مطالبة مرفوعة للمالية") + SUMIFS('المطالبات 2025'!$J:$J,'المطالبات 2025'!$E:$E,B380,'المطالبات 2025'!$I:$I,"مطالبة مرفوعة للمالية"))</f>
        <v/>
      </c>
      <c r="L380" t="str">
        <f>IF(B380="","",COUNTIFS('المطالبات 2026'!$E:$E,B380,'المطالبات 2026'!$I:$I,"مطالبة مرفوعة للمالية") + COUNTIFS('المطالبات 2025'!$E:$E,B380,'المطالبات 2025'!$I:$I,"مطالبة مرفوعة للمالية"))</f>
        <v/>
      </c>
      <c r="M380">
        <f t="shared" si="16"/>
        <v>0</v>
      </c>
      <c r="N380" t="str">
        <f>IF(B380="","",SUMIFS(DB_All!$N$2:$N$1000,DB_All!$G$2:$G$1000,B380,DB_All!$L$2:$L$1000,"تحت إجراءات التوريد"))</f>
        <v/>
      </c>
      <c r="O380" t="str">
        <f>IF(B380="","",COUNTIFS(DB_All!$G$2:$G$1000,B380,DB_All!$L$2:$L$1000,"تحت إجراءات التوريد"))</f>
        <v/>
      </c>
      <c r="P380" t="str">
        <f>IF(B380="","",SUMIFS(DB_All!$N$2:$N$1000,DB_All!$G$2:$G$1000,B380,DB_All!$L$2:$L$1000,"بانتظار سندات الاستلام \ شهادة الإنجاز"))</f>
        <v/>
      </c>
      <c r="Q380" t="str">
        <f>IF(B380="","",COUNTIFS(DB_All!$G$2:$G$1000,B380,DB_All!$L$2:$L$1000,"بانتظار سندات الاستلام \ شهادة الإنجاز"))</f>
        <v/>
      </c>
      <c r="R380" t="str">
        <f t="shared" si="17"/>
        <v/>
      </c>
    </row>
    <row r="381" spans="6:18" x14ac:dyDescent="0.3">
      <c r="F381" t="str">
        <f>IF(B381="","",SUMIFS(DB_All!$M$2:$M$1000,DB_All!$G$2:$G$1000,B381,DB_All!$L$2:$L$1000,"تحت إجراءات التعاقد"))</f>
        <v/>
      </c>
      <c r="G381" t="str">
        <f>IF(B381="","",COUNTIFS(DB_All!$G$2:$G$1000,B381,DB_All!$L$2:$L$1000,"تحت إجراءات التعاقد"))</f>
        <v/>
      </c>
      <c r="H381" t="str">
        <f>IF(B381="","",SUMIFS(DB_All!$N$2:$N$1000,DB_All!$G$2:$G$1000,B381,DB_All!$L$2:$L$1000,"تم التوقيع"))</f>
        <v/>
      </c>
      <c r="I381" t="str">
        <f>IF(B381="","",COUNTIFS(DB_All!$G$2:$G$1000,B381,DB_All!$L$2:$L$1000,"تم التوقيع"))</f>
        <v/>
      </c>
      <c r="J381">
        <f t="shared" si="15"/>
        <v>0</v>
      </c>
      <c r="K381" t="str">
        <f>IF(B381="","",SUMIFS('المطالبات 2026'!$J:$J,'المطالبات 2026'!$E:$E,B381,'المطالبات 2026'!$I:$I,"مطالبة مرفوعة للمالية") + SUMIFS('المطالبات 2025'!$J:$J,'المطالبات 2025'!$E:$E,B381,'المطالبات 2025'!$I:$I,"مطالبة مرفوعة للمالية"))</f>
        <v/>
      </c>
      <c r="L381" t="str">
        <f>IF(B381="","",COUNTIFS('المطالبات 2026'!$E:$E,B381,'المطالبات 2026'!$I:$I,"مطالبة مرفوعة للمالية") + COUNTIFS('المطالبات 2025'!$E:$E,B381,'المطالبات 2025'!$I:$I,"مطالبة مرفوعة للمالية"))</f>
        <v/>
      </c>
      <c r="M381">
        <f t="shared" si="16"/>
        <v>0</v>
      </c>
      <c r="N381" t="str">
        <f>IF(B381="","",SUMIFS(DB_All!$N$2:$N$1000,DB_All!$G$2:$G$1000,B381,DB_All!$L$2:$L$1000,"تحت إجراءات التوريد"))</f>
        <v/>
      </c>
      <c r="O381" t="str">
        <f>IF(B381="","",COUNTIFS(DB_All!$G$2:$G$1000,B381,DB_All!$L$2:$L$1000,"تحت إجراءات التوريد"))</f>
        <v/>
      </c>
      <c r="P381" t="str">
        <f>IF(B381="","",SUMIFS(DB_All!$N$2:$N$1000,DB_All!$G$2:$G$1000,B381,DB_All!$L$2:$L$1000,"بانتظار سندات الاستلام \ شهادة الإنجاز"))</f>
        <v/>
      </c>
      <c r="Q381" t="str">
        <f>IF(B381="","",COUNTIFS(DB_All!$G$2:$G$1000,B381,DB_All!$L$2:$L$1000,"بانتظار سندات الاستلام \ شهادة الإنجاز"))</f>
        <v/>
      </c>
      <c r="R381" t="str">
        <f t="shared" si="17"/>
        <v/>
      </c>
    </row>
    <row r="382" spans="6:18" x14ac:dyDescent="0.3">
      <c r="F382" t="str">
        <f>IF(B382="","",SUMIFS(DB_All!$M$2:$M$1000,DB_All!$G$2:$G$1000,B382,DB_All!$L$2:$L$1000,"تحت إجراءات التعاقد"))</f>
        <v/>
      </c>
      <c r="G382" t="str">
        <f>IF(B382="","",COUNTIFS(DB_All!$G$2:$G$1000,B382,DB_All!$L$2:$L$1000,"تحت إجراءات التعاقد"))</f>
        <v/>
      </c>
      <c r="H382" t="str">
        <f>IF(B382="","",SUMIFS(DB_All!$N$2:$N$1000,DB_All!$G$2:$G$1000,B382,DB_All!$L$2:$L$1000,"تم التوقيع"))</f>
        <v/>
      </c>
      <c r="I382" t="str">
        <f>IF(B382="","",COUNTIFS(DB_All!$G$2:$G$1000,B382,DB_All!$L$2:$L$1000,"تم التوقيع"))</f>
        <v/>
      </c>
      <c r="J382">
        <f t="shared" si="15"/>
        <v>0</v>
      </c>
      <c r="K382" t="str">
        <f>IF(B382="","",SUMIFS('المطالبات 2026'!$J:$J,'المطالبات 2026'!$E:$E,B382,'المطالبات 2026'!$I:$I,"مطالبة مرفوعة للمالية") + SUMIFS('المطالبات 2025'!$J:$J,'المطالبات 2025'!$E:$E,B382,'المطالبات 2025'!$I:$I,"مطالبة مرفوعة للمالية"))</f>
        <v/>
      </c>
      <c r="L382" t="str">
        <f>IF(B382="","",COUNTIFS('المطالبات 2026'!$E:$E,B382,'المطالبات 2026'!$I:$I,"مطالبة مرفوعة للمالية") + COUNTIFS('المطالبات 2025'!$E:$E,B382,'المطالبات 2025'!$I:$I,"مطالبة مرفوعة للمالية"))</f>
        <v/>
      </c>
      <c r="M382">
        <f t="shared" si="16"/>
        <v>0</v>
      </c>
      <c r="N382" t="str">
        <f>IF(B382="","",SUMIFS(DB_All!$N$2:$N$1000,DB_All!$G$2:$G$1000,B382,DB_All!$L$2:$L$1000,"تحت إجراءات التوريد"))</f>
        <v/>
      </c>
      <c r="O382" t="str">
        <f>IF(B382="","",COUNTIFS(DB_All!$G$2:$G$1000,B382,DB_All!$L$2:$L$1000,"تحت إجراءات التوريد"))</f>
        <v/>
      </c>
      <c r="P382" t="str">
        <f>IF(B382="","",SUMIFS(DB_All!$N$2:$N$1000,DB_All!$G$2:$G$1000,B382,DB_All!$L$2:$L$1000,"بانتظار سندات الاستلام \ شهادة الإنجاز"))</f>
        <v/>
      </c>
      <c r="Q382" t="str">
        <f>IF(B382="","",COUNTIFS(DB_All!$G$2:$G$1000,B382,DB_All!$L$2:$L$1000,"بانتظار سندات الاستلام \ شهادة الإنجاز"))</f>
        <v/>
      </c>
      <c r="R382" t="str">
        <f t="shared" si="17"/>
        <v/>
      </c>
    </row>
    <row r="383" spans="6:18" x14ac:dyDescent="0.3">
      <c r="F383" t="str">
        <f>IF(B383="","",SUMIFS(DB_All!$M$2:$M$1000,DB_All!$G$2:$G$1000,B383,DB_All!$L$2:$L$1000,"تحت إجراءات التعاقد"))</f>
        <v/>
      </c>
      <c r="G383" t="str">
        <f>IF(B383="","",COUNTIFS(DB_All!$G$2:$G$1000,B383,DB_All!$L$2:$L$1000,"تحت إجراءات التعاقد"))</f>
        <v/>
      </c>
      <c r="H383" t="str">
        <f>IF(B383="","",SUMIFS(DB_All!$N$2:$N$1000,DB_All!$G$2:$G$1000,B383,DB_All!$L$2:$L$1000,"تم التوقيع"))</f>
        <v/>
      </c>
      <c r="I383" t="str">
        <f>IF(B383="","",COUNTIFS(DB_All!$G$2:$G$1000,B383,DB_All!$L$2:$L$1000,"تم التوقيع"))</f>
        <v/>
      </c>
      <c r="J383">
        <f t="shared" si="15"/>
        <v>0</v>
      </c>
      <c r="K383" t="str">
        <f>IF(B383="","",SUMIFS('المطالبات 2026'!$J:$J,'المطالبات 2026'!$E:$E,B383,'المطالبات 2026'!$I:$I,"مطالبة مرفوعة للمالية") + SUMIFS('المطالبات 2025'!$J:$J,'المطالبات 2025'!$E:$E,B383,'المطالبات 2025'!$I:$I,"مطالبة مرفوعة للمالية"))</f>
        <v/>
      </c>
      <c r="L383" t="str">
        <f>IF(B383="","",COUNTIFS('المطالبات 2026'!$E:$E,B383,'المطالبات 2026'!$I:$I,"مطالبة مرفوعة للمالية") + COUNTIFS('المطالبات 2025'!$E:$E,B383,'المطالبات 2025'!$I:$I,"مطالبة مرفوعة للمالية"))</f>
        <v/>
      </c>
      <c r="M383">
        <f t="shared" si="16"/>
        <v>0</v>
      </c>
      <c r="N383" t="str">
        <f>IF(B383="","",SUMIFS(DB_All!$N$2:$N$1000,DB_All!$G$2:$G$1000,B383,DB_All!$L$2:$L$1000,"تحت إجراءات التوريد"))</f>
        <v/>
      </c>
      <c r="O383" t="str">
        <f>IF(B383="","",COUNTIFS(DB_All!$G$2:$G$1000,B383,DB_All!$L$2:$L$1000,"تحت إجراءات التوريد"))</f>
        <v/>
      </c>
      <c r="P383" t="str">
        <f>IF(B383="","",SUMIFS(DB_All!$N$2:$N$1000,DB_All!$G$2:$G$1000,B383,DB_All!$L$2:$L$1000,"بانتظار سندات الاستلام \ شهادة الإنجاز"))</f>
        <v/>
      </c>
      <c r="Q383" t="str">
        <f>IF(B383="","",COUNTIFS(DB_All!$G$2:$G$1000,B383,DB_All!$L$2:$L$1000,"بانتظار سندات الاستلام \ شهادة الإنجاز"))</f>
        <v/>
      </c>
      <c r="R383" t="str">
        <f t="shared" si="17"/>
        <v/>
      </c>
    </row>
    <row r="384" spans="6:18" x14ac:dyDescent="0.3">
      <c r="F384" t="str">
        <f>IF(B384="","",SUMIFS(DB_All!$M$2:$M$1000,DB_All!$G$2:$G$1000,B384,DB_All!$L$2:$L$1000,"تحت إجراءات التعاقد"))</f>
        <v/>
      </c>
      <c r="G384" t="str">
        <f>IF(B384="","",COUNTIFS(DB_All!$G$2:$G$1000,B384,DB_All!$L$2:$L$1000,"تحت إجراءات التعاقد"))</f>
        <v/>
      </c>
      <c r="H384" t="str">
        <f>IF(B384="","",SUMIFS(DB_All!$N$2:$N$1000,DB_All!$G$2:$G$1000,B384,DB_All!$L$2:$L$1000,"تم التوقيع"))</f>
        <v/>
      </c>
      <c r="I384" t="str">
        <f>IF(B384="","",COUNTIFS(DB_All!$G$2:$G$1000,B384,DB_All!$L$2:$L$1000,"تم التوقيع"))</f>
        <v/>
      </c>
      <c r="J384">
        <f t="shared" si="15"/>
        <v>0</v>
      </c>
      <c r="K384" t="str">
        <f>IF(B384="","",SUMIFS('المطالبات 2026'!$J:$J,'المطالبات 2026'!$E:$E,B384,'المطالبات 2026'!$I:$I,"مطالبة مرفوعة للمالية") + SUMIFS('المطالبات 2025'!$J:$J,'المطالبات 2025'!$E:$E,B384,'المطالبات 2025'!$I:$I,"مطالبة مرفوعة للمالية"))</f>
        <v/>
      </c>
      <c r="L384" t="str">
        <f>IF(B384="","",COUNTIFS('المطالبات 2026'!$E:$E,B384,'المطالبات 2026'!$I:$I,"مطالبة مرفوعة للمالية") + COUNTIFS('المطالبات 2025'!$E:$E,B384,'المطالبات 2025'!$I:$I,"مطالبة مرفوعة للمالية"))</f>
        <v/>
      </c>
      <c r="M384">
        <f t="shared" si="16"/>
        <v>0</v>
      </c>
      <c r="N384" t="str">
        <f>IF(B384="","",SUMIFS(DB_All!$N$2:$N$1000,DB_All!$G$2:$G$1000,B384,DB_All!$L$2:$L$1000,"تحت إجراءات التوريد"))</f>
        <v/>
      </c>
      <c r="O384" t="str">
        <f>IF(B384="","",COUNTIFS(DB_All!$G$2:$G$1000,B384,DB_All!$L$2:$L$1000,"تحت إجراءات التوريد"))</f>
        <v/>
      </c>
      <c r="P384" t="str">
        <f>IF(B384="","",SUMIFS(DB_All!$N$2:$N$1000,DB_All!$G$2:$G$1000,B384,DB_All!$L$2:$L$1000,"بانتظار سندات الاستلام \ شهادة الإنجاز"))</f>
        <v/>
      </c>
      <c r="Q384" t="str">
        <f>IF(B384="","",COUNTIFS(DB_All!$G$2:$G$1000,B384,DB_All!$L$2:$L$1000,"بانتظار سندات الاستلام \ شهادة الإنجاز"))</f>
        <v/>
      </c>
      <c r="R384" t="str">
        <f t="shared" si="17"/>
        <v/>
      </c>
    </row>
    <row r="385" spans="6:18" x14ac:dyDescent="0.3">
      <c r="F385" t="str">
        <f>IF(B385="","",SUMIFS(DB_All!$M$2:$M$1000,DB_All!$G$2:$G$1000,B385,DB_All!$L$2:$L$1000,"تحت إجراءات التعاقد"))</f>
        <v/>
      </c>
      <c r="G385" t="str">
        <f>IF(B385="","",COUNTIFS(DB_All!$G$2:$G$1000,B385,DB_All!$L$2:$L$1000,"تحت إجراءات التعاقد"))</f>
        <v/>
      </c>
      <c r="H385" t="str">
        <f>IF(B385="","",SUMIFS(DB_All!$N$2:$N$1000,DB_All!$G$2:$G$1000,B385,DB_All!$L$2:$L$1000,"تم التوقيع"))</f>
        <v/>
      </c>
      <c r="I385" t="str">
        <f>IF(B385="","",COUNTIFS(DB_All!$G$2:$G$1000,B385,DB_All!$L$2:$L$1000,"تم التوقيع"))</f>
        <v/>
      </c>
      <c r="J385">
        <f t="shared" si="15"/>
        <v>0</v>
      </c>
      <c r="K385" t="str">
        <f>IF(B385="","",SUMIFS('المطالبات 2026'!$J:$J,'المطالبات 2026'!$E:$E,B385,'المطالبات 2026'!$I:$I,"مطالبة مرفوعة للمالية") + SUMIFS('المطالبات 2025'!$J:$J,'المطالبات 2025'!$E:$E,B385,'المطالبات 2025'!$I:$I,"مطالبة مرفوعة للمالية"))</f>
        <v/>
      </c>
      <c r="L385" t="str">
        <f>IF(B385="","",COUNTIFS('المطالبات 2026'!$E:$E,B385,'المطالبات 2026'!$I:$I,"مطالبة مرفوعة للمالية") + COUNTIFS('المطالبات 2025'!$E:$E,B385,'المطالبات 2025'!$I:$I,"مطالبة مرفوعة للمالية"))</f>
        <v/>
      </c>
      <c r="M385">
        <f t="shared" si="16"/>
        <v>0</v>
      </c>
      <c r="N385" t="str">
        <f>IF(B385="","",SUMIFS(DB_All!$N$2:$N$1000,DB_All!$G$2:$G$1000,B385,DB_All!$L$2:$L$1000,"تحت إجراءات التوريد"))</f>
        <v/>
      </c>
      <c r="O385" t="str">
        <f>IF(B385="","",COUNTIFS(DB_All!$G$2:$G$1000,B385,DB_All!$L$2:$L$1000,"تحت إجراءات التوريد"))</f>
        <v/>
      </c>
      <c r="P385" t="str">
        <f>IF(B385="","",SUMIFS(DB_All!$N$2:$N$1000,DB_All!$G$2:$G$1000,B385,DB_All!$L$2:$L$1000,"بانتظار سندات الاستلام \ شهادة الإنجاز"))</f>
        <v/>
      </c>
      <c r="Q385" t="str">
        <f>IF(B385="","",COUNTIFS(DB_All!$G$2:$G$1000,B385,DB_All!$L$2:$L$1000,"بانتظار سندات الاستلام \ شهادة الإنجاز"))</f>
        <v/>
      </c>
      <c r="R385" t="str">
        <f t="shared" si="17"/>
        <v/>
      </c>
    </row>
    <row r="386" spans="6:18" x14ac:dyDescent="0.3">
      <c r="F386" t="str">
        <f>IF(B386="","",SUMIFS(DB_All!$M$2:$M$1000,DB_All!$G$2:$G$1000,B386,DB_All!$L$2:$L$1000,"تحت إجراءات التعاقد"))</f>
        <v/>
      </c>
      <c r="G386" t="str">
        <f>IF(B386="","",COUNTIFS(DB_All!$G$2:$G$1000,B386,DB_All!$L$2:$L$1000,"تحت إجراءات التعاقد"))</f>
        <v/>
      </c>
      <c r="H386" t="str">
        <f>IF(B386="","",SUMIFS(DB_All!$N$2:$N$1000,DB_All!$G$2:$G$1000,B386,DB_All!$L$2:$L$1000,"تم التوقيع"))</f>
        <v/>
      </c>
      <c r="I386" t="str">
        <f>IF(B386="","",COUNTIFS(DB_All!$G$2:$G$1000,B386,DB_All!$L$2:$L$1000,"تم التوقيع"))</f>
        <v/>
      </c>
      <c r="J386">
        <f t="shared" ref="J386:J449" si="18">IFERROR(H386/D386,0)</f>
        <v>0</v>
      </c>
      <c r="K386" t="str">
        <f>IF(B386="","",SUMIFS('المطالبات 2026'!$J:$J,'المطالبات 2026'!$E:$E,B386,'المطالبات 2026'!$I:$I,"مطالبة مرفوعة للمالية") + SUMIFS('المطالبات 2025'!$J:$J,'المطالبات 2025'!$E:$E,B386,'المطالبات 2025'!$I:$I,"مطالبة مرفوعة للمالية"))</f>
        <v/>
      </c>
      <c r="L386" t="str">
        <f>IF(B386="","",COUNTIFS('المطالبات 2026'!$E:$E,B386,'المطالبات 2026'!$I:$I,"مطالبة مرفوعة للمالية") + COUNTIFS('المطالبات 2025'!$E:$E,B386,'المطالبات 2025'!$I:$I,"مطالبة مرفوعة للمالية"))</f>
        <v/>
      </c>
      <c r="M386">
        <f t="shared" ref="M386:M449" si="19">IFERROR(K386/D386,0)</f>
        <v>0</v>
      </c>
      <c r="N386" t="str">
        <f>IF(B386="","",SUMIFS(DB_All!$N$2:$N$1000,DB_All!$G$2:$G$1000,B386,DB_All!$L$2:$L$1000,"تحت إجراءات التوريد"))</f>
        <v/>
      </c>
      <c r="O386" t="str">
        <f>IF(B386="","",COUNTIFS(DB_All!$G$2:$G$1000,B386,DB_All!$L$2:$L$1000,"تحت إجراءات التوريد"))</f>
        <v/>
      </c>
      <c r="P386" t="str">
        <f>IF(B386="","",SUMIFS(DB_All!$N$2:$N$1000,DB_All!$G$2:$G$1000,B386,DB_All!$L$2:$L$1000,"بانتظار سندات الاستلام \ شهادة الإنجاز"))</f>
        <v/>
      </c>
      <c r="Q386" t="str">
        <f>IF(B386="","",COUNTIFS(DB_All!$G$2:$G$1000,B386,DB_All!$L$2:$L$1000,"بانتظار سندات الاستلام \ شهادة الإنجاز"))</f>
        <v/>
      </c>
      <c r="R386" t="str">
        <f t="shared" ref="R386:R449" si="20">IF(B386="","",F386+H386)</f>
        <v/>
      </c>
    </row>
    <row r="387" spans="6:18" x14ac:dyDescent="0.3">
      <c r="F387" t="str">
        <f>IF(B387="","",SUMIFS(DB_All!$M$2:$M$1000,DB_All!$G$2:$G$1000,B387,DB_All!$L$2:$L$1000,"تحت إجراءات التعاقد"))</f>
        <v/>
      </c>
      <c r="G387" t="str">
        <f>IF(B387="","",COUNTIFS(DB_All!$G$2:$G$1000,B387,DB_All!$L$2:$L$1000,"تحت إجراءات التعاقد"))</f>
        <v/>
      </c>
      <c r="H387" t="str">
        <f>IF(B387="","",SUMIFS(DB_All!$N$2:$N$1000,DB_All!$G$2:$G$1000,B387,DB_All!$L$2:$L$1000,"تم التوقيع"))</f>
        <v/>
      </c>
      <c r="I387" t="str">
        <f>IF(B387="","",COUNTIFS(DB_All!$G$2:$G$1000,B387,DB_All!$L$2:$L$1000,"تم التوقيع"))</f>
        <v/>
      </c>
      <c r="J387">
        <f t="shared" si="18"/>
        <v>0</v>
      </c>
      <c r="K387" t="str">
        <f>IF(B387="","",SUMIFS('المطالبات 2026'!$J:$J,'المطالبات 2026'!$E:$E,B387,'المطالبات 2026'!$I:$I,"مطالبة مرفوعة للمالية") + SUMIFS('المطالبات 2025'!$J:$J,'المطالبات 2025'!$E:$E,B387,'المطالبات 2025'!$I:$I,"مطالبة مرفوعة للمالية"))</f>
        <v/>
      </c>
      <c r="L387" t="str">
        <f>IF(B387="","",COUNTIFS('المطالبات 2026'!$E:$E,B387,'المطالبات 2026'!$I:$I,"مطالبة مرفوعة للمالية") + COUNTIFS('المطالبات 2025'!$E:$E,B387,'المطالبات 2025'!$I:$I,"مطالبة مرفوعة للمالية"))</f>
        <v/>
      </c>
      <c r="M387">
        <f t="shared" si="19"/>
        <v>0</v>
      </c>
      <c r="N387" t="str">
        <f>IF(B387="","",SUMIFS(DB_All!$N$2:$N$1000,DB_All!$G$2:$G$1000,B387,DB_All!$L$2:$L$1000,"تحت إجراءات التوريد"))</f>
        <v/>
      </c>
      <c r="O387" t="str">
        <f>IF(B387="","",COUNTIFS(DB_All!$G$2:$G$1000,B387,DB_All!$L$2:$L$1000,"تحت إجراءات التوريد"))</f>
        <v/>
      </c>
      <c r="P387" t="str">
        <f>IF(B387="","",SUMIFS(DB_All!$N$2:$N$1000,DB_All!$G$2:$G$1000,B387,DB_All!$L$2:$L$1000,"بانتظار سندات الاستلام \ شهادة الإنجاز"))</f>
        <v/>
      </c>
      <c r="Q387" t="str">
        <f>IF(B387="","",COUNTIFS(DB_All!$G$2:$G$1000,B387,DB_All!$L$2:$L$1000,"بانتظار سندات الاستلام \ شهادة الإنجاز"))</f>
        <v/>
      </c>
      <c r="R387" t="str">
        <f t="shared" si="20"/>
        <v/>
      </c>
    </row>
    <row r="388" spans="6:18" x14ac:dyDescent="0.3">
      <c r="F388" t="str">
        <f>IF(B388="","",SUMIFS(DB_All!$M$2:$M$1000,DB_All!$G$2:$G$1000,B388,DB_All!$L$2:$L$1000,"تحت إجراءات التعاقد"))</f>
        <v/>
      </c>
      <c r="G388" t="str">
        <f>IF(B388="","",COUNTIFS(DB_All!$G$2:$G$1000,B388,DB_All!$L$2:$L$1000,"تحت إجراءات التعاقد"))</f>
        <v/>
      </c>
      <c r="H388" t="str">
        <f>IF(B388="","",SUMIFS(DB_All!$N$2:$N$1000,DB_All!$G$2:$G$1000,B388,DB_All!$L$2:$L$1000,"تم التوقيع"))</f>
        <v/>
      </c>
      <c r="I388" t="str">
        <f>IF(B388="","",COUNTIFS(DB_All!$G$2:$G$1000,B388,DB_All!$L$2:$L$1000,"تم التوقيع"))</f>
        <v/>
      </c>
      <c r="J388">
        <f t="shared" si="18"/>
        <v>0</v>
      </c>
      <c r="K388" t="str">
        <f>IF(B388="","",SUMIFS('المطالبات 2026'!$J:$J,'المطالبات 2026'!$E:$E,B388,'المطالبات 2026'!$I:$I,"مطالبة مرفوعة للمالية") + SUMIFS('المطالبات 2025'!$J:$J,'المطالبات 2025'!$E:$E,B388,'المطالبات 2025'!$I:$I,"مطالبة مرفوعة للمالية"))</f>
        <v/>
      </c>
      <c r="L388" t="str">
        <f>IF(B388="","",COUNTIFS('المطالبات 2026'!$E:$E,B388,'المطالبات 2026'!$I:$I,"مطالبة مرفوعة للمالية") + COUNTIFS('المطالبات 2025'!$E:$E,B388,'المطالبات 2025'!$I:$I,"مطالبة مرفوعة للمالية"))</f>
        <v/>
      </c>
      <c r="M388">
        <f t="shared" si="19"/>
        <v>0</v>
      </c>
      <c r="N388" t="str">
        <f>IF(B388="","",SUMIFS(DB_All!$N$2:$N$1000,DB_All!$G$2:$G$1000,B388,DB_All!$L$2:$L$1000,"تحت إجراءات التوريد"))</f>
        <v/>
      </c>
      <c r="O388" t="str">
        <f>IF(B388="","",COUNTIFS(DB_All!$G$2:$G$1000,B388,DB_All!$L$2:$L$1000,"تحت إجراءات التوريد"))</f>
        <v/>
      </c>
      <c r="P388" t="str">
        <f>IF(B388="","",SUMIFS(DB_All!$N$2:$N$1000,DB_All!$G$2:$G$1000,B388,DB_All!$L$2:$L$1000,"بانتظار سندات الاستلام \ شهادة الإنجاز"))</f>
        <v/>
      </c>
      <c r="Q388" t="str">
        <f>IF(B388="","",COUNTIFS(DB_All!$G$2:$G$1000,B388,DB_All!$L$2:$L$1000,"بانتظار سندات الاستلام \ شهادة الإنجاز"))</f>
        <v/>
      </c>
      <c r="R388" t="str">
        <f t="shared" si="20"/>
        <v/>
      </c>
    </row>
    <row r="389" spans="6:18" x14ac:dyDescent="0.3">
      <c r="F389" t="str">
        <f>IF(B389="","",SUMIFS(DB_All!$M$2:$M$1000,DB_All!$G$2:$G$1000,B389,DB_All!$L$2:$L$1000,"تحت إجراءات التعاقد"))</f>
        <v/>
      </c>
      <c r="G389" t="str">
        <f>IF(B389="","",COUNTIFS(DB_All!$G$2:$G$1000,B389,DB_All!$L$2:$L$1000,"تحت إجراءات التعاقد"))</f>
        <v/>
      </c>
      <c r="H389" t="str">
        <f>IF(B389="","",SUMIFS(DB_All!$N$2:$N$1000,DB_All!$G$2:$G$1000,B389,DB_All!$L$2:$L$1000,"تم التوقيع"))</f>
        <v/>
      </c>
      <c r="I389" t="str">
        <f>IF(B389="","",COUNTIFS(DB_All!$G$2:$G$1000,B389,DB_All!$L$2:$L$1000,"تم التوقيع"))</f>
        <v/>
      </c>
      <c r="J389">
        <f t="shared" si="18"/>
        <v>0</v>
      </c>
      <c r="K389" t="str">
        <f>IF(B389="","",SUMIFS('المطالبات 2026'!$J:$J,'المطالبات 2026'!$E:$E,B389,'المطالبات 2026'!$I:$I,"مطالبة مرفوعة للمالية") + SUMIFS('المطالبات 2025'!$J:$J,'المطالبات 2025'!$E:$E,B389,'المطالبات 2025'!$I:$I,"مطالبة مرفوعة للمالية"))</f>
        <v/>
      </c>
      <c r="L389" t="str">
        <f>IF(B389="","",COUNTIFS('المطالبات 2026'!$E:$E,B389,'المطالبات 2026'!$I:$I,"مطالبة مرفوعة للمالية") + COUNTIFS('المطالبات 2025'!$E:$E,B389,'المطالبات 2025'!$I:$I,"مطالبة مرفوعة للمالية"))</f>
        <v/>
      </c>
      <c r="M389">
        <f t="shared" si="19"/>
        <v>0</v>
      </c>
      <c r="N389" t="str">
        <f>IF(B389="","",SUMIFS(DB_All!$N$2:$N$1000,DB_All!$G$2:$G$1000,B389,DB_All!$L$2:$L$1000,"تحت إجراءات التوريد"))</f>
        <v/>
      </c>
      <c r="O389" t="str">
        <f>IF(B389="","",COUNTIFS(DB_All!$G$2:$G$1000,B389,DB_All!$L$2:$L$1000,"تحت إجراءات التوريد"))</f>
        <v/>
      </c>
      <c r="P389" t="str">
        <f>IF(B389="","",SUMIFS(DB_All!$N$2:$N$1000,DB_All!$G$2:$G$1000,B389,DB_All!$L$2:$L$1000,"بانتظار سندات الاستلام \ شهادة الإنجاز"))</f>
        <v/>
      </c>
      <c r="Q389" t="str">
        <f>IF(B389="","",COUNTIFS(DB_All!$G$2:$G$1000,B389,DB_All!$L$2:$L$1000,"بانتظار سندات الاستلام \ شهادة الإنجاز"))</f>
        <v/>
      </c>
      <c r="R389" t="str">
        <f t="shared" si="20"/>
        <v/>
      </c>
    </row>
    <row r="390" spans="6:18" x14ac:dyDescent="0.3">
      <c r="F390" t="str">
        <f>IF(B390="","",SUMIFS(DB_All!$M$2:$M$1000,DB_All!$G$2:$G$1000,B390,DB_All!$L$2:$L$1000,"تحت إجراءات التعاقد"))</f>
        <v/>
      </c>
      <c r="G390" t="str">
        <f>IF(B390="","",COUNTIFS(DB_All!$G$2:$G$1000,B390,DB_All!$L$2:$L$1000,"تحت إجراءات التعاقد"))</f>
        <v/>
      </c>
      <c r="H390" t="str">
        <f>IF(B390="","",SUMIFS(DB_All!$N$2:$N$1000,DB_All!$G$2:$G$1000,B390,DB_All!$L$2:$L$1000,"تم التوقيع"))</f>
        <v/>
      </c>
      <c r="I390" t="str">
        <f>IF(B390="","",COUNTIFS(DB_All!$G$2:$G$1000,B390,DB_All!$L$2:$L$1000,"تم التوقيع"))</f>
        <v/>
      </c>
      <c r="J390">
        <f t="shared" si="18"/>
        <v>0</v>
      </c>
      <c r="K390" t="str">
        <f>IF(B390="","",SUMIFS('المطالبات 2026'!$J:$J,'المطالبات 2026'!$E:$E,B390,'المطالبات 2026'!$I:$I,"مطالبة مرفوعة للمالية") + SUMIFS('المطالبات 2025'!$J:$J,'المطالبات 2025'!$E:$E,B390,'المطالبات 2025'!$I:$I,"مطالبة مرفوعة للمالية"))</f>
        <v/>
      </c>
      <c r="L390" t="str">
        <f>IF(B390="","",COUNTIFS('المطالبات 2026'!$E:$E,B390,'المطالبات 2026'!$I:$I,"مطالبة مرفوعة للمالية") + COUNTIFS('المطالبات 2025'!$E:$E,B390,'المطالبات 2025'!$I:$I,"مطالبة مرفوعة للمالية"))</f>
        <v/>
      </c>
      <c r="M390">
        <f t="shared" si="19"/>
        <v>0</v>
      </c>
      <c r="N390" t="str">
        <f>IF(B390="","",SUMIFS(DB_All!$N$2:$N$1000,DB_All!$G$2:$G$1000,B390,DB_All!$L$2:$L$1000,"تحت إجراءات التوريد"))</f>
        <v/>
      </c>
      <c r="O390" t="str">
        <f>IF(B390="","",COUNTIFS(DB_All!$G$2:$G$1000,B390,DB_All!$L$2:$L$1000,"تحت إجراءات التوريد"))</f>
        <v/>
      </c>
      <c r="P390" t="str">
        <f>IF(B390="","",SUMIFS(DB_All!$N$2:$N$1000,DB_All!$G$2:$G$1000,B390,DB_All!$L$2:$L$1000,"بانتظار سندات الاستلام \ شهادة الإنجاز"))</f>
        <v/>
      </c>
      <c r="Q390" t="str">
        <f>IF(B390="","",COUNTIFS(DB_All!$G$2:$G$1000,B390,DB_All!$L$2:$L$1000,"بانتظار سندات الاستلام \ شهادة الإنجاز"))</f>
        <v/>
      </c>
      <c r="R390" t="str">
        <f t="shared" si="20"/>
        <v/>
      </c>
    </row>
    <row r="391" spans="6:18" x14ac:dyDescent="0.3">
      <c r="F391" t="str">
        <f>IF(B391="","",SUMIFS(DB_All!$M$2:$M$1000,DB_All!$G$2:$G$1000,B391,DB_All!$L$2:$L$1000,"تحت إجراءات التعاقد"))</f>
        <v/>
      </c>
      <c r="G391" t="str">
        <f>IF(B391="","",COUNTIFS(DB_All!$G$2:$G$1000,B391,DB_All!$L$2:$L$1000,"تحت إجراءات التعاقد"))</f>
        <v/>
      </c>
      <c r="H391" t="str">
        <f>IF(B391="","",SUMIFS(DB_All!$N$2:$N$1000,DB_All!$G$2:$G$1000,B391,DB_All!$L$2:$L$1000,"تم التوقيع"))</f>
        <v/>
      </c>
      <c r="I391" t="str">
        <f>IF(B391="","",COUNTIFS(DB_All!$G$2:$G$1000,B391,DB_All!$L$2:$L$1000,"تم التوقيع"))</f>
        <v/>
      </c>
      <c r="J391">
        <f t="shared" si="18"/>
        <v>0</v>
      </c>
      <c r="K391" t="str">
        <f>IF(B391="","",SUMIFS('المطالبات 2026'!$J:$J,'المطالبات 2026'!$E:$E,B391,'المطالبات 2026'!$I:$I,"مطالبة مرفوعة للمالية") + SUMIFS('المطالبات 2025'!$J:$J,'المطالبات 2025'!$E:$E,B391,'المطالبات 2025'!$I:$I,"مطالبة مرفوعة للمالية"))</f>
        <v/>
      </c>
      <c r="L391" t="str">
        <f>IF(B391="","",COUNTIFS('المطالبات 2026'!$E:$E,B391,'المطالبات 2026'!$I:$I,"مطالبة مرفوعة للمالية") + COUNTIFS('المطالبات 2025'!$E:$E,B391,'المطالبات 2025'!$I:$I,"مطالبة مرفوعة للمالية"))</f>
        <v/>
      </c>
      <c r="M391">
        <f t="shared" si="19"/>
        <v>0</v>
      </c>
      <c r="N391" t="str">
        <f>IF(B391="","",SUMIFS(DB_All!$N$2:$N$1000,DB_All!$G$2:$G$1000,B391,DB_All!$L$2:$L$1000,"تحت إجراءات التوريد"))</f>
        <v/>
      </c>
      <c r="O391" t="str">
        <f>IF(B391="","",COUNTIFS(DB_All!$G$2:$G$1000,B391,DB_All!$L$2:$L$1000,"تحت إجراءات التوريد"))</f>
        <v/>
      </c>
      <c r="P391" t="str">
        <f>IF(B391="","",SUMIFS(DB_All!$N$2:$N$1000,DB_All!$G$2:$G$1000,B391,DB_All!$L$2:$L$1000,"بانتظار سندات الاستلام \ شهادة الإنجاز"))</f>
        <v/>
      </c>
      <c r="Q391" t="str">
        <f>IF(B391="","",COUNTIFS(DB_All!$G$2:$G$1000,B391,DB_All!$L$2:$L$1000,"بانتظار سندات الاستلام \ شهادة الإنجاز"))</f>
        <v/>
      </c>
      <c r="R391" t="str">
        <f t="shared" si="20"/>
        <v/>
      </c>
    </row>
    <row r="392" spans="6:18" x14ac:dyDescent="0.3">
      <c r="F392" t="str">
        <f>IF(B392="","",SUMIFS(DB_All!$M$2:$M$1000,DB_All!$G$2:$G$1000,B392,DB_All!$L$2:$L$1000,"تحت إجراءات التعاقد"))</f>
        <v/>
      </c>
      <c r="G392" t="str">
        <f>IF(B392="","",COUNTIFS(DB_All!$G$2:$G$1000,B392,DB_All!$L$2:$L$1000,"تحت إجراءات التعاقد"))</f>
        <v/>
      </c>
      <c r="H392" t="str">
        <f>IF(B392="","",SUMIFS(DB_All!$N$2:$N$1000,DB_All!$G$2:$G$1000,B392,DB_All!$L$2:$L$1000,"تم التوقيع"))</f>
        <v/>
      </c>
      <c r="I392" t="str">
        <f>IF(B392="","",COUNTIFS(DB_All!$G$2:$G$1000,B392,DB_All!$L$2:$L$1000,"تم التوقيع"))</f>
        <v/>
      </c>
      <c r="J392">
        <f t="shared" si="18"/>
        <v>0</v>
      </c>
      <c r="K392" t="str">
        <f>IF(B392="","",SUMIFS('المطالبات 2026'!$J:$J,'المطالبات 2026'!$E:$E,B392,'المطالبات 2026'!$I:$I,"مطالبة مرفوعة للمالية") + SUMIFS('المطالبات 2025'!$J:$J,'المطالبات 2025'!$E:$E,B392,'المطالبات 2025'!$I:$I,"مطالبة مرفوعة للمالية"))</f>
        <v/>
      </c>
      <c r="L392" t="str">
        <f>IF(B392="","",COUNTIFS('المطالبات 2026'!$E:$E,B392,'المطالبات 2026'!$I:$I,"مطالبة مرفوعة للمالية") + COUNTIFS('المطالبات 2025'!$E:$E,B392,'المطالبات 2025'!$I:$I,"مطالبة مرفوعة للمالية"))</f>
        <v/>
      </c>
      <c r="M392">
        <f t="shared" si="19"/>
        <v>0</v>
      </c>
      <c r="N392" t="str">
        <f>IF(B392="","",SUMIFS(DB_All!$N$2:$N$1000,DB_All!$G$2:$G$1000,B392,DB_All!$L$2:$L$1000,"تحت إجراءات التوريد"))</f>
        <v/>
      </c>
      <c r="O392" t="str">
        <f>IF(B392="","",COUNTIFS(DB_All!$G$2:$G$1000,B392,DB_All!$L$2:$L$1000,"تحت إجراءات التوريد"))</f>
        <v/>
      </c>
      <c r="P392" t="str">
        <f>IF(B392="","",SUMIFS(DB_All!$N$2:$N$1000,DB_All!$G$2:$G$1000,B392,DB_All!$L$2:$L$1000,"بانتظار سندات الاستلام \ شهادة الإنجاز"))</f>
        <v/>
      </c>
      <c r="Q392" t="str">
        <f>IF(B392="","",COUNTIFS(DB_All!$G$2:$G$1000,B392,DB_All!$L$2:$L$1000,"بانتظار سندات الاستلام \ شهادة الإنجاز"))</f>
        <v/>
      </c>
      <c r="R392" t="str">
        <f t="shared" si="20"/>
        <v/>
      </c>
    </row>
    <row r="393" spans="6:18" x14ac:dyDescent="0.3">
      <c r="F393" t="str">
        <f>IF(B393="","",SUMIFS(DB_All!$M$2:$M$1000,DB_All!$G$2:$G$1000,B393,DB_All!$L$2:$L$1000,"تحت إجراءات التعاقد"))</f>
        <v/>
      </c>
      <c r="G393" t="str">
        <f>IF(B393="","",COUNTIFS(DB_All!$G$2:$G$1000,B393,DB_All!$L$2:$L$1000,"تحت إجراءات التعاقد"))</f>
        <v/>
      </c>
      <c r="H393" t="str">
        <f>IF(B393="","",SUMIFS(DB_All!$N$2:$N$1000,DB_All!$G$2:$G$1000,B393,DB_All!$L$2:$L$1000,"تم التوقيع"))</f>
        <v/>
      </c>
      <c r="I393" t="str">
        <f>IF(B393="","",COUNTIFS(DB_All!$G$2:$G$1000,B393,DB_All!$L$2:$L$1000,"تم التوقيع"))</f>
        <v/>
      </c>
      <c r="J393">
        <f t="shared" si="18"/>
        <v>0</v>
      </c>
      <c r="K393" t="str">
        <f>IF(B393="","",SUMIFS('المطالبات 2026'!$J:$J,'المطالبات 2026'!$E:$E,B393,'المطالبات 2026'!$I:$I,"مطالبة مرفوعة للمالية") + SUMIFS('المطالبات 2025'!$J:$J,'المطالبات 2025'!$E:$E,B393,'المطالبات 2025'!$I:$I,"مطالبة مرفوعة للمالية"))</f>
        <v/>
      </c>
      <c r="L393" t="str">
        <f>IF(B393="","",COUNTIFS('المطالبات 2026'!$E:$E,B393,'المطالبات 2026'!$I:$I,"مطالبة مرفوعة للمالية") + COUNTIFS('المطالبات 2025'!$E:$E,B393,'المطالبات 2025'!$I:$I,"مطالبة مرفوعة للمالية"))</f>
        <v/>
      </c>
      <c r="M393">
        <f t="shared" si="19"/>
        <v>0</v>
      </c>
      <c r="N393" t="str">
        <f>IF(B393="","",SUMIFS(DB_All!$N$2:$N$1000,DB_All!$G$2:$G$1000,B393,DB_All!$L$2:$L$1000,"تحت إجراءات التوريد"))</f>
        <v/>
      </c>
      <c r="O393" t="str">
        <f>IF(B393="","",COUNTIFS(DB_All!$G$2:$G$1000,B393,DB_All!$L$2:$L$1000,"تحت إجراءات التوريد"))</f>
        <v/>
      </c>
      <c r="P393" t="str">
        <f>IF(B393="","",SUMIFS(DB_All!$N$2:$N$1000,DB_All!$G$2:$G$1000,B393,DB_All!$L$2:$L$1000,"بانتظار سندات الاستلام \ شهادة الإنجاز"))</f>
        <v/>
      </c>
      <c r="Q393" t="str">
        <f>IF(B393="","",COUNTIFS(DB_All!$G$2:$G$1000,B393,DB_All!$L$2:$L$1000,"بانتظار سندات الاستلام \ شهادة الإنجاز"))</f>
        <v/>
      </c>
      <c r="R393" t="str">
        <f t="shared" si="20"/>
        <v/>
      </c>
    </row>
    <row r="394" spans="6:18" x14ac:dyDescent="0.3">
      <c r="F394" t="str">
        <f>IF(B394="","",SUMIFS(DB_All!$M$2:$M$1000,DB_All!$G$2:$G$1000,B394,DB_All!$L$2:$L$1000,"تحت إجراءات التعاقد"))</f>
        <v/>
      </c>
      <c r="G394" t="str">
        <f>IF(B394="","",COUNTIFS(DB_All!$G$2:$G$1000,B394,DB_All!$L$2:$L$1000,"تحت إجراءات التعاقد"))</f>
        <v/>
      </c>
      <c r="H394" t="str">
        <f>IF(B394="","",SUMIFS(DB_All!$N$2:$N$1000,DB_All!$G$2:$G$1000,B394,DB_All!$L$2:$L$1000,"تم التوقيع"))</f>
        <v/>
      </c>
      <c r="I394" t="str">
        <f>IF(B394="","",COUNTIFS(DB_All!$G$2:$G$1000,B394,DB_All!$L$2:$L$1000,"تم التوقيع"))</f>
        <v/>
      </c>
      <c r="J394">
        <f t="shared" si="18"/>
        <v>0</v>
      </c>
      <c r="K394" t="str">
        <f>IF(B394="","",SUMIFS('المطالبات 2026'!$J:$J,'المطالبات 2026'!$E:$E,B394,'المطالبات 2026'!$I:$I,"مطالبة مرفوعة للمالية") + SUMIFS('المطالبات 2025'!$J:$J,'المطالبات 2025'!$E:$E,B394,'المطالبات 2025'!$I:$I,"مطالبة مرفوعة للمالية"))</f>
        <v/>
      </c>
      <c r="L394" t="str">
        <f>IF(B394="","",COUNTIFS('المطالبات 2026'!$E:$E,B394,'المطالبات 2026'!$I:$I,"مطالبة مرفوعة للمالية") + COUNTIFS('المطالبات 2025'!$E:$E,B394,'المطالبات 2025'!$I:$I,"مطالبة مرفوعة للمالية"))</f>
        <v/>
      </c>
      <c r="M394">
        <f t="shared" si="19"/>
        <v>0</v>
      </c>
      <c r="N394" t="str">
        <f>IF(B394="","",SUMIFS(DB_All!$N$2:$N$1000,DB_All!$G$2:$G$1000,B394,DB_All!$L$2:$L$1000,"تحت إجراءات التوريد"))</f>
        <v/>
      </c>
      <c r="O394" t="str">
        <f>IF(B394="","",COUNTIFS(DB_All!$G$2:$G$1000,B394,DB_All!$L$2:$L$1000,"تحت إجراءات التوريد"))</f>
        <v/>
      </c>
      <c r="P394" t="str">
        <f>IF(B394="","",SUMIFS(DB_All!$N$2:$N$1000,DB_All!$G$2:$G$1000,B394,DB_All!$L$2:$L$1000,"بانتظار سندات الاستلام \ شهادة الإنجاز"))</f>
        <v/>
      </c>
      <c r="Q394" t="str">
        <f>IF(B394="","",COUNTIFS(DB_All!$G$2:$G$1000,B394,DB_All!$L$2:$L$1000,"بانتظار سندات الاستلام \ شهادة الإنجاز"))</f>
        <v/>
      </c>
      <c r="R394" t="str">
        <f t="shared" si="20"/>
        <v/>
      </c>
    </row>
    <row r="395" spans="6:18" x14ac:dyDescent="0.3">
      <c r="F395" t="str">
        <f>IF(B395="","",SUMIFS(DB_All!$M$2:$M$1000,DB_All!$G$2:$G$1000,B395,DB_All!$L$2:$L$1000,"تحت إجراءات التعاقد"))</f>
        <v/>
      </c>
      <c r="G395" t="str">
        <f>IF(B395="","",COUNTIFS(DB_All!$G$2:$G$1000,B395,DB_All!$L$2:$L$1000,"تحت إجراءات التعاقد"))</f>
        <v/>
      </c>
      <c r="H395" t="str">
        <f>IF(B395="","",SUMIFS(DB_All!$N$2:$N$1000,DB_All!$G$2:$G$1000,B395,DB_All!$L$2:$L$1000,"تم التوقيع"))</f>
        <v/>
      </c>
      <c r="I395" t="str">
        <f>IF(B395="","",COUNTIFS(DB_All!$G$2:$G$1000,B395,DB_All!$L$2:$L$1000,"تم التوقيع"))</f>
        <v/>
      </c>
      <c r="J395">
        <f t="shared" si="18"/>
        <v>0</v>
      </c>
      <c r="K395" t="str">
        <f>IF(B395="","",SUMIFS('المطالبات 2026'!$J:$J,'المطالبات 2026'!$E:$E,B395,'المطالبات 2026'!$I:$I,"مطالبة مرفوعة للمالية") + SUMIFS('المطالبات 2025'!$J:$J,'المطالبات 2025'!$E:$E,B395,'المطالبات 2025'!$I:$I,"مطالبة مرفوعة للمالية"))</f>
        <v/>
      </c>
      <c r="L395" t="str">
        <f>IF(B395="","",COUNTIFS('المطالبات 2026'!$E:$E,B395,'المطالبات 2026'!$I:$I,"مطالبة مرفوعة للمالية") + COUNTIFS('المطالبات 2025'!$E:$E,B395,'المطالبات 2025'!$I:$I,"مطالبة مرفوعة للمالية"))</f>
        <v/>
      </c>
      <c r="M395">
        <f t="shared" si="19"/>
        <v>0</v>
      </c>
      <c r="N395" t="str">
        <f>IF(B395="","",SUMIFS(DB_All!$N$2:$N$1000,DB_All!$G$2:$G$1000,B395,DB_All!$L$2:$L$1000,"تحت إجراءات التوريد"))</f>
        <v/>
      </c>
      <c r="O395" t="str">
        <f>IF(B395="","",COUNTIFS(DB_All!$G$2:$G$1000,B395,DB_All!$L$2:$L$1000,"تحت إجراءات التوريد"))</f>
        <v/>
      </c>
      <c r="P395" t="str">
        <f>IF(B395="","",SUMIFS(DB_All!$N$2:$N$1000,DB_All!$G$2:$G$1000,B395,DB_All!$L$2:$L$1000,"بانتظار سندات الاستلام \ شهادة الإنجاز"))</f>
        <v/>
      </c>
      <c r="Q395" t="str">
        <f>IF(B395="","",COUNTIFS(DB_All!$G$2:$G$1000,B395,DB_All!$L$2:$L$1000,"بانتظار سندات الاستلام \ شهادة الإنجاز"))</f>
        <v/>
      </c>
      <c r="R395" t="str">
        <f t="shared" si="20"/>
        <v/>
      </c>
    </row>
    <row r="396" spans="6:18" x14ac:dyDescent="0.3">
      <c r="F396" t="str">
        <f>IF(B396="","",SUMIFS(DB_All!$M$2:$M$1000,DB_All!$G$2:$G$1000,B396,DB_All!$L$2:$L$1000,"تحت إجراءات التعاقد"))</f>
        <v/>
      </c>
      <c r="G396" t="str">
        <f>IF(B396="","",COUNTIFS(DB_All!$G$2:$G$1000,B396,DB_All!$L$2:$L$1000,"تحت إجراءات التعاقد"))</f>
        <v/>
      </c>
      <c r="H396" t="str">
        <f>IF(B396="","",SUMIFS(DB_All!$N$2:$N$1000,DB_All!$G$2:$G$1000,B396,DB_All!$L$2:$L$1000,"تم التوقيع"))</f>
        <v/>
      </c>
      <c r="I396" t="str">
        <f>IF(B396="","",COUNTIFS(DB_All!$G$2:$G$1000,B396,DB_All!$L$2:$L$1000,"تم التوقيع"))</f>
        <v/>
      </c>
      <c r="J396">
        <f t="shared" si="18"/>
        <v>0</v>
      </c>
      <c r="K396" t="str">
        <f>IF(B396="","",SUMIFS('المطالبات 2026'!$J:$J,'المطالبات 2026'!$E:$E,B396,'المطالبات 2026'!$I:$I,"مطالبة مرفوعة للمالية") + SUMIFS('المطالبات 2025'!$J:$J,'المطالبات 2025'!$E:$E,B396,'المطالبات 2025'!$I:$I,"مطالبة مرفوعة للمالية"))</f>
        <v/>
      </c>
      <c r="L396" t="str">
        <f>IF(B396="","",COUNTIFS('المطالبات 2026'!$E:$E,B396,'المطالبات 2026'!$I:$I,"مطالبة مرفوعة للمالية") + COUNTIFS('المطالبات 2025'!$E:$E,B396,'المطالبات 2025'!$I:$I,"مطالبة مرفوعة للمالية"))</f>
        <v/>
      </c>
      <c r="M396">
        <f t="shared" si="19"/>
        <v>0</v>
      </c>
      <c r="N396" t="str">
        <f>IF(B396="","",SUMIFS(DB_All!$N$2:$N$1000,DB_All!$G$2:$G$1000,B396,DB_All!$L$2:$L$1000,"تحت إجراءات التوريد"))</f>
        <v/>
      </c>
      <c r="O396" t="str">
        <f>IF(B396="","",COUNTIFS(DB_All!$G$2:$G$1000,B396,DB_All!$L$2:$L$1000,"تحت إجراءات التوريد"))</f>
        <v/>
      </c>
      <c r="P396" t="str">
        <f>IF(B396="","",SUMIFS(DB_All!$N$2:$N$1000,DB_All!$G$2:$G$1000,B396,DB_All!$L$2:$L$1000,"بانتظار سندات الاستلام \ شهادة الإنجاز"))</f>
        <v/>
      </c>
      <c r="Q396" t="str">
        <f>IF(B396="","",COUNTIFS(DB_All!$G$2:$G$1000,B396,DB_All!$L$2:$L$1000,"بانتظار سندات الاستلام \ شهادة الإنجاز"))</f>
        <v/>
      </c>
      <c r="R396" t="str">
        <f t="shared" si="20"/>
        <v/>
      </c>
    </row>
    <row r="397" spans="6:18" x14ac:dyDescent="0.3">
      <c r="F397" t="str">
        <f>IF(B397="","",SUMIFS(DB_All!$M$2:$M$1000,DB_All!$G$2:$G$1000,B397,DB_All!$L$2:$L$1000,"تحت إجراءات التعاقد"))</f>
        <v/>
      </c>
      <c r="G397" t="str">
        <f>IF(B397="","",COUNTIFS(DB_All!$G$2:$G$1000,B397,DB_All!$L$2:$L$1000,"تحت إجراءات التعاقد"))</f>
        <v/>
      </c>
      <c r="H397" t="str">
        <f>IF(B397="","",SUMIFS(DB_All!$N$2:$N$1000,DB_All!$G$2:$G$1000,B397,DB_All!$L$2:$L$1000,"تم التوقيع"))</f>
        <v/>
      </c>
      <c r="I397" t="str">
        <f>IF(B397="","",COUNTIFS(DB_All!$G$2:$G$1000,B397,DB_All!$L$2:$L$1000,"تم التوقيع"))</f>
        <v/>
      </c>
      <c r="J397">
        <f t="shared" si="18"/>
        <v>0</v>
      </c>
      <c r="K397" t="str">
        <f>IF(B397="","",SUMIFS('المطالبات 2026'!$J:$J,'المطالبات 2026'!$E:$E,B397,'المطالبات 2026'!$I:$I,"مطالبة مرفوعة للمالية") + SUMIFS('المطالبات 2025'!$J:$J,'المطالبات 2025'!$E:$E,B397,'المطالبات 2025'!$I:$I,"مطالبة مرفوعة للمالية"))</f>
        <v/>
      </c>
      <c r="L397" t="str">
        <f>IF(B397="","",COUNTIFS('المطالبات 2026'!$E:$E,B397,'المطالبات 2026'!$I:$I,"مطالبة مرفوعة للمالية") + COUNTIFS('المطالبات 2025'!$E:$E,B397,'المطالبات 2025'!$I:$I,"مطالبة مرفوعة للمالية"))</f>
        <v/>
      </c>
      <c r="M397">
        <f t="shared" si="19"/>
        <v>0</v>
      </c>
      <c r="N397" t="str">
        <f>IF(B397="","",SUMIFS(DB_All!$N$2:$N$1000,DB_All!$G$2:$G$1000,B397,DB_All!$L$2:$L$1000,"تحت إجراءات التوريد"))</f>
        <v/>
      </c>
      <c r="O397" t="str">
        <f>IF(B397="","",COUNTIFS(DB_All!$G$2:$G$1000,B397,DB_All!$L$2:$L$1000,"تحت إجراءات التوريد"))</f>
        <v/>
      </c>
      <c r="P397" t="str">
        <f>IF(B397="","",SUMIFS(DB_All!$N$2:$N$1000,DB_All!$G$2:$G$1000,B397,DB_All!$L$2:$L$1000,"بانتظار سندات الاستلام \ شهادة الإنجاز"))</f>
        <v/>
      </c>
      <c r="Q397" t="str">
        <f>IF(B397="","",COUNTIFS(DB_All!$G$2:$G$1000,B397,DB_All!$L$2:$L$1000,"بانتظار سندات الاستلام \ شهادة الإنجاز"))</f>
        <v/>
      </c>
      <c r="R397" t="str">
        <f t="shared" si="20"/>
        <v/>
      </c>
    </row>
    <row r="398" spans="6:18" x14ac:dyDescent="0.3">
      <c r="F398" t="str">
        <f>IF(B398="","",SUMIFS(DB_All!$M$2:$M$1000,DB_All!$G$2:$G$1000,B398,DB_All!$L$2:$L$1000,"تحت إجراءات التعاقد"))</f>
        <v/>
      </c>
      <c r="G398" t="str">
        <f>IF(B398="","",COUNTIFS(DB_All!$G$2:$G$1000,B398,DB_All!$L$2:$L$1000,"تحت إجراءات التعاقد"))</f>
        <v/>
      </c>
      <c r="H398" t="str">
        <f>IF(B398="","",SUMIFS(DB_All!$N$2:$N$1000,DB_All!$G$2:$G$1000,B398,DB_All!$L$2:$L$1000,"تم التوقيع"))</f>
        <v/>
      </c>
      <c r="I398" t="str">
        <f>IF(B398="","",COUNTIFS(DB_All!$G$2:$G$1000,B398,DB_All!$L$2:$L$1000,"تم التوقيع"))</f>
        <v/>
      </c>
      <c r="J398">
        <f t="shared" si="18"/>
        <v>0</v>
      </c>
      <c r="K398" t="str">
        <f>IF(B398="","",SUMIFS('المطالبات 2026'!$J:$J,'المطالبات 2026'!$E:$E,B398,'المطالبات 2026'!$I:$I,"مطالبة مرفوعة للمالية") + SUMIFS('المطالبات 2025'!$J:$J,'المطالبات 2025'!$E:$E,B398,'المطالبات 2025'!$I:$I,"مطالبة مرفوعة للمالية"))</f>
        <v/>
      </c>
      <c r="L398" t="str">
        <f>IF(B398="","",COUNTIFS('المطالبات 2026'!$E:$E,B398,'المطالبات 2026'!$I:$I,"مطالبة مرفوعة للمالية") + COUNTIFS('المطالبات 2025'!$E:$E,B398,'المطالبات 2025'!$I:$I,"مطالبة مرفوعة للمالية"))</f>
        <v/>
      </c>
      <c r="M398">
        <f t="shared" si="19"/>
        <v>0</v>
      </c>
      <c r="N398" t="str">
        <f>IF(B398="","",SUMIFS(DB_All!$N$2:$N$1000,DB_All!$G$2:$G$1000,B398,DB_All!$L$2:$L$1000,"تحت إجراءات التوريد"))</f>
        <v/>
      </c>
      <c r="O398" t="str">
        <f>IF(B398="","",COUNTIFS(DB_All!$G$2:$G$1000,B398,DB_All!$L$2:$L$1000,"تحت إجراءات التوريد"))</f>
        <v/>
      </c>
      <c r="P398" t="str">
        <f>IF(B398="","",SUMIFS(DB_All!$N$2:$N$1000,DB_All!$G$2:$G$1000,B398,DB_All!$L$2:$L$1000,"بانتظار سندات الاستلام \ شهادة الإنجاز"))</f>
        <v/>
      </c>
      <c r="Q398" t="str">
        <f>IF(B398="","",COUNTIFS(DB_All!$G$2:$G$1000,B398,DB_All!$L$2:$L$1000,"بانتظار سندات الاستلام \ شهادة الإنجاز"))</f>
        <v/>
      </c>
      <c r="R398" t="str">
        <f t="shared" si="20"/>
        <v/>
      </c>
    </row>
    <row r="399" spans="6:18" x14ac:dyDescent="0.3">
      <c r="F399" t="str">
        <f>IF(B399="","",SUMIFS(DB_All!$M$2:$M$1000,DB_All!$G$2:$G$1000,B399,DB_All!$L$2:$L$1000,"تحت إجراءات التعاقد"))</f>
        <v/>
      </c>
      <c r="G399" t="str">
        <f>IF(B399="","",COUNTIFS(DB_All!$G$2:$G$1000,B399,DB_All!$L$2:$L$1000,"تحت إجراءات التعاقد"))</f>
        <v/>
      </c>
      <c r="H399" t="str">
        <f>IF(B399="","",SUMIFS(DB_All!$N$2:$N$1000,DB_All!$G$2:$G$1000,B399,DB_All!$L$2:$L$1000,"تم التوقيع"))</f>
        <v/>
      </c>
      <c r="I399" t="str">
        <f>IF(B399="","",COUNTIFS(DB_All!$G$2:$G$1000,B399,DB_All!$L$2:$L$1000,"تم التوقيع"))</f>
        <v/>
      </c>
      <c r="J399">
        <f t="shared" si="18"/>
        <v>0</v>
      </c>
      <c r="K399" t="str">
        <f>IF(B399="","",SUMIFS('المطالبات 2026'!$J:$J,'المطالبات 2026'!$E:$E,B399,'المطالبات 2026'!$I:$I,"مطالبة مرفوعة للمالية") + SUMIFS('المطالبات 2025'!$J:$J,'المطالبات 2025'!$E:$E,B399,'المطالبات 2025'!$I:$I,"مطالبة مرفوعة للمالية"))</f>
        <v/>
      </c>
      <c r="L399" t="str">
        <f>IF(B399="","",COUNTIFS('المطالبات 2026'!$E:$E,B399,'المطالبات 2026'!$I:$I,"مطالبة مرفوعة للمالية") + COUNTIFS('المطالبات 2025'!$E:$E,B399,'المطالبات 2025'!$I:$I,"مطالبة مرفوعة للمالية"))</f>
        <v/>
      </c>
      <c r="M399">
        <f t="shared" si="19"/>
        <v>0</v>
      </c>
      <c r="N399" t="str">
        <f>IF(B399="","",SUMIFS(DB_All!$N$2:$N$1000,DB_All!$G$2:$G$1000,B399,DB_All!$L$2:$L$1000,"تحت إجراءات التوريد"))</f>
        <v/>
      </c>
      <c r="O399" t="str">
        <f>IF(B399="","",COUNTIFS(DB_All!$G$2:$G$1000,B399,DB_All!$L$2:$L$1000,"تحت إجراءات التوريد"))</f>
        <v/>
      </c>
      <c r="P399" t="str">
        <f>IF(B399="","",SUMIFS(DB_All!$N$2:$N$1000,DB_All!$G$2:$G$1000,B399,DB_All!$L$2:$L$1000,"بانتظار سندات الاستلام \ شهادة الإنجاز"))</f>
        <v/>
      </c>
      <c r="Q399" t="str">
        <f>IF(B399="","",COUNTIFS(DB_All!$G$2:$G$1000,B399,DB_All!$L$2:$L$1000,"بانتظار سندات الاستلام \ شهادة الإنجاز"))</f>
        <v/>
      </c>
      <c r="R399" t="str">
        <f t="shared" si="20"/>
        <v/>
      </c>
    </row>
    <row r="400" spans="6:18" x14ac:dyDescent="0.3">
      <c r="F400" t="str">
        <f>IF(B400="","",SUMIFS(DB_All!$M$2:$M$1000,DB_All!$G$2:$G$1000,B400,DB_All!$L$2:$L$1000,"تحت إجراءات التعاقد"))</f>
        <v/>
      </c>
      <c r="G400" t="str">
        <f>IF(B400="","",COUNTIFS(DB_All!$G$2:$G$1000,B400,DB_All!$L$2:$L$1000,"تحت إجراءات التعاقد"))</f>
        <v/>
      </c>
      <c r="H400" t="str">
        <f>IF(B400="","",SUMIFS(DB_All!$N$2:$N$1000,DB_All!$G$2:$G$1000,B400,DB_All!$L$2:$L$1000,"تم التوقيع"))</f>
        <v/>
      </c>
      <c r="I400" t="str">
        <f>IF(B400="","",COUNTIFS(DB_All!$G$2:$G$1000,B400,DB_All!$L$2:$L$1000,"تم التوقيع"))</f>
        <v/>
      </c>
      <c r="J400">
        <f t="shared" si="18"/>
        <v>0</v>
      </c>
      <c r="K400" t="str">
        <f>IF(B400="","",SUMIFS('المطالبات 2026'!$J:$J,'المطالبات 2026'!$E:$E,B400,'المطالبات 2026'!$I:$I,"مطالبة مرفوعة للمالية") + SUMIFS('المطالبات 2025'!$J:$J,'المطالبات 2025'!$E:$E,B400,'المطالبات 2025'!$I:$I,"مطالبة مرفوعة للمالية"))</f>
        <v/>
      </c>
      <c r="L400" t="str">
        <f>IF(B400="","",COUNTIFS('المطالبات 2026'!$E:$E,B400,'المطالبات 2026'!$I:$I,"مطالبة مرفوعة للمالية") + COUNTIFS('المطالبات 2025'!$E:$E,B400,'المطالبات 2025'!$I:$I,"مطالبة مرفوعة للمالية"))</f>
        <v/>
      </c>
      <c r="M400">
        <f t="shared" si="19"/>
        <v>0</v>
      </c>
      <c r="N400" t="str">
        <f>IF(B400="","",SUMIFS(DB_All!$N$2:$N$1000,DB_All!$G$2:$G$1000,B400,DB_All!$L$2:$L$1000,"تحت إجراءات التوريد"))</f>
        <v/>
      </c>
      <c r="O400" t="str">
        <f>IF(B400="","",COUNTIFS(DB_All!$G$2:$G$1000,B400,DB_All!$L$2:$L$1000,"تحت إجراءات التوريد"))</f>
        <v/>
      </c>
      <c r="P400" t="str">
        <f>IF(B400="","",SUMIFS(DB_All!$N$2:$N$1000,DB_All!$G$2:$G$1000,B400,DB_All!$L$2:$L$1000,"بانتظار سندات الاستلام \ شهادة الإنجاز"))</f>
        <v/>
      </c>
      <c r="Q400" t="str">
        <f>IF(B400="","",COUNTIFS(DB_All!$G$2:$G$1000,B400,DB_All!$L$2:$L$1000,"بانتظار سندات الاستلام \ شهادة الإنجاز"))</f>
        <v/>
      </c>
      <c r="R400" t="str">
        <f t="shared" si="20"/>
        <v/>
      </c>
    </row>
    <row r="401" spans="6:18" x14ac:dyDescent="0.3">
      <c r="F401" t="str">
        <f>IF(B401="","",SUMIFS(DB_All!$M$2:$M$1000,DB_All!$G$2:$G$1000,B401,DB_All!$L$2:$L$1000,"تحت إجراءات التعاقد"))</f>
        <v/>
      </c>
      <c r="G401" t="str">
        <f>IF(B401="","",COUNTIFS(DB_All!$G$2:$G$1000,B401,DB_All!$L$2:$L$1000,"تحت إجراءات التعاقد"))</f>
        <v/>
      </c>
      <c r="H401" t="str">
        <f>IF(B401="","",SUMIFS(DB_All!$N$2:$N$1000,DB_All!$G$2:$G$1000,B401,DB_All!$L$2:$L$1000,"تم التوقيع"))</f>
        <v/>
      </c>
      <c r="I401" t="str">
        <f>IF(B401="","",COUNTIFS(DB_All!$G$2:$G$1000,B401,DB_All!$L$2:$L$1000,"تم التوقيع"))</f>
        <v/>
      </c>
      <c r="J401">
        <f t="shared" si="18"/>
        <v>0</v>
      </c>
      <c r="K401" t="str">
        <f>IF(B401="","",SUMIFS('المطالبات 2026'!$J:$J,'المطالبات 2026'!$E:$E,B401,'المطالبات 2026'!$I:$I,"مطالبة مرفوعة للمالية") + SUMIFS('المطالبات 2025'!$J:$J,'المطالبات 2025'!$E:$E,B401,'المطالبات 2025'!$I:$I,"مطالبة مرفوعة للمالية"))</f>
        <v/>
      </c>
      <c r="L401" t="str">
        <f>IF(B401="","",COUNTIFS('المطالبات 2026'!$E:$E,B401,'المطالبات 2026'!$I:$I,"مطالبة مرفوعة للمالية") + COUNTIFS('المطالبات 2025'!$E:$E,B401,'المطالبات 2025'!$I:$I,"مطالبة مرفوعة للمالية"))</f>
        <v/>
      </c>
      <c r="M401">
        <f t="shared" si="19"/>
        <v>0</v>
      </c>
      <c r="N401" t="str">
        <f>IF(B401="","",SUMIFS(DB_All!$N$2:$N$1000,DB_All!$G$2:$G$1000,B401,DB_All!$L$2:$L$1000,"تحت إجراءات التوريد"))</f>
        <v/>
      </c>
      <c r="O401" t="str">
        <f>IF(B401="","",COUNTIFS(DB_All!$G$2:$G$1000,B401,DB_All!$L$2:$L$1000,"تحت إجراءات التوريد"))</f>
        <v/>
      </c>
      <c r="P401" t="str">
        <f>IF(B401="","",SUMIFS(DB_All!$N$2:$N$1000,DB_All!$G$2:$G$1000,B401,DB_All!$L$2:$L$1000,"بانتظار سندات الاستلام \ شهادة الإنجاز"))</f>
        <v/>
      </c>
      <c r="Q401" t="str">
        <f>IF(B401="","",COUNTIFS(DB_All!$G$2:$G$1000,B401,DB_All!$L$2:$L$1000,"بانتظار سندات الاستلام \ شهادة الإنجاز"))</f>
        <v/>
      </c>
      <c r="R401" t="str">
        <f t="shared" si="20"/>
        <v/>
      </c>
    </row>
    <row r="402" spans="6:18" x14ac:dyDescent="0.3">
      <c r="F402" t="str">
        <f>IF(B402="","",SUMIFS(DB_All!$M$2:$M$1000,DB_All!$G$2:$G$1000,B402,DB_All!$L$2:$L$1000,"تحت إجراءات التعاقد"))</f>
        <v/>
      </c>
      <c r="G402" t="str">
        <f>IF(B402="","",COUNTIFS(DB_All!$G$2:$G$1000,B402,DB_All!$L$2:$L$1000,"تحت إجراءات التعاقد"))</f>
        <v/>
      </c>
      <c r="H402" t="str">
        <f>IF(B402="","",SUMIFS(DB_All!$N$2:$N$1000,DB_All!$G$2:$G$1000,B402,DB_All!$L$2:$L$1000,"تم التوقيع"))</f>
        <v/>
      </c>
      <c r="I402" t="str">
        <f>IF(B402="","",COUNTIFS(DB_All!$G$2:$G$1000,B402,DB_All!$L$2:$L$1000,"تم التوقيع"))</f>
        <v/>
      </c>
      <c r="J402">
        <f t="shared" si="18"/>
        <v>0</v>
      </c>
      <c r="K402" t="str">
        <f>IF(B402="","",SUMIFS('المطالبات 2026'!$J:$J,'المطالبات 2026'!$E:$E,B402,'المطالبات 2026'!$I:$I,"مطالبة مرفوعة للمالية") + SUMIFS('المطالبات 2025'!$J:$J,'المطالبات 2025'!$E:$E,B402,'المطالبات 2025'!$I:$I,"مطالبة مرفوعة للمالية"))</f>
        <v/>
      </c>
      <c r="L402" t="str">
        <f>IF(B402="","",COUNTIFS('المطالبات 2026'!$E:$E,B402,'المطالبات 2026'!$I:$I,"مطالبة مرفوعة للمالية") + COUNTIFS('المطالبات 2025'!$E:$E,B402,'المطالبات 2025'!$I:$I,"مطالبة مرفوعة للمالية"))</f>
        <v/>
      </c>
      <c r="M402">
        <f t="shared" si="19"/>
        <v>0</v>
      </c>
      <c r="N402" t="str">
        <f>IF(B402="","",SUMIFS(DB_All!$N$2:$N$1000,DB_All!$G$2:$G$1000,B402,DB_All!$L$2:$L$1000,"تحت إجراءات التوريد"))</f>
        <v/>
      </c>
      <c r="O402" t="str">
        <f>IF(B402="","",COUNTIFS(DB_All!$G$2:$G$1000,B402,DB_All!$L$2:$L$1000,"تحت إجراءات التوريد"))</f>
        <v/>
      </c>
      <c r="P402" t="str">
        <f>IF(B402="","",SUMIFS(DB_All!$N$2:$N$1000,DB_All!$G$2:$G$1000,B402,DB_All!$L$2:$L$1000,"بانتظار سندات الاستلام \ شهادة الإنجاز"))</f>
        <v/>
      </c>
      <c r="Q402" t="str">
        <f>IF(B402="","",COUNTIFS(DB_All!$G$2:$G$1000,B402,DB_All!$L$2:$L$1000,"بانتظار سندات الاستلام \ شهادة الإنجاز"))</f>
        <v/>
      </c>
      <c r="R402" t="str">
        <f t="shared" si="20"/>
        <v/>
      </c>
    </row>
    <row r="403" spans="6:18" x14ac:dyDescent="0.3">
      <c r="F403" t="str">
        <f>IF(B403="","",SUMIFS(DB_All!$M$2:$M$1000,DB_All!$G$2:$G$1000,B403,DB_All!$L$2:$L$1000,"تحت إجراءات التعاقد"))</f>
        <v/>
      </c>
      <c r="G403" t="str">
        <f>IF(B403="","",COUNTIFS(DB_All!$G$2:$G$1000,B403,DB_All!$L$2:$L$1000,"تحت إجراءات التعاقد"))</f>
        <v/>
      </c>
      <c r="H403" t="str">
        <f>IF(B403="","",SUMIFS(DB_All!$N$2:$N$1000,DB_All!$G$2:$G$1000,B403,DB_All!$L$2:$L$1000,"تم التوقيع"))</f>
        <v/>
      </c>
      <c r="I403" t="str">
        <f>IF(B403="","",COUNTIFS(DB_All!$G$2:$G$1000,B403,DB_All!$L$2:$L$1000,"تم التوقيع"))</f>
        <v/>
      </c>
      <c r="J403">
        <f t="shared" si="18"/>
        <v>0</v>
      </c>
      <c r="K403" t="str">
        <f>IF(B403="","",SUMIFS('المطالبات 2026'!$J:$J,'المطالبات 2026'!$E:$E,B403,'المطالبات 2026'!$I:$I,"مطالبة مرفوعة للمالية") + SUMIFS('المطالبات 2025'!$J:$J,'المطالبات 2025'!$E:$E,B403,'المطالبات 2025'!$I:$I,"مطالبة مرفوعة للمالية"))</f>
        <v/>
      </c>
      <c r="L403" t="str">
        <f>IF(B403="","",COUNTIFS('المطالبات 2026'!$E:$E,B403,'المطالبات 2026'!$I:$I,"مطالبة مرفوعة للمالية") + COUNTIFS('المطالبات 2025'!$E:$E,B403,'المطالبات 2025'!$I:$I,"مطالبة مرفوعة للمالية"))</f>
        <v/>
      </c>
      <c r="M403">
        <f t="shared" si="19"/>
        <v>0</v>
      </c>
      <c r="N403" t="str">
        <f>IF(B403="","",SUMIFS(DB_All!$N$2:$N$1000,DB_All!$G$2:$G$1000,B403,DB_All!$L$2:$L$1000,"تحت إجراءات التوريد"))</f>
        <v/>
      </c>
      <c r="O403" t="str">
        <f>IF(B403="","",COUNTIFS(DB_All!$G$2:$G$1000,B403,DB_All!$L$2:$L$1000,"تحت إجراءات التوريد"))</f>
        <v/>
      </c>
      <c r="P403" t="str">
        <f>IF(B403="","",SUMIFS(DB_All!$N$2:$N$1000,DB_All!$G$2:$G$1000,B403,DB_All!$L$2:$L$1000,"بانتظار سندات الاستلام \ شهادة الإنجاز"))</f>
        <v/>
      </c>
      <c r="Q403" t="str">
        <f>IF(B403="","",COUNTIFS(DB_All!$G$2:$G$1000,B403,DB_All!$L$2:$L$1000,"بانتظار سندات الاستلام \ شهادة الإنجاز"))</f>
        <v/>
      </c>
      <c r="R403" t="str">
        <f t="shared" si="20"/>
        <v/>
      </c>
    </row>
    <row r="404" spans="6:18" x14ac:dyDescent="0.3">
      <c r="F404" t="str">
        <f>IF(B404="","",SUMIFS(DB_All!$M$2:$M$1000,DB_All!$G$2:$G$1000,B404,DB_All!$L$2:$L$1000,"تحت إجراءات التعاقد"))</f>
        <v/>
      </c>
      <c r="G404" t="str">
        <f>IF(B404="","",COUNTIFS(DB_All!$G$2:$G$1000,B404,DB_All!$L$2:$L$1000,"تحت إجراءات التعاقد"))</f>
        <v/>
      </c>
      <c r="H404" t="str">
        <f>IF(B404="","",SUMIFS(DB_All!$N$2:$N$1000,DB_All!$G$2:$G$1000,B404,DB_All!$L$2:$L$1000,"تم التوقيع"))</f>
        <v/>
      </c>
      <c r="I404" t="str">
        <f>IF(B404="","",COUNTIFS(DB_All!$G$2:$G$1000,B404,DB_All!$L$2:$L$1000,"تم التوقيع"))</f>
        <v/>
      </c>
      <c r="J404">
        <f t="shared" si="18"/>
        <v>0</v>
      </c>
      <c r="K404" t="str">
        <f>IF(B404="","",SUMIFS('المطالبات 2026'!$J:$J,'المطالبات 2026'!$E:$E,B404,'المطالبات 2026'!$I:$I,"مطالبة مرفوعة للمالية") + SUMIFS('المطالبات 2025'!$J:$J,'المطالبات 2025'!$E:$E,B404,'المطالبات 2025'!$I:$I,"مطالبة مرفوعة للمالية"))</f>
        <v/>
      </c>
      <c r="L404" t="str">
        <f>IF(B404="","",COUNTIFS('المطالبات 2026'!$E:$E,B404,'المطالبات 2026'!$I:$I,"مطالبة مرفوعة للمالية") + COUNTIFS('المطالبات 2025'!$E:$E,B404,'المطالبات 2025'!$I:$I,"مطالبة مرفوعة للمالية"))</f>
        <v/>
      </c>
      <c r="M404">
        <f t="shared" si="19"/>
        <v>0</v>
      </c>
      <c r="N404" t="str">
        <f>IF(B404="","",SUMIFS(DB_All!$N$2:$N$1000,DB_All!$G$2:$G$1000,B404,DB_All!$L$2:$L$1000,"تحت إجراءات التوريد"))</f>
        <v/>
      </c>
      <c r="O404" t="str">
        <f>IF(B404="","",COUNTIFS(DB_All!$G$2:$G$1000,B404,DB_All!$L$2:$L$1000,"تحت إجراءات التوريد"))</f>
        <v/>
      </c>
      <c r="P404" t="str">
        <f>IF(B404="","",SUMIFS(DB_All!$N$2:$N$1000,DB_All!$G$2:$G$1000,B404,DB_All!$L$2:$L$1000,"بانتظار سندات الاستلام \ شهادة الإنجاز"))</f>
        <v/>
      </c>
      <c r="Q404" t="str">
        <f>IF(B404="","",COUNTIFS(DB_All!$G$2:$G$1000,B404,DB_All!$L$2:$L$1000,"بانتظار سندات الاستلام \ شهادة الإنجاز"))</f>
        <v/>
      </c>
      <c r="R404" t="str">
        <f t="shared" si="20"/>
        <v/>
      </c>
    </row>
    <row r="405" spans="6:18" x14ac:dyDescent="0.3">
      <c r="F405" t="str">
        <f>IF(B405="","",SUMIFS(DB_All!$M$2:$M$1000,DB_All!$G$2:$G$1000,B405,DB_All!$L$2:$L$1000,"تحت إجراءات التعاقد"))</f>
        <v/>
      </c>
      <c r="G405" t="str">
        <f>IF(B405="","",COUNTIFS(DB_All!$G$2:$G$1000,B405,DB_All!$L$2:$L$1000,"تحت إجراءات التعاقد"))</f>
        <v/>
      </c>
      <c r="H405" t="str">
        <f>IF(B405="","",SUMIFS(DB_All!$N$2:$N$1000,DB_All!$G$2:$G$1000,B405,DB_All!$L$2:$L$1000,"تم التوقيع"))</f>
        <v/>
      </c>
      <c r="I405" t="str">
        <f>IF(B405="","",COUNTIFS(DB_All!$G$2:$G$1000,B405,DB_All!$L$2:$L$1000,"تم التوقيع"))</f>
        <v/>
      </c>
      <c r="J405">
        <f t="shared" si="18"/>
        <v>0</v>
      </c>
      <c r="K405" t="str">
        <f>IF(B405="","",SUMIFS('المطالبات 2026'!$J:$J,'المطالبات 2026'!$E:$E,B405,'المطالبات 2026'!$I:$I,"مطالبة مرفوعة للمالية") + SUMIFS('المطالبات 2025'!$J:$J,'المطالبات 2025'!$E:$E,B405,'المطالبات 2025'!$I:$I,"مطالبة مرفوعة للمالية"))</f>
        <v/>
      </c>
      <c r="L405" t="str">
        <f>IF(B405="","",COUNTIFS('المطالبات 2026'!$E:$E,B405,'المطالبات 2026'!$I:$I,"مطالبة مرفوعة للمالية") + COUNTIFS('المطالبات 2025'!$E:$E,B405,'المطالبات 2025'!$I:$I,"مطالبة مرفوعة للمالية"))</f>
        <v/>
      </c>
      <c r="M405">
        <f t="shared" si="19"/>
        <v>0</v>
      </c>
      <c r="N405" t="str">
        <f>IF(B405="","",SUMIFS(DB_All!$N$2:$N$1000,DB_All!$G$2:$G$1000,B405,DB_All!$L$2:$L$1000,"تحت إجراءات التوريد"))</f>
        <v/>
      </c>
      <c r="O405" t="str">
        <f>IF(B405="","",COUNTIFS(DB_All!$G$2:$G$1000,B405,DB_All!$L$2:$L$1000,"تحت إجراءات التوريد"))</f>
        <v/>
      </c>
      <c r="P405" t="str">
        <f>IF(B405="","",SUMIFS(DB_All!$N$2:$N$1000,DB_All!$G$2:$G$1000,B405,DB_All!$L$2:$L$1000,"بانتظار سندات الاستلام \ شهادة الإنجاز"))</f>
        <v/>
      </c>
      <c r="Q405" t="str">
        <f>IF(B405="","",COUNTIFS(DB_All!$G$2:$G$1000,B405,DB_All!$L$2:$L$1000,"بانتظار سندات الاستلام \ شهادة الإنجاز"))</f>
        <v/>
      </c>
      <c r="R405" t="str">
        <f t="shared" si="20"/>
        <v/>
      </c>
    </row>
    <row r="406" spans="6:18" x14ac:dyDescent="0.3">
      <c r="F406" t="str">
        <f>IF(B406="","",SUMIFS(DB_All!$M$2:$M$1000,DB_All!$G$2:$G$1000,B406,DB_All!$L$2:$L$1000,"تحت إجراءات التعاقد"))</f>
        <v/>
      </c>
      <c r="G406" t="str">
        <f>IF(B406="","",COUNTIFS(DB_All!$G$2:$G$1000,B406,DB_All!$L$2:$L$1000,"تحت إجراءات التعاقد"))</f>
        <v/>
      </c>
      <c r="H406" t="str">
        <f>IF(B406="","",SUMIFS(DB_All!$N$2:$N$1000,DB_All!$G$2:$G$1000,B406,DB_All!$L$2:$L$1000,"تم التوقيع"))</f>
        <v/>
      </c>
      <c r="I406" t="str">
        <f>IF(B406="","",COUNTIFS(DB_All!$G$2:$G$1000,B406,DB_All!$L$2:$L$1000,"تم التوقيع"))</f>
        <v/>
      </c>
      <c r="J406">
        <f t="shared" si="18"/>
        <v>0</v>
      </c>
      <c r="K406" t="str">
        <f>IF(B406="","",SUMIFS('المطالبات 2026'!$J:$J,'المطالبات 2026'!$E:$E,B406,'المطالبات 2026'!$I:$I,"مطالبة مرفوعة للمالية") + SUMIFS('المطالبات 2025'!$J:$J,'المطالبات 2025'!$E:$E,B406,'المطالبات 2025'!$I:$I,"مطالبة مرفوعة للمالية"))</f>
        <v/>
      </c>
      <c r="L406" t="str">
        <f>IF(B406="","",COUNTIFS('المطالبات 2026'!$E:$E,B406,'المطالبات 2026'!$I:$I,"مطالبة مرفوعة للمالية") + COUNTIFS('المطالبات 2025'!$E:$E,B406,'المطالبات 2025'!$I:$I,"مطالبة مرفوعة للمالية"))</f>
        <v/>
      </c>
      <c r="M406">
        <f t="shared" si="19"/>
        <v>0</v>
      </c>
      <c r="N406" t="str">
        <f>IF(B406="","",SUMIFS(DB_All!$N$2:$N$1000,DB_All!$G$2:$G$1000,B406,DB_All!$L$2:$L$1000,"تحت إجراءات التوريد"))</f>
        <v/>
      </c>
      <c r="O406" t="str">
        <f>IF(B406="","",COUNTIFS(DB_All!$G$2:$G$1000,B406,DB_All!$L$2:$L$1000,"تحت إجراءات التوريد"))</f>
        <v/>
      </c>
      <c r="P406" t="str">
        <f>IF(B406="","",SUMIFS(DB_All!$N$2:$N$1000,DB_All!$G$2:$G$1000,B406,DB_All!$L$2:$L$1000,"بانتظار سندات الاستلام \ شهادة الإنجاز"))</f>
        <v/>
      </c>
      <c r="Q406" t="str">
        <f>IF(B406="","",COUNTIFS(DB_All!$G$2:$G$1000,B406,DB_All!$L$2:$L$1000,"بانتظار سندات الاستلام \ شهادة الإنجاز"))</f>
        <v/>
      </c>
      <c r="R406" t="str">
        <f t="shared" si="20"/>
        <v/>
      </c>
    </row>
    <row r="407" spans="6:18" x14ac:dyDescent="0.3">
      <c r="F407" t="str">
        <f>IF(B407="","",SUMIFS(DB_All!$M$2:$M$1000,DB_All!$G$2:$G$1000,B407,DB_All!$L$2:$L$1000,"تحت إجراءات التعاقد"))</f>
        <v/>
      </c>
      <c r="G407" t="str">
        <f>IF(B407="","",COUNTIFS(DB_All!$G$2:$G$1000,B407,DB_All!$L$2:$L$1000,"تحت إجراءات التعاقد"))</f>
        <v/>
      </c>
      <c r="H407" t="str">
        <f>IF(B407="","",SUMIFS(DB_All!$N$2:$N$1000,DB_All!$G$2:$G$1000,B407,DB_All!$L$2:$L$1000,"تم التوقيع"))</f>
        <v/>
      </c>
      <c r="I407" t="str">
        <f>IF(B407="","",COUNTIFS(DB_All!$G$2:$G$1000,B407,DB_All!$L$2:$L$1000,"تم التوقيع"))</f>
        <v/>
      </c>
      <c r="J407">
        <f t="shared" si="18"/>
        <v>0</v>
      </c>
      <c r="K407" t="str">
        <f>IF(B407="","",SUMIFS('المطالبات 2026'!$J:$J,'المطالبات 2026'!$E:$E,B407,'المطالبات 2026'!$I:$I,"مطالبة مرفوعة للمالية") + SUMIFS('المطالبات 2025'!$J:$J,'المطالبات 2025'!$E:$E,B407,'المطالبات 2025'!$I:$I,"مطالبة مرفوعة للمالية"))</f>
        <v/>
      </c>
      <c r="L407" t="str">
        <f>IF(B407="","",COUNTIFS('المطالبات 2026'!$E:$E,B407,'المطالبات 2026'!$I:$I,"مطالبة مرفوعة للمالية") + COUNTIFS('المطالبات 2025'!$E:$E,B407,'المطالبات 2025'!$I:$I,"مطالبة مرفوعة للمالية"))</f>
        <v/>
      </c>
      <c r="M407">
        <f t="shared" si="19"/>
        <v>0</v>
      </c>
      <c r="N407" t="str">
        <f>IF(B407="","",SUMIFS(DB_All!$N$2:$N$1000,DB_All!$G$2:$G$1000,B407,DB_All!$L$2:$L$1000,"تحت إجراءات التوريد"))</f>
        <v/>
      </c>
      <c r="O407" t="str">
        <f>IF(B407="","",COUNTIFS(DB_All!$G$2:$G$1000,B407,DB_All!$L$2:$L$1000,"تحت إجراءات التوريد"))</f>
        <v/>
      </c>
      <c r="P407" t="str">
        <f>IF(B407="","",SUMIFS(DB_All!$N$2:$N$1000,DB_All!$G$2:$G$1000,B407,DB_All!$L$2:$L$1000,"بانتظار سندات الاستلام \ شهادة الإنجاز"))</f>
        <v/>
      </c>
      <c r="Q407" t="str">
        <f>IF(B407="","",COUNTIFS(DB_All!$G$2:$G$1000,B407,DB_All!$L$2:$L$1000,"بانتظار سندات الاستلام \ شهادة الإنجاز"))</f>
        <v/>
      </c>
      <c r="R407" t="str">
        <f t="shared" si="20"/>
        <v/>
      </c>
    </row>
    <row r="408" spans="6:18" x14ac:dyDescent="0.3">
      <c r="F408" t="str">
        <f>IF(B408="","",SUMIFS(DB_All!$M$2:$M$1000,DB_All!$G$2:$G$1000,B408,DB_All!$L$2:$L$1000,"تحت إجراءات التعاقد"))</f>
        <v/>
      </c>
      <c r="G408" t="str">
        <f>IF(B408="","",COUNTIFS(DB_All!$G$2:$G$1000,B408,DB_All!$L$2:$L$1000,"تحت إجراءات التعاقد"))</f>
        <v/>
      </c>
      <c r="H408" t="str">
        <f>IF(B408="","",SUMIFS(DB_All!$N$2:$N$1000,DB_All!$G$2:$G$1000,B408,DB_All!$L$2:$L$1000,"تم التوقيع"))</f>
        <v/>
      </c>
      <c r="I408" t="str">
        <f>IF(B408="","",COUNTIFS(DB_All!$G$2:$G$1000,B408,DB_All!$L$2:$L$1000,"تم التوقيع"))</f>
        <v/>
      </c>
      <c r="J408">
        <f t="shared" si="18"/>
        <v>0</v>
      </c>
      <c r="K408" t="str">
        <f>IF(B408="","",SUMIFS('المطالبات 2026'!$J:$J,'المطالبات 2026'!$E:$E,B408,'المطالبات 2026'!$I:$I,"مطالبة مرفوعة للمالية") + SUMIFS('المطالبات 2025'!$J:$J,'المطالبات 2025'!$E:$E,B408,'المطالبات 2025'!$I:$I,"مطالبة مرفوعة للمالية"))</f>
        <v/>
      </c>
      <c r="L408" t="str">
        <f>IF(B408="","",COUNTIFS('المطالبات 2026'!$E:$E,B408,'المطالبات 2026'!$I:$I,"مطالبة مرفوعة للمالية") + COUNTIFS('المطالبات 2025'!$E:$E,B408,'المطالبات 2025'!$I:$I,"مطالبة مرفوعة للمالية"))</f>
        <v/>
      </c>
      <c r="M408">
        <f t="shared" si="19"/>
        <v>0</v>
      </c>
      <c r="N408" t="str">
        <f>IF(B408="","",SUMIFS(DB_All!$N$2:$N$1000,DB_All!$G$2:$G$1000,B408,DB_All!$L$2:$L$1000,"تحت إجراءات التوريد"))</f>
        <v/>
      </c>
      <c r="O408" t="str">
        <f>IF(B408="","",COUNTIFS(DB_All!$G$2:$G$1000,B408,DB_All!$L$2:$L$1000,"تحت إجراءات التوريد"))</f>
        <v/>
      </c>
      <c r="P408" t="str">
        <f>IF(B408="","",SUMIFS(DB_All!$N$2:$N$1000,DB_All!$G$2:$G$1000,B408,DB_All!$L$2:$L$1000,"بانتظار سندات الاستلام \ شهادة الإنجاز"))</f>
        <v/>
      </c>
      <c r="Q408" t="str">
        <f>IF(B408="","",COUNTIFS(DB_All!$G$2:$G$1000,B408,DB_All!$L$2:$L$1000,"بانتظار سندات الاستلام \ شهادة الإنجاز"))</f>
        <v/>
      </c>
      <c r="R408" t="str">
        <f t="shared" si="20"/>
        <v/>
      </c>
    </row>
    <row r="409" spans="6:18" x14ac:dyDescent="0.3">
      <c r="F409" t="str">
        <f>IF(B409="","",SUMIFS(DB_All!$M$2:$M$1000,DB_All!$G$2:$G$1000,B409,DB_All!$L$2:$L$1000,"تحت إجراءات التعاقد"))</f>
        <v/>
      </c>
      <c r="G409" t="str">
        <f>IF(B409="","",COUNTIFS(DB_All!$G$2:$G$1000,B409,DB_All!$L$2:$L$1000,"تحت إجراءات التعاقد"))</f>
        <v/>
      </c>
      <c r="H409" t="str">
        <f>IF(B409="","",SUMIFS(DB_All!$N$2:$N$1000,DB_All!$G$2:$G$1000,B409,DB_All!$L$2:$L$1000,"تم التوقيع"))</f>
        <v/>
      </c>
      <c r="I409" t="str">
        <f>IF(B409="","",COUNTIFS(DB_All!$G$2:$G$1000,B409,DB_All!$L$2:$L$1000,"تم التوقيع"))</f>
        <v/>
      </c>
      <c r="J409">
        <f t="shared" si="18"/>
        <v>0</v>
      </c>
      <c r="K409" t="str">
        <f>IF(B409="","",SUMIFS('المطالبات 2026'!$J:$J,'المطالبات 2026'!$E:$E,B409,'المطالبات 2026'!$I:$I,"مطالبة مرفوعة للمالية") + SUMIFS('المطالبات 2025'!$J:$J,'المطالبات 2025'!$E:$E,B409,'المطالبات 2025'!$I:$I,"مطالبة مرفوعة للمالية"))</f>
        <v/>
      </c>
      <c r="L409" t="str">
        <f>IF(B409="","",COUNTIFS('المطالبات 2026'!$E:$E,B409,'المطالبات 2026'!$I:$I,"مطالبة مرفوعة للمالية") + COUNTIFS('المطالبات 2025'!$E:$E,B409,'المطالبات 2025'!$I:$I,"مطالبة مرفوعة للمالية"))</f>
        <v/>
      </c>
      <c r="M409">
        <f t="shared" si="19"/>
        <v>0</v>
      </c>
      <c r="N409" t="str">
        <f>IF(B409="","",SUMIFS(DB_All!$N$2:$N$1000,DB_All!$G$2:$G$1000,B409,DB_All!$L$2:$L$1000,"تحت إجراءات التوريد"))</f>
        <v/>
      </c>
      <c r="O409" t="str">
        <f>IF(B409="","",COUNTIFS(DB_All!$G$2:$G$1000,B409,DB_All!$L$2:$L$1000,"تحت إجراءات التوريد"))</f>
        <v/>
      </c>
      <c r="P409" t="str">
        <f>IF(B409="","",SUMIFS(DB_All!$N$2:$N$1000,DB_All!$G$2:$G$1000,B409,DB_All!$L$2:$L$1000,"بانتظار سندات الاستلام \ شهادة الإنجاز"))</f>
        <v/>
      </c>
      <c r="Q409" t="str">
        <f>IF(B409="","",COUNTIFS(DB_All!$G$2:$G$1000,B409,DB_All!$L$2:$L$1000,"بانتظار سندات الاستلام \ شهادة الإنجاز"))</f>
        <v/>
      </c>
      <c r="R409" t="str">
        <f t="shared" si="20"/>
        <v/>
      </c>
    </row>
    <row r="410" spans="6:18" x14ac:dyDescent="0.3">
      <c r="F410" t="str">
        <f>IF(B410="","",SUMIFS(DB_All!$M$2:$M$1000,DB_All!$G$2:$G$1000,B410,DB_All!$L$2:$L$1000,"تحت إجراءات التعاقد"))</f>
        <v/>
      </c>
      <c r="G410" t="str">
        <f>IF(B410="","",COUNTIFS(DB_All!$G$2:$G$1000,B410,DB_All!$L$2:$L$1000,"تحت إجراءات التعاقد"))</f>
        <v/>
      </c>
      <c r="H410" t="str">
        <f>IF(B410="","",SUMIFS(DB_All!$N$2:$N$1000,DB_All!$G$2:$G$1000,B410,DB_All!$L$2:$L$1000,"تم التوقيع"))</f>
        <v/>
      </c>
      <c r="I410" t="str">
        <f>IF(B410="","",COUNTIFS(DB_All!$G$2:$G$1000,B410,DB_All!$L$2:$L$1000,"تم التوقيع"))</f>
        <v/>
      </c>
      <c r="J410">
        <f t="shared" si="18"/>
        <v>0</v>
      </c>
      <c r="K410" t="str">
        <f>IF(B410="","",SUMIFS('المطالبات 2026'!$J:$J,'المطالبات 2026'!$E:$E,B410,'المطالبات 2026'!$I:$I,"مطالبة مرفوعة للمالية") + SUMIFS('المطالبات 2025'!$J:$J,'المطالبات 2025'!$E:$E,B410,'المطالبات 2025'!$I:$I,"مطالبة مرفوعة للمالية"))</f>
        <v/>
      </c>
      <c r="L410" t="str">
        <f>IF(B410="","",COUNTIFS('المطالبات 2026'!$E:$E,B410,'المطالبات 2026'!$I:$I,"مطالبة مرفوعة للمالية") + COUNTIFS('المطالبات 2025'!$E:$E,B410,'المطالبات 2025'!$I:$I,"مطالبة مرفوعة للمالية"))</f>
        <v/>
      </c>
      <c r="M410">
        <f t="shared" si="19"/>
        <v>0</v>
      </c>
      <c r="N410" t="str">
        <f>IF(B410="","",SUMIFS(DB_All!$N$2:$N$1000,DB_All!$G$2:$G$1000,B410,DB_All!$L$2:$L$1000,"تحت إجراءات التوريد"))</f>
        <v/>
      </c>
      <c r="O410" t="str">
        <f>IF(B410="","",COUNTIFS(DB_All!$G$2:$G$1000,B410,DB_All!$L$2:$L$1000,"تحت إجراءات التوريد"))</f>
        <v/>
      </c>
      <c r="P410" t="str">
        <f>IF(B410="","",SUMIFS(DB_All!$N$2:$N$1000,DB_All!$G$2:$G$1000,B410,DB_All!$L$2:$L$1000,"بانتظار سندات الاستلام \ شهادة الإنجاز"))</f>
        <v/>
      </c>
      <c r="Q410" t="str">
        <f>IF(B410="","",COUNTIFS(DB_All!$G$2:$G$1000,B410,DB_All!$L$2:$L$1000,"بانتظار سندات الاستلام \ شهادة الإنجاز"))</f>
        <v/>
      </c>
      <c r="R410" t="str">
        <f t="shared" si="20"/>
        <v/>
      </c>
    </row>
    <row r="411" spans="6:18" x14ac:dyDescent="0.3">
      <c r="F411" t="str">
        <f>IF(B411="","",SUMIFS(DB_All!$M$2:$M$1000,DB_All!$G$2:$G$1000,B411,DB_All!$L$2:$L$1000,"تحت إجراءات التعاقد"))</f>
        <v/>
      </c>
      <c r="G411" t="str">
        <f>IF(B411="","",COUNTIFS(DB_All!$G$2:$G$1000,B411,DB_All!$L$2:$L$1000,"تحت إجراءات التعاقد"))</f>
        <v/>
      </c>
      <c r="H411" t="str">
        <f>IF(B411="","",SUMIFS(DB_All!$N$2:$N$1000,DB_All!$G$2:$G$1000,B411,DB_All!$L$2:$L$1000,"تم التوقيع"))</f>
        <v/>
      </c>
      <c r="I411" t="str">
        <f>IF(B411="","",COUNTIFS(DB_All!$G$2:$G$1000,B411,DB_All!$L$2:$L$1000,"تم التوقيع"))</f>
        <v/>
      </c>
      <c r="J411">
        <f t="shared" si="18"/>
        <v>0</v>
      </c>
      <c r="K411" t="str">
        <f>IF(B411="","",SUMIFS('المطالبات 2026'!$J:$J,'المطالبات 2026'!$E:$E,B411,'المطالبات 2026'!$I:$I,"مطالبة مرفوعة للمالية") + SUMIFS('المطالبات 2025'!$J:$J,'المطالبات 2025'!$E:$E,B411,'المطالبات 2025'!$I:$I,"مطالبة مرفوعة للمالية"))</f>
        <v/>
      </c>
      <c r="L411" t="str">
        <f>IF(B411="","",COUNTIFS('المطالبات 2026'!$E:$E,B411,'المطالبات 2026'!$I:$I,"مطالبة مرفوعة للمالية") + COUNTIFS('المطالبات 2025'!$E:$E,B411,'المطالبات 2025'!$I:$I,"مطالبة مرفوعة للمالية"))</f>
        <v/>
      </c>
      <c r="M411">
        <f t="shared" si="19"/>
        <v>0</v>
      </c>
      <c r="N411" t="str">
        <f>IF(B411="","",SUMIFS(DB_All!$N$2:$N$1000,DB_All!$G$2:$G$1000,B411,DB_All!$L$2:$L$1000,"تحت إجراءات التوريد"))</f>
        <v/>
      </c>
      <c r="O411" t="str">
        <f>IF(B411="","",COUNTIFS(DB_All!$G$2:$G$1000,B411,DB_All!$L$2:$L$1000,"تحت إجراءات التوريد"))</f>
        <v/>
      </c>
      <c r="P411" t="str">
        <f>IF(B411="","",SUMIFS(DB_All!$N$2:$N$1000,DB_All!$G$2:$G$1000,B411,DB_All!$L$2:$L$1000,"بانتظار سندات الاستلام \ شهادة الإنجاز"))</f>
        <v/>
      </c>
      <c r="Q411" t="str">
        <f>IF(B411="","",COUNTIFS(DB_All!$G$2:$G$1000,B411,DB_All!$L$2:$L$1000,"بانتظار سندات الاستلام \ شهادة الإنجاز"))</f>
        <v/>
      </c>
      <c r="R411" t="str">
        <f t="shared" si="20"/>
        <v/>
      </c>
    </row>
    <row r="412" spans="6:18" x14ac:dyDescent="0.3">
      <c r="F412" t="str">
        <f>IF(B412="","",SUMIFS(DB_All!$M$2:$M$1000,DB_All!$G$2:$G$1000,B412,DB_All!$L$2:$L$1000,"تحت إجراءات التعاقد"))</f>
        <v/>
      </c>
      <c r="G412" t="str">
        <f>IF(B412="","",COUNTIFS(DB_All!$G$2:$G$1000,B412,DB_All!$L$2:$L$1000,"تحت إجراءات التعاقد"))</f>
        <v/>
      </c>
      <c r="H412" t="str">
        <f>IF(B412="","",SUMIFS(DB_All!$N$2:$N$1000,DB_All!$G$2:$G$1000,B412,DB_All!$L$2:$L$1000,"تم التوقيع"))</f>
        <v/>
      </c>
      <c r="I412" t="str">
        <f>IF(B412="","",COUNTIFS(DB_All!$G$2:$G$1000,B412,DB_All!$L$2:$L$1000,"تم التوقيع"))</f>
        <v/>
      </c>
      <c r="J412">
        <f t="shared" si="18"/>
        <v>0</v>
      </c>
      <c r="K412" t="str">
        <f>IF(B412="","",SUMIFS('المطالبات 2026'!$J:$J,'المطالبات 2026'!$E:$E,B412,'المطالبات 2026'!$I:$I,"مطالبة مرفوعة للمالية") + SUMIFS('المطالبات 2025'!$J:$J,'المطالبات 2025'!$E:$E,B412,'المطالبات 2025'!$I:$I,"مطالبة مرفوعة للمالية"))</f>
        <v/>
      </c>
      <c r="L412" t="str">
        <f>IF(B412="","",COUNTIFS('المطالبات 2026'!$E:$E,B412,'المطالبات 2026'!$I:$I,"مطالبة مرفوعة للمالية") + COUNTIFS('المطالبات 2025'!$E:$E,B412,'المطالبات 2025'!$I:$I,"مطالبة مرفوعة للمالية"))</f>
        <v/>
      </c>
      <c r="M412">
        <f t="shared" si="19"/>
        <v>0</v>
      </c>
      <c r="N412" t="str">
        <f>IF(B412="","",SUMIFS(DB_All!$N$2:$N$1000,DB_All!$G$2:$G$1000,B412,DB_All!$L$2:$L$1000,"تحت إجراءات التوريد"))</f>
        <v/>
      </c>
      <c r="O412" t="str">
        <f>IF(B412="","",COUNTIFS(DB_All!$G$2:$G$1000,B412,DB_All!$L$2:$L$1000,"تحت إجراءات التوريد"))</f>
        <v/>
      </c>
      <c r="P412" t="str">
        <f>IF(B412="","",SUMIFS(DB_All!$N$2:$N$1000,DB_All!$G$2:$G$1000,B412,DB_All!$L$2:$L$1000,"بانتظار سندات الاستلام \ شهادة الإنجاز"))</f>
        <v/>
      </c>
      <c r="Q412" t="str">
        <f>IF(B412="","",COUNTIFS(DB_All!$G$2:$G$1000,B412,DB_All!$L$2:$L$1000,"بانتظار سندات الاستلام \ شهادة الإنجاز"))</f>
        <v/>
      </c>
      <c r="R412" t="str">
        <f t="shared" si="20"/>
        <v/>
      </c>
    </row>
    <row r="413" spans="6:18" x14ac:dyDescent="0.3">
      <c r="F413" t="str">
        <f>IF(B413="","",SUMIFS(DB_All!$M$2:$M$1000,DB_All!$G$2:$G$1000,B413,DB_All!$L$2:$L$1000,"تحت إجراءات التعاقد"))</f>
        <v/>
      </c>
      <c r="G413" t="str">
        <f>IF(B413="","",COUNTIFS(DB_All!$G$2:$G$1000,B413,DB_All!$L$2:$L$1000,"تحت إجراءات التعاقد"))</f>
        <v/>
      </c>
      <c r="H413" t="str">
        <f>IF(B413="","",SUMIFS(DB_All!$N$2:$N$1000,DB_All!$G$2:$G$1000,B413,DB_All!$L$2:$L$1000,"تم التوقيع"))</f>
        <v/>
      </c>
      <c r="I413" t="str">
        <f>IF(B413="","",COUNTIFS(DB_All!$G$2:$G$1000,B413,DB_All!$L$2:$L$1000,"تم التوقيع"))</f>
        <v/>
      </c>
      <c r="J413">
        <f t="shared" si="18"/>
        <v>0</v>
      </c>
      <c r="K413" t="str">
        <f>IF(B413="","",SUMIFS('المطالبات 2026'!$J:$J,'المطالبات 2026'!$E:$E,B413,'المطالبات 2026'!$I:$I,"مطالبة مرفوعة للمالية") + SUMIFS('المطالبات 2025'!$J:$J,'المطالبات 2025'!$E:$E,B413,'المطالبات 2025'!$I:$I,"مطالبة مرفوعة للمالية"))</f>
        <v/>
      </c>
      <c r="L413" t="str">
        <f>IF(B413="","",COUNTIFS('المطالبات 2026'!$E:$E,B413,'المطالبات 2026'!$I:$I,"مطالبة مرفوعة للمالية") + COUNTIFS('المطالبات 2025'!$E:$E,B413,'المطالبات 2025'!$I:$I,"مطالبة مرفوعة للمالية"))</f>
        <v/>
      </c>
      <c r="M413">
        <f t="shared" si="19"/>
        <v>0</v>
      </c>
      <c r="N413" t="str">
        <f>IF(B413="","",SUMIFS(DB_All!$N$2:$N$1000,DB_All!$G$2:$G$1000,B413,DB_All!$L$2:$L$1000,"تحت إجراءات التوريد"))</f>
        <v/>
      </c>
      <c r="O413" t="str">
        <f>IF(B413="","",COUNTIFS(DB_All!$G$2:$G$1000,B413,DB_All!$L$2:$L$1000,"تحت إجراءات التوريد"))</f>
        <v/>
      </c>
      <c r="P413" t="str">
        <f>IF(B413="","",SUMIFS(DB_All!$N$2:$N$1000,DB_All!$G$2:$G$1000,B413,DB_All!$L$2:$L$1000,"بانتظار سندات الاستلام \ شهادة الإنجاز"))</f>
        <v/>
      </c>
      <c r="Q413" t="str">
        <f>IF(B413="","",COUNTIFS(DB_All!$G$2:$G$1000,B413,DB_All!$L$2:$L$1000,"بانتظار سندات الاستلام \ شهادة الإنجاز"))</f>
        <v/>
      </c>
      <c r="R413" t="str">
        <f t="shared" si="20"/>
        <v/>
      </c>
    </row>
    <row r="414" spans="6:18" x14ac:dyDescent="0.3">
      <c r="F414" t="str">
        <f>IF(B414="","",SUMIFS(DB_All!$M$2:$M$1000,DB_All!$G$2:$G$1000,B414,DB_All!$L$2:$L$1000,"تحت إجراءات التعاقد"))</f>
        <v/>
      </c>
      <c r="G414" t="str">
        <f>IF(B414="","",COUNTIFS(DB_All!$G$2:$G$1000,B414,DB_All!$L$2:$L$1000,"تحت إجراءات التعاقد"))</f>
        <v/>
      </c>
      <c r="H414" t="str">
        <f>IF(B414="","",SUMIFS(DB_All!$N$2:$N$1000,DB_All!$G$2:$G$1000,B414,DB_All!$L$2:$L$1000,"تم التوقيع"))</f>
        <v/>
      </c>
      <c r="I414" t="str">
        <f>IF(B414="","",COUNTIFS(DB_All!$G$2:$G$1000,B414,DB_All!$L$2:$L$1000,"تم التوقيع"))</f>
        <v/>
      </c>
      <c r="J414">
        <f t="shared" si="18"/>
        <v>0</v>
      </c>
      <c r="K414" t="str">
        <f>IF(B414="","",SUMIFS('المطالبات 2026'!$J:$J,'المطالبات 2026'!$E:$E,B414,'المطالبات 2026'!$I:$I,"مطالبة مرفوعة للمالية") + SUMIFS('المطالبات 2025'!$J:$J,'المطالبات 2025'!$E:$E,B414,'المطالبات 2025'!$I:$I,"مطالبة مرفوعة للمالية"))</f>
        <v/>
      </c>
      <c r="L414" t="str">
        <f>IF(B414="","",COUNTIFS('المطالبات 2026'!$E:$E,B414,'المطالبات 2026'!$I:$I,"مطالبة مرفوعة للمالية") + COUNTIFS('المطالبات 2025'!$E:$E,B414,'المطالبات 2025'!$I:$I,"مطالبة مرفوعة للمالية"))</f>
        <v/>
      </c>
      <c r="M414">
        <f t="shared" si="19"/>
        <v>0</v>
      </c>
      <c r="N414" t="str">
        <f>IF(B414="","",SUMIFS(DB_All!$N$2:$N$1000,DB_All!$G$2:$G$1000,B414,DB_All!$L$2:$L$1000,"تحت إجراءات التوريد"))</f>
        <v/>
      </c>
      <c r="O414" t="str">
        <f>IF(B414="","",COUNTIFS(DB_All!$G$2:$G$1000,B414,DB_All!$L$2:$L$1000,"تحت إجراءات التوريد"))</f>
        <v/>
      </c>
      <c r="P414" t="str">
        <f>IF(B414="","",SUMIFS(DB_All!$N$2:$N$1000,DB_All!$G$2:$G$1000,B414,DB_All!$L$2:$L$1000,"بانتظار سندات الاستلام \ شهادة الإنجاز"))</f>
        <v/>
      </c>
      <c r="Q414" t="str">
        <f>IF(B414="","",COUNTIFS(DB_All!$G$2:$G$1000,B414,DB_All!$L$2:$L$1000,"بانتظار سندات الاستلام \ شهادة الإنجاز"))</f>
        <v/>
      </c>
      <c r="R414" t="str">
        <f t="shared" si="20"/>
        <v/>
      </c>
    </row>
    <row r="415" spans="6:18" x14ac:dyDescent="0.3">
      <c r="F415" t="str">
        <f>IF(B415="","",SUMIFS(DB_All!$M$2:$M$1000,DB_All!$G$2:$G$1000,B415,DB_All!$L$2:$L$1000,"تحت إجراءات التعاقد"))</f>
        <v/>
      </c>
      <c r="G415" t="str">
        <f>IF(B415="","",COUNTIFS(DB_All!$G$2:$G$1000,B415,DB_All!$L$2:$L$1000,"تحت إجراءات التعاقد"))</f>
        <v/>
      </c>
      <c r="H415" t="str">
        <f>IF(B415="","",SUMIFS(DB_All!$N$2:$N$1000,DB_All!$G$2:$G$1000,B415,DB_All!$L$2:$L$1000,"تم التوقيع"))</f>
        <v/>
      </c>
      <c r="I415" t="str">
        <f>IF(B415="","",COUNTIFS(DB_All!$G$2:$G$1000,B415,DB_All!$L$2:$L$1000,"تم التوقيع"))</f>
        <v/>
      </c>
      <c r="J415">
        <f t="shared" si="18"/>
        <v>0</v>
      </c>
      <c r="K415" t="str">
        <f>IF(B415="","",SUMIFS('المطالبات 2026'!$J:$J,'المطالبات 2026'!$E:$E,B415,'المطالبات 2026'!$I:$I,"مطالبة مرفوعة للمالية") + SUMIFS('المطالبات 2025'!$J:$J,'المطالبات 2025'!$E:$E,B415,'المطالبات 2025'!$I:$I,"مطالبة مرفوعة للمالية"))</f>
        <v/>
      </c>
      <c r="L415" t="str">
        <f>IF(B415="","",COUNTIFS('المطالبات 2026'!$E:$E,B415,'المطالبات 2026'!$I:$I,"مطالبة مرفوعة للمالية") + COUNTIFS('المطالبات 2025'!$E:$E,B415,'المطالبات 2025'!$I:$I,"مطالبة مرفوعة للمالية"))</f>
        <v/>
      </c>
      <c r="M415">
        <f t="shared" si="19"/>
        <v>0</v>
      </c>
      <c r="N415" t="str">
        <f>IF(B415="","",SUMIFS(DB_All!$N$2:$N$1000,DB_All!$G$2:$G$1000,B415,DB_All!$L$2:$L$1000,"تحت إجراءات التوريد"))</f>
        <v/>
      </c>
      <c r="O415" t="str">
        <f>IF(B415="","",COUNTIFS(DB_All!$G$2:$G$1000,B415,DB_All!$L$2:$L$1000,"تحت إجراءات التوريد"))</f>
        <v/>
      </c>
      <c r="P415" t="str">
        <f>IF(B415="","",SUMIFS(DB_All!$N$2:$N$1000,DB_All!$G$2:$G$1000,B415,DB_All!$L$2:$L$1000,"بانتظار سندات الاستلام \ شهادة الإنجاز"))</f>
        <v/>
      </c>
      <c r="Q415" t="str">
        <f>IF(B415="","",COUNTIFS(DB_All!$G$2:$G$1000,B415,DB_All!$L$2:$L$1000,"بانتظار سندات الاستلام \ شهادة الإنجاز"))</f>
        <v/>
      </c>
      <c r="R415" t="str">
        <f t="shared" si="20"/>
        <v/>
      </c>
    </row>
    <row r="416" spans="6:18" x14ac:dyDescent="0.3">
      <c r="F416" t="str">
        <f>IF(B416="","",SUMIFS(DB_All!$M$2:$M$1000,DB_All!$G$2:$G$1000,B416,DB_All!$L$2:$L$1000,"تحت إجراءات التعاقد"))</f>
        <v/>
      </c>
      <c r="G416" t="str">
        <f>IF(B416="","",COUNTIFS(DB_All!$G$2:$G$1000,B416,DB_All!$L$2:$L$1000,"تحت إجراءات التعاقد"))</f>
        <v/>
      </c>
      <c r="H416" t="str">
        <f>IF(B416="","",SUMIFS(DB_All!$N$2:$N$1000,DB_All!$G$2:$G$1000,B416,DB_All!$L$2:$L$1000,"تم التوقيع"))</f>
        <v/>
      </c>
      <c r="I416" t="str">
        <f>IF(B416="","",COUNTIFS(DB_All!$G$2:$G$1000,B416,DB_All!$L$2:$L$1000,"تم التوقيع"))</f>
        <v/>
      </c>
      <c r="J416">
        <f t="shared" si="18"/>
        <v>0</v>
      </c>
      <c r="K416" t="str">
        <f>IF(B416="","",SUMIFS('المطالبات 2026'!$J:$J,'المطالبات 2026'!$E:$E,B416,'المطالبات 2026'!$I:$I,"مطالبة مرفوعة للمالية") + SUMIFS('المطالبات 2025'!$J:$J,'المطالبات 2025'!$E:$E,B416,'المطالبات 2025'!$I:$I,"مطالبة مرفوعة للمالية"))</f>
        <v/>
      </c>
      <c r="L416" t="str">
        <f>IF(B416="","",COUNTIFS('المطالبات 2026'!$E:$E,B416,'المطالبات 2026'!$I:$I,"مطالبة مرفوعة للمالية") + COUNTIFS('المطالبات 2025'!$E:$E,B416,'المطالبات 2025'!$I:$I,"مطالبة مرفوعة للمالية"))</f>
        <v/>
      </c>
      <c r="M416">
        <f t="shared" si="19"/>
        <v>0</v>
      </c>
      <c r="N416" t="str">
        <f>IF(B416="","",SUMIFS(DB_All!$N$2:$N$1000,DB_All!$G$2:$G$1000,B416,DB_All!$L$2:$L$1000,"تحت إجراءات التوريد"))</f>
        <v/>
      </c>
      <c r="O416" t="str">
        <f>IF(B416="","",COUNTIFS(DB_All!$G$2:$G$1000,B416,DB_All!$L$2:$L$1000,"تحت إجراءات التوريد"))</f>
        <v/>
      </c>
      <c r="P416" t="str">
        <f>IF(B416="","",SUMIFS(DB_All!$N$2:$N$1000,DB_All!$G$2:$G$1000,B416,DB_All!$L$2:$L$1000,"بانتظار سندات الاستلام \ شهادة الإنجاز"))</f>
        <v/>
      </c>
      <c r="Q416" t="str">
        <f>IF(B416="","",COUNTIFS(DB_All!$G$2:$G$1000,B416,DB_All!$L$2:$L$1000,"بانتظار سندات الاستلام \ شهادة الإنجاز"))</f>
        <v/>
      </c>
      <c r="R416" t="str">
        <f t="shared" si="20"/>
        <v/>
      </c>
    </row>
    <row r="417" spans="6:18" x14ac:dyDescent="0.3">
      <c r="F417" t="str">
        <f>IF(B417="","",SUMIFS(DB_All!$M$2:$M$1000,DB_All!$G$2:$G$1000,B417,DB_All!$L$2:$L$1000,"تحت إجراءات التعاقد"))</f>
        <v/>
      </c>
      <c r="G417" t="str">
        <f>IF(B417="","",COUNTIFS(DB_All!$G$2:$G$1000,B417,DB_All!$L$2:$L$1000,"تحت إجراءات التعاقد"))</f>
        <v/>
      </c>
      <c r="H417" t="str">
        <f>IF(B417="","",SUMIFS(DB_All!$N$2:$N$1000,DB_All!$G$2:$G$1000,B417,DB_All!$L$2:$L$1000,"تم التوقيع"))</f>
        <v/>
      </c>
      <c r="I417" t="str">
        <f>IF(B417="","",COUNTIFS(DB_All!$G$2:$G$1000,B417,DB_All!$L$2:$L$1000,"تم التوقيع"))</f>
        <v/>
      </c>
      <c r="J417">
        <f t="shared" si="18"/>
        <v>0</v>
      </c>
      <c r="K417" t="str">
        <f>IF(B417="","",SUMIFS('المطالبات 2026'!$J:$J,'المطالبات 2026'!$E:$E,B417,'المطالبات 2026'!$I:$I,"مطالبة مرفوعة للمالية") + SUMIFS('المطالبات 2025'!$J:$J,'المطالبات 2025'!$E:$E,B417,'المطالبات 2025'!$I:$I,"مطالبة مرفوعة للمالية"))</f>
        <v/>
      </c>
      <c r="L417" t="str">
        <f>IF(B417="","",COUNTIFS('المطالبات 2026'!$E:$E,B417,'المطالبات 2026'!$I:$I,"مطالبة مرفوعة للمالية") + COUNTIFS('المطالبات 2025'!$E:$E,B417,'المطالبات 2025'!$I:$I,"مطالبة مرفوعة للمالية"))</f>
        <v/>
      </c>
      <c r="M417">
        <f t="shared" si="19"/>
        <v>0</v>
      </c>
      <c r="N417" t="str">
        <f>IF(B417="","",SUMIFS(DB_All!$N$2:$N$1000,DB_All!$G$2:$G$1000,B417,DB_All!$L$2:$L$1000,"تحت إجراءات التوريد"))</f>
        <v/>
      </c>
      <c r="O417" t="str">
        <f>IF(B417="","",COUNTIFS(DB_All!$G$2:$G$1000,B417,DB_All!$L$2:$L$1000,"تحت إجراءات التوريد"))</f>
        <v/>
      </c>
      <c r="P417" t="str">
        <f>IF(B417="","",SUMIFS(DB_All!$N$2:$N$1000,DB_All!$G$2:$G$1000,B417,DB_All!$L$2:$L$1000,"بانتظار سندات الاستلام \ شهادة الإنجاز"))</f>
        <v/>
      </c>
      <c r="Q417" t="str">
        <f>IF(B417="","",COUNTIFS(DB_All!$G$2:$G$1000,B417,DB_All!$L$2:$L$1000,"بانتظار سندات الاستلام \ شهادة الإنجاز"))</f>
        <v/>
      </c>
      <c r="R417" t="str">
        <f t="shared" si="20"/>
        <v/>
      </c>
    </row>
    <row r="418" spans="6:18" x14ac:dyDescent="0.3">
      <c r="F418" t="str">
        <f>IF(B418="","",SUMIFS(DB_All!$M$2:$M$1000,DB_All!$G$2:$G$1000,B418,DB_All!$L$2:$L$1000,"تحت إجراءات التعاقد"))</f>
        <v/>
      </c>
      <c r="G418" t="str">
        <f>IF(B418="","",COUNTIFS(DB_All!$G$2:$G$1000,B418,DB_All!$L$2:$L$1000,"تحت إجراءات التعاقد"))</f>
        <v/>
      </c>
      <c r="H418" t="str">
        <f>IF(B418="","",SUMIFS(DB_All!$N$2:$N$1000,DB_All!$G$2:$G$1000,B418,DB_All!$L$2:$L$1000,"تم التوقيع"))</f>
        <v/>
      </c>
      <c r="I418" t="str">
        <f>IF(B418="","",COUNTIFS(DB_All!$G$2:$G$1000,B418,DB_All!$L$2:$L$1000,"تم التوقيع"))</f>
        <v/>
      </c>
      <c r="J418">
        <f t="shared" si="18"/>
        <v>0</v>
      </c>
      <c r="K418" t="str">
        <f>IF(B418="","",SUMIFS('المطالبات 2026'!$J:$J,'المطالبات 2026'!$E:$E,B418,'المطالبات 2026'!$I:$I,"مطالبة مرفوعة للمالية") + SUMIFS('المطالبات 2025'!$J:$J,'المطالبات 2025'!$E:$E,B418,'المطالبات 2025'!$I:$I,"مطالبة مرفوعة للمالية"))</f>
        <v/>
      </c>
      <c r="L418" t="str">
        <f>IF(B418="","",COUNTIFS('المطالبات 2026'!$E:$E,B418,'المطالبات 2026'!$I:$I,"مطالبة مرفوعة للمالية") + COUNTIFS('المطالبات 2025'!$E:$E,B418,'المطالبات 2025'!$I:$I,"مطالبة مرفوعة للمالية"))</f>
        <v/>
      </c>
      <c r="M418">
        <f t="shared" si="19"/>
        <v>0</v>
      </c>
      <c r="N418" t="str">
        <f>IF(B418="","",SUMIFS(DB_All!$N$2:$N$1000,DB_All!$G$2:$G$1000,B418,DB_All!$L$2:$L$1000,"تحت إجراءات التوريد"))</f>
        <v/>
      </c>
      <c r="O418" t="str">
        <f>IF(B418="","",COUNTIFS(DB_All!$G$2:$G$1000,B418,DB_All!$L$2:$L$1000,"تحت إجراءات التوريد"))</f>
        <v/>
      </c>
      <c r="P418" t="str">
        <f>IF(B418="","",SUMIFS(DB_All!$N$2:$N$1000,DB_All!$G$2:$G$1000,B418,DB_All!$L$2:$L$1000,"بانتظار سندات الاستلام \ شهادة الإنجاز"))</f>
        <v/>
      </c>
      <c r="Q418" t="str">
        <f>IF(B418="","",COUNTIFS(DB_All!$G$2:$G$1000,B418,DB_All!$L$2:$L$1000,"بانتظار سندات الاستلام \ شهادة الإنجاز"))</f>
        <v/>
      </c>
      <c r="R418" t="str">
        <f t="shared" si="20"/>
        <v/>
      </c>
    </row>
    <row r="419" spans="6:18" x14ac:dyDescent="0.3">
      <c r="F419" t="str">
        <f>IF(B419="","",SUMIFS(DB_All!$M$2:$M$1000,DB_All!$G$2:$G$1000,B419,DB_All!$L$2:$L$1000,"تحت إجراءات التعاقد"))</f>
        <v/>
      </c>
      <c r="G419" t="str">
        <f>IF(B419="","",COUNTIFS(DB_All!$G$2:$G$1000,B419,DB_All!$L$2:$L$1000,"تحت إجراءات التعاقد"))</f>
        <v/>
      </c>
      <c r="H419" t="str">
        <f>IF(B419="","",SUMIFS(DB_All!$N$2:$N$1000,DB_All!$G$2:$G$1000,B419,DB_All!$L$2:$L$1000,"تم التوقيع"))</f>
        <v/>
      </c>
      <c r="I419" t="str">
        <f>IF(B419="","",COUNTIFS(DB_All!$G$2:$G$1000,B419,DB_All!$L$2:$L$1000,"تم التوقيع"))</f>
        <v/>
      </c>
      <c r="J419">
        <f t="shared" si="18"/>
        <v>0</v>
      </c>
      <c r="K419" t="str">
        <f>IF(B419="","",SUMIFS('المطالبات 2026'!$J:$J,'المطالبات 2026'!$E:$E,B419,'المطالبات 2026'!$I:$I,"مطالبة مرفوعة للمالية") + SUMIFS('المطالبات 2025'!$J:$J,'المطالبات 2025'!$E:$E,B419,'المطالبات 2025'!$I:$I,"مطالبة مرفوعة للمالية"))</f>
        <v/>
      </c>
      <c r="L419" t="str">
        <f>IF(B419="","",COUNTIFS('المطالبات 2026'!$E:$E,B419,'المطالبات 2026'!$I:$I,"مطالبة مرفوعة للمالية") + COUNTIFS('المطالبات 2025'!$E:$E,B419,'المطالبات 2025'!$I:$I,"مطالبة مرفوعة للمالية"))</f>
        <v/>
      </c>
      <c r="M419">
        <f t="shared" si="19"/>
        <v>0</v>
      </c>
      <c r="N419" t="str">
        <f>IF(B419="","",SUMIFS(DB_All!$N$2:$N$1000,DB_All!$G$2:$G$1000,B419,DB_All!$L$2:$L$1000,"تحت إجراءات التوريد"))</f>
        <v/>
      </c>
      <c r="O419" t="str">
        <f>IF(B419="","",COUNTIFS(DB_All!$G$2:$G$1000,B419,DB_All!$L$2:$L$1000,"تحت إجراءات التوريد"))</f>
        <v/>
      </c>
      <c r="P419" t="str">
        <f>IF(B419="","",SUMIFS(DB_All!$N$2:$N$1000,DB_All!$G$2:$G$1000,B419,DB_All!$L$2:$L$1000,"بانتظار سندات الاستلام \ شهادة الإنجاز"))</f>
        <v/>
      </c>
      <c r="Q419" t="str">
        <f>IF(B419="","",COUNTIFS(DB_All!$G$2:$G$1000,B419,DB_All!$L$2:$L$1000,"بانتظار سندات الاستلام \ شهادة الإنجاز"))</f>
        <v/>
      </c>
      <c r="R419" t="str">
        <f t="shared" si="20"/>
        <v/>
      </c>
    </row>
    <row r="420" spans="6:18" x14ac:dyDescent="0.3">
      <c r="F420" t="str">
        <f>IF(B420="","",SUMIFS(DB_All!$M$2:$M$1000,DB_All!$G$2:$G$1000,B420,DB_All!$L$2:$L$1000,"تحت إجراءات التعاقد"))</f>
        <v/>
      </c>
      <c r="G420" t="str">
        <f>IF(B420="","",COUNTIFS(DB_All!$G$2:$G$1000,B420,DB_All!$L$2:$L$1000,"تحت إجراءات التعاقد"))</f>
        <v/>
      </c>
      <c r="H420" t="str">
        <f>IF(B420="","",SUMIFS(DB_All!$N$2:$N$1000,DB_All!$G$2:$G$1000,B420,DB_All!$L$2:$L$1000,"تم التوقيع"))</f>
        <v/>
      </c>
      <c r="I420" t="str">
        <f>IF(B420="","",COUNTIFS(DB_All!$G$2:$G$1000,B420,DB_All!$L$2:$L$1000,"تم التوقيع"))</f>
        <v/>
      </c>
      <c r="J420">
        <f t="shared" si="18"/>
        <v>0</v>
      </c>
      <c r="K420" t="str">
        <f>IF(B420="","",SUMIFS('المطالبات 2026'!$J:$J,'المطالبات 2026'!$E:$E,B420,'المطالبات 2026'!$I:$I,"مطالبة مرفوعة للمالية") + SUMIFS('المطالبات 2025'!$J:$J,'المطالبات 2025'!$E:$E,B420,'المطالبات 2025'!$I:$I,"مطالبة مرفوعة للمالية"))</f>
        <v/>
      </c>
      <c r="L420" t="str">
        <f>IF(B420="","",COUNTIFS('المطالبات 2026'!$E:$E,B420,'المطالبات 2026'!$I:$I,"مطالبة مرفوعة للمالية") + COUNTIFS('المطالبات 2025'!$E:$E,B420,'المطالبات 2025'!$I:$I,"مطالبة مرفوعة للمالية"))</f>
        <v/>
      </c>
      <c r="M420">
        <f t="shared" si="19"/>
        <v>0</v>
      </c>
      <c r="N420" t="str">
        <f>IF(B420="","",SUMIFS(DB_All!$N$2:$N$1000,DB_All!$G$2:$G$1000,B420,DB_All!$L$2:$L$1000,"تحت إجراءات التوريد"))</f>
        <v/>
      </c>
      <c r="O420" t="str">
        <f>IF(B420="","",COUNTIFS(DB_All!$G$2:$G$1000,B420,DB_All!$L$2:$L$1000,"تحت إجراءات التوريد"))</f>
        <v/>
      </c>
      <c r="P420" t="str">
        <f>IF(B420="","",SUMIFS(DB_All!$N$2:$N$1000,DB_All!$G$2:$G$1000,B420,DB_All!$L$2:$L$1000,"بانتظار سندات الاستلام \ شهادة الإنجاز"))</f>
        <v/>
      </c>
      <c r="Q420" t="str">
        <f>IF(B420="","",COUNTIFS(DB_All!$G$2:$G$1000,B420,DB_All!$L$2:$L$1000,"بانتظار سندات الاستلام \ شهادة الإنجاز"))</f>
        <v/>
      </c>
      <c r="R420" t="str">
        <f t="shared" si="20"/>
        <v/>
      </c>
    </row>
    <row r="421" spans="6:18" x14ac:dyDescent="0.3">
      <c r="F421" t="str">
        <f>IF(B421="","",SUMIFS(DB_All!$M$2:$M$1000,DB_All!$G$2:$G$1000,B421,DB_All!$L$2:$L$1000,"تحت إجراءات التعاقد"))</f>
        <v/>
      </c>
      <c r="G421" t="str">
        <f>IF(B421="","",COUNTIFS(DB_All!$G$2:$G$1000,B421,DB_All!$L$2:$L$1000,"تحت إجراءات التعاقد"))</f>
        <v/>
      </c>
      <c r="H421" t="str">
        <f>IF(B421="","",SUMIFS(DB_All!$N$2:$N$1000,DB_All!$G$2:$G$1000,B421,DB_All!$L$2:$L$1000,"تم التوقيع"))</f>
        <v/>
      </c>
      <c r="I421" t="str">
        <f>IF(B421="","",COUNTIFS(DB_All!$G$2:$G$1000,B421,DB_All!$L$2:$L$1000,"تم التوقيع"))</f>
        <v/>
      </c>
      <c r="J421">
        <f t="shared" si="18"/>
        <v>0</v>
      </c>
      <c r="K421" t="str">
        <f>IF(B421="","",SUMIFS('المطالبات 2026'!$J:$J,'المطالبات 2026'!$E:$E,B421,'المطالبات 2026'!$I:$I,"مطالبة مرفوعة للمالية") + SUMIFS('المطالبات 2025'!$J:$J,'المطالبات 2025'!$E:$E,B421,'المطالبات 2025'!$I:$I,"مطالبة مرفوعة للمالية"))</f>
        <v/>
      </c>
      <c r="L421" t="str">
        <f>IF(B421="","",COUNTIFS('المطالبات 2026'!$E:$E,B421,'المطالبات 2026'!$I:$I,"مطالبة مرفوعة للمالية") + COUNTIFS('المطالبات 2025'!$E:$E,B421,'المطالبات 2025'!$I:$I,"مطالبة مرفوعة للمالية"))</f>
        <v/>
      </c>
      <c r="M421">
        <f t="shared" si="19"/>
        <v>0</v>
      </c>
      <c r="N421" t="str">
        <f>IF(B421="","",SUMIFS(DB_All!$N$2:$N$1000,DB_All!$G$2:$G$1000,B421,DB_All!$L$2:$L$1000,"تحت إجراءات التوريد"))</f>
        <v/>
      </c>
      <c r="O421" t="str">
        <f>IF(B421="","",COUNTIFS(DB_All!$G$2:$G$1000,B421,DB_All!$L$2:$L$1000,"تحت إجراءات التوريد"))</f>
        <v/>
      </c>
      <c r="P421" t="str">
        <f>IF(B421="","",SUMIFS(DB_All!$N$2:$N$1000,DB_All!$G$2:$G$1000,B421,DB_All!$L$2:$L$1000,"بانتظار سندات الاستلام \ شهادة الإنجاز"))</f>
        <v/>
      </c>
      <c r="Q421" t="str">
        <f>IF(B421="","",COUNTIFS(DB_All!$G$2:$G$1000,B421,DB_All!$L$2:$L$1000,"بانتظار سندات الاستلام \ شهادة الإنجاز"))</f>
        <v/>
      </c>
      <c r="R421" t="str">
        <f t="shared" si="20"/>
        <v/>
      </c>
    </row>
    <row r="422" spans="6:18" x14ac:dyDescent="0.3">
      <c r="F422" t="str">
        <f>IF(B422="","",SUMIFS(DB_All!$M$2:$M$1000,DB_All!$G$2:$G$1000,B422,DB_All!$L$2:$L$1000,"تحت إجراءات التعاقد"))</f>
        <v/>
      </c>
      <c r="G422" t="str">
        <f>IF(B422="","",COUNTIFS(DB_All!$G$2:$G$1000,B422,DB_All!$L$2:$L$1000,"تحت إجراءات التعاقد"))</f>
        <v/>
      </c>
      <c r="H422" t="str">
        <f>IF(B422="","",SUMIFS(DB_All!$N$2:$N$1000,DB_All!$G$2:$G$1000,B422,DB_All!$L$2:$L$1000,"تم التوقيع"))</f>
        <v/>
      </c>
      <c r="I422" t="str">
        <f>IF(B422="","",COUNTIFS(DB_All!$G$2:$G$1000,B422,DB_All!$L$2:$L$1000,"تم التوقيع"))</f>
        <v/>
      </c>
      <c r="J422">
        <f t="shared" si="18"/>
        <v>0</v>
      </c>
      <c r="K422" t="str">
        <f>IF(B422="","",SUMIFS('المطالبات 2026'!$J:$J,'المطالبات 2026'!$E:$E,B422,'المطالبات 2026'!$I:$I,"مطالبة مرفوعة للمالية") + SUMIFS('المطالبات 2025'!$J:$J,'المطالبات 2025'!$E:$E,B422,'المطالبات 2025'!$I:$I,"مطالبة مرفوعة للمالية"))</f>
        <v/>
      </c>
      <c r="L422" t="str">
        <f>IF(B422="","",COUNTIFS('المطالبات 2026'!$E:$E,B422,'المطالبات 2026'!$I:$I,"مطالبة مرفوعة للمالية") + COUNTIFS('المطالبات 2025'!$E:$E,B422,'المطالبات 2025'!$I:$I,"مطالبة مرفوعة للمالية"))</f>
        <v/>
      </c>
      <c r="M422">
        <f t="shared" si="19"/>
        <v>0</v>
      </c>
      <c r="N422" t="str">
        <f>IF(B422="","",SUMIFS(DB_All!$N$2:$N$1000,DB_All!$G$2:$G$1000,B422,DB_All!$L$2:$L$1000,"تحت إجراءات التوريد"))</f>
        <v/>
      </c>
      <c r="O422" t="str">
        <f>IF(B422="","",COUNTIFS(DB_All!$G$2:$G$1000,B422,DB_All!$L$2:$L$1000,"تحت إجراءات التوريد"))</f>
        <v/>
      </c>
      <c r="P422" t="str">
        <f>IF(B422="","",SUMIFS(DB_All!$N$2:$N$1000,DB_All!$G$2:$G$1000,B422,DB_All!$L$2:$L$1000,"بانتظار سندات الاستلام \ شهادة الإنجاز"))</f>
        <v/>
      </c>
      <c r="Q422" t="str">
        <f>IF(B422="","",COUNTIFS(DB_All!$G$2:$G$1000,B422,DB_All!$L$2:$L$1000,"بانتظار سندات الاستلام \ شهادة الإنجاز"))</f>
        <v/>
      </c>
      <c r="R422" t="str">
        <f t="shared" si="20"/>
        <v/>
      </c>
    </row>
    <row r="423" spans="6:18" x14ac:dyDescent="0.3">
      <c r="F423" t="str">
        <f>IF(B423="","",SUMIFS(DB_All!$M$2:$M$1000,DB_All!$G$2:$G$1000,B423,DB_All!$L$2:$L$1000,"تحت إجراءات التعاقد"))</f>
        <v/>
      </c>
      <c r="G423" t="str">
        <f>IF(B423="","",COUNTIFS(DB_All!$G$2:$G$1000,B423,DB_All!$L$2:$L$1000,"تحت إجراءات التعاقد"))</f>
        <v/>
      </c>
      <c r="H423" t="str">
        <f>IF(B423="","",SUMIFS(DB_All!$N$2:$N$1000,DB_All!$G$2:$G$1000,B423,DB_All!$L$2:$L$1000,"تم التوقيع"))</f>
        <v/>
      </c>
      <c r="I423" t="str">
        <f>IF(B423="","",COUNTIFS(DB_All!$G$2:$G$1000,B423,DB_All!$L$2:$L$1000,"تم التوقيع"))</f>
        <v/>
      </c>
      <c r="J423">
        <f t="shared" si="18"/>
        <v>0</v>
      </c>
      <c r="K423" t="str">
        <f>IF(B423="","",SUMIFS('المطالبات 2026'!$J:$J,'المطالبات 2026'!$E:$E,B423,'المطالبات 2026'!$I:$I,"مطالبة مرفوعة للمالية") + SUMIFS('المطالبات 2025'!$J:$J,'المطالبات 2025'!$E:$E,B423,'المطالبات 2025'!$I:$I,"مطالبة مرفوعة للمالية"))</f>
        <v/>
      </c>
      <c r="L423" t="str">
        <f>IF(B423="","",COUNTIFS('المطالبات 2026'!$E:$E,B423,'المطالبات 2026'!$I:$I,"مطالبة مرفوعة للمالية") + COUNTIFS('المطالبات 2025'!$E:$E,B423,'المطالبات 2025'!$I:$I,"مطالبة مرفوعة للمالية"))</f>
        <v/>
      </c>
      <c r="M423">
        <f t="shared" si="19"/>
        <v>0</v>
      </c>
      <c r="N423" t="str">
        <f>IF(B423="","",SUMIFS(DB_All!$N$2:$N$1000,DB_All!$G$2:$G$1000,B423,DB_All!$L$2:$L$1000,"تحت إجراءات التوريد"))</f>
        <v/>
      </c>
      <c r="O423" t="str">
        <f>IF(B423="","",COUNTIFS(DB_All!$G$2:$G$1000,B423,DB_All!$L$2:$L$1000,"تحت إجراءات التوريد"))</f>
        <v/>
      </c>
      <c r="P423" t="str">
        <f>IF(B423="","",SUMIFS(DB_All!$N$2:$N$1000,DB_All!$G$2:$G$1000,B423,DB_All!$L$2:$L$1000,"بانتظار سندات الاستلام \ شهادة الإنجاز"))</f>
        <v/>
      </c>
      <c r="Q423" t="str">
        <f>IF(B423="","",COUNTIFS(DB_All!$G$2:$G$1000,B423,DB_All!$L$2:$L$1000,"بانتظار سندات الاستلام \ شهادة الإنجاز"))</f>
        <v/>
      </c>
      <c r="R423" t="str">
        <f t="shared" si="20"/>
        <v/>
      </c>
    </row>
    <row r="424" spans="6:18" x14ac:dyDescent="0.3">
      <c r="F424" t="str">
        <f>IF(B424="","",SUMIFS(DB_All!$M$2:$M$1000,DB_All!$G$2:$G$1000,B424,DB_All!$L$2:$L$1000,"تحت إجراءات التعاقد"))</f>
        <v/>
      </c>
      <c r="G424" t="str">
        <f>IF(B424="","",COUNTIFS(DB_All!$G$2:$G$1000,B424,DB_All!$L$2:$L$1000,"تحت إجراءات التعاقد"))</f>
        <v/>
      </c>
      <c r="H424" t="str">
        <f>IF(B424="","",SUMIFS(DB_All!$N$2:$N$1000,DB_All!$G$2:$G$1000,B424,DB_All!$L$2:$L$1000,"تم التوقيع"))</f>
        <v/>
      </c>
      <c r="I424" t="str">
        <f>IF(B424="","",COUNTIFS(DB_All!$G$2:$G$1000,B424,DB_All!$L$2:$L$1000,"تم التوقيع"))</f>
        <v/>
      </c>
      <c r="J424">
        <f t="shared" si="18"/>
        <v>0</v>
      </c>
      <c r="K424" t="str">
        <f>IF(B424="","",SUMIFS('المطالبات 2026'!$J:$J,'المطالبات 2026'!$E:$E,B424,'المطالبات 2026'!$I:$I,"مطالبة مرفوعة للمالية") + SUMIFS('المطالبات 2025'!$J:$J,'المطالبات 2025'!$E:$E,B424,'المطالبات 2025'!$I:$I,"مطالبة مرفوعة للمالية"))</f>
        <v/>
      </c>
      <c r="L424" t="str">
        <f>IF(B424="","",COUNTIFS('المطالبات 2026'!$E:$E,B424,'المطالبات 2026'!$I:$I,"مطالبة مرفوعة للمالية") + COUNTIFS('المطالبات 2025'!$E:$E,B424,'المطالبات 2025'!$I:$I,"مطالبة مرفوعة للمالية"))</f>
        <v/>
      </c>
      <c r="M424">
        <f t="shared" si="19"/>
        <v>0</v>
      </c>
      <c r="N424" t="str">
        <f>IF(B424="","",SUMIFS(DB_All!$N$2:$N$1000,DB_All!$G$2:$G$1000,B424,DB_All!$L$2:$L$1000,"تحت إجراءات التوريد"))</f>
        <v/>
      </c>
      <c r="O424" t="str">
        <f>IF(B424="","",COUNTIFS(DB_All!$G$2:$G$1000,B424,DB_All!$L$2:$L$1000,"تحت إجراءات التوريد"))</f>
        <v/>
      </c>
      <c r="P424" t="str">
        <f>IF(B424="","",SUMIFS(DB_All!$N$2:$N$1000,DB_All!$G$2:$G$1000,B424,DB_All!$L$2:$L$1000,"بانتظار سندات الاستلام \ شهادة الإنجاز"))</f>
        <v/>
      </c>
      <c r="Q424" t="str">
        <f>IF(B424="","",COUNTIFS(DB_All!$G$2:$G$1000,B424,DB_All!$L$2:$L$1000,"بانتظار سندات الاستلام \ شهادة الإنجاز"))</f>
        <v/>
      </c>
      <c r="R424" t="str">
        <f t="shared" si="20"/>
        <v/>
      </c>
    </row>
    <row r="425" spans="6:18" x14ac:dyDescent="0.3">
      <c r="F425" t="str">
        <f>IF(B425="","",SUMIFS(DB_All!$M$2:$M$1000,DB_All!$G$2:$G$1000,B425,DB_All!$L$2:$L$1000,"تحت إجراءات التعاقد"))</f>
        <v/>
      </c>
      <c r="G425" t="str">
        <f>IF(B425="","",COUNTIFS(DB_All!$G$2:$G$1000,B425,DB_All!$L$2:$L$1000,"تحت إجراءات التعاقد"))</f>
        <v/>
      </c>
      <c r="H425" t="str">
        <f>IF(B425="","",SUMIFS(DB_All!$N$2:$N$1000,DB_All!$G$2:$G$1000,B425,DB_All!$L$2:$L$1000,"تم التوقيع"))</f>
        <v/>
      </c>
      <c r="I425" t="str">
        <f>IF(B425="","",COUNTIFS(DB_All!$G$2:$G$1000,B425,DB_All!$L$2:$L$1000,"تم التوقيع"))</f>
        <v/>
      </c>
      <c r="J425">
        <f t="shared" si="18"/>
        <v>0</v>
      </c>
      <c r="K425" t="str">
        <f>IF(B425="","",SUMIFS('المطالبات 2026'!$J:$J,'المطالبات 2026'!$E:$E,B425,'المطالبات 2026'!$I:$I,"مطالبة مرفوعة للمالية") + SUMIFS('المطالبات 2025'!$J:$J,'المطالبات 2025'!$E:$E,B425,'المطالبات 2025'!$I:$I,"مطالبة مرفوعة للمالية"))</f>
        <v/>
      </c>
      <c r="L425" t="str">
        <f>IF(B425="","",COUNTIFS('المطالبات 2026'!$E:$E,B425,'المطالبات 2026'!$I:$I,"مطالبة مرفوعة للمالية") + COUNTIFS('المطالبات 2025'!$E:$E,B425,'المطالبات 2025'!$I:$I,"مطالبة مرفوعة للمالية"))</f>
        <v/>
      </c>
      <c r="M425">
        <f t="shared" si="19"/>
        <v>0</v>
      </c>
      <c r="N425" t="str">
        <f>IF(B425="","",SUMIFS(DB_All!$N$2:$N$1000,DB_All!$G$2:$G$1000,B425,DB_All!$L$2:$L$1000,"تحت إجراءات التوريد"))</f>
        <v/>
      </c>
      <c r="O425" t="str">
        <f>IF(B425="","",COUNTIFS(DB_All!$G$2:$G$1000,B425,DB_All!$L$2:$L$1000,"تحت إجراءات التوريد"))</f>
        <v/>
      </c>
      <c r="P425" t="str">
        <f>IF(B425="","",SUMIFS(DB_All!$N$2:$N$1000,DB_All!$G$2:$G$1000,B425,DB_All!$L$2:$L$1000,"بانتظار سندات الاستلام \ شهادة الإنجاز"))</f>
        <v/>
      </c>
      <c r="Q425" t="str">
        <f>IF(B425="","",COUNTIFS(DB_All!$G$2:$G$1000,B425,DB_All!$L$2:$L$1000,"بانتظار سندات الاستلام \ شهادة الإنجاز"))</f>
        <v/>
      </c>
      <c r="R425" t="str">
        <f t="shared" si="20"/>
        <v/>
      </c>
    </row>
    <row r="426" spans="6:18" x14ac:dyDescent="0.3">
      <c r="F426" t="str">
        <f>IF(B426="","",SUMIFS(DB_All!$M$2:$M$1000,DB_All!$G$2:$G$1000,B426,DB_All!$L$2:$L$1000,"تحت إجراءات التعاقد"))</f>
        <v/>
      </c>
      <c r="G426" t="str">
        <f>IF(B426="","",COUNTIFS(DB_All!$G$2:$G$1000,B426,DB_All!$L$2:$L$1000,"تحت إجراءات التعاقد"))</f>
        <v/>
      </c>
      <c r="H426" t="str">
        <f>IF(B426="","",SUMIFS(DB_All!$N$2:$N$1000,DB_All!$G$2:$G$1000,B426,DB_All!$L$2:$L$1000,"تم التوقيع"))</f>
        <v/>
      </c>
      <c r="I426" t="str">
        <f>IF(B426="","",COUNTIFS(DB_All!$G$2:$G$1000,B426,DB_All!$L$2:$L$1000,"تم التوقيع"))</f>
        <v/>
      </c>
      <c r="J426">
        <f t="shared" si="18"/>
        <v>0</v>
      </c>
      <c r="K426" t="str">
        <f>IF(B426="","",SUMIFS('المطالبات 2026'!$J:$J,'المطالبات 2026'!$E:$E,B426,'المطالبات 2026'!$I:$I,"مطالبة مرفوعة للمالية") + SUMIFS('المطالبات 2025'!$J:$J,'المطالبات 2025'!$E:$E,B426,'المطالبات 2025'!$I:$I,"مطالبة مرفوعة للمالية"))</f>
        <v/>
      </c>
      <c r="L426" t="str">
        <f>IF(B426="","",COUNTIFS('المطالبات 2026'!$E:$E,B426,'المطالبات 2026'!$I:$I,"مطالبة مرفوعة للمالية") + COUNTIFS('المطالبات 2025'!$E:$E,B426,'المطالبات 2025'!$I:$I,"مطالبة مرفوعة للمالية"))</f>
        <v/>
      </c>
      <c r="M426">
        <f t="shared" si="19"/>
        <v>0</v>
      </c>
      <c r="N426" t="str">
        <f>IF(B426="","",SUMIFS(DB_All!$N$2:$N$1000,DB_All!$G$2:$G$1000,B426,DB_All!$L$2:$L$1000,"تحت إجراءات التوريد"))</f>
        <v/>
      </c>
      <c r="O426" t="str">
        <f>IF(B426="","",COUNTIFS(DB_All!$G$2:$G$1000,B426,DB_All!$L$2:$L$1000,"تحت إجراءات التوريد"))</f>
        <v/>
      </c>
      <c r="P426" t="str">
        <f>IF(B426="","",SUMIFS(DB_All!$N$2:$N$1000,DB_All!$G$2:$G$1000,B426,DB_All!$L$2:$L$1000,"بانتظار سندات الاستلام \ شهادة الإنجاز"))</f>
        <v/>
      </c>
      <c r="Q426" t="str">
        <f>IF(B426="","",COUNTIFS(DB_All!$G$2:$G$1000,B426,DB_All!$L$2:$L$1000,"بانتظار سندات الاستلام \ شهادة الإنجاز"))</f>
        <v/>
      </c>
      <c r="R426" t="str">
        <f t="shared" si="20"/>
        <v/>
      </c>
    </row>
    <row r="427" spans="6:18" x14ac:dyDescent="0.3">
      <c r="F427" t="str">
        <f>IF(B427="","",SUMIFS(DB_All!$M$2:$M$1000,DB_All!$G$2:$G$1000,B427,DB_All!$L$2:$L$1000,"تحت إجراءات التعاقد"))</f>
        <v/>
      </c>
      <c r="G427" t="str">
        <f>IF(B427="","",COUNTIFS(DB_All!$G$2:$G$1000,B427,DB_All!$L$2:$L$1000,"تحت إجراءات التعاقد"))</f>
        <v/>
      </c>
      <c r="H427" t="str">
        <f>IF(B427="","",SUMIFS(DB_All!$N$2:$N$1000,DB_All!$G$2:$G$1000,B427,DB_All!$L$2:$L$1000,"تم التوقيع"))</f>
        <v/>
      </c>
      <c r="I427" t="str">
        <f>IF(B427="","",COUNTIFS(DB_All!$G$2:$G$1000,B427,DB_All!$L$2:$L$1000,"تم التوقيع"))</f>
        <v/>
      </c>
      <c r="J427">
        <f t="shared" si="18"/>
        <v>0</v>
      </c>
      <c r="K427" t="str">
        <f>IF(B427="","",SUMIFS('المطالبات 2026'!$J:$J,'المطالبات 2026'!$E:$E,B427,'المطالبات 2026'!$I:$I,"مطالبة مرفوعة للمالية") + SUMIFS('المطالبات 2025'!$J:$J,'المطالبات 2025'!$E:$E,B427,'المطالبات 2025'!$I:$I,"مطالبة مرفوعة للمالية"))</f>
        <v/>
      </c>
      <c r="L427" t="str">
        <f>IF(B427="","",COUNTIFS('المطالبات 2026'!$E:$E,B427,'المطالبات 2026'!$I:$I,"مطالبة مرفوعة للمالية") + COUNTIFS('المطالبات 2025'!$E:$E,B427,'المطالبات 2025'!$I:$I,"مطالبة مرفوعة للمالية"))</f>
        <v/>
      </c>
      <c r="M427">
        <f t="shared" si="19"/>
        <v>0</v>
      </c>
      <c r="N427" t="str">
        <f>IF(B427="","",SUMIFS(DB_All!$N$2:$N$1000,DB_All!$G$2:$G$1000,B427,DB_All!$L$2:$L$1000,"تحت إجراءات التوريد"))</f>
        <v/>
      </c>
      <c r="O427" t="str">
        <f>IF(B427="","",COUNTIFS(DB_All!$G$2:$G$1000,B427,DB_All!$L$2:$L$1000,"تحت إجراءات التوريد"))</f>
        <v/>
      </c>
      <c r="P427" t="str">
        <f>IF(B427="","",SUMIFS(DB_All!$N$2:$N$1000,DB_All!$G$2:$G$1000,B427,DB_All!$L$2:$L$1000,"بانتظار سندات الاستلام \ شهادة الإنجاز"))</f>
        <v/>
      </c>
      <c r="Q427" t="str">
        <f>IF(B427="","",COUNTIFS(DB_All!$G$2:$G$1000,B427,DB_All!$L$2:$L$1000,"بانتظار سندات الاستلام \ شهادة الإنجاز"))</f>
        <v/>
      </c>
      <c r="R427" t="str">
        <f t="shared" si="20"/>
        <v/>
      </c>
    </row>
    <row r="428" spans="6:18" x14ac:dyDescent="0.3">
      <c r="F428" t="str">
        <f>IF(B428="","",SUMIFS(DB_All!$M$2:$M$1000,DB_All!$G$2:$G$1000,B428,DB_All!$L$2:$L$1000,"تحت إجراءات التعاقد"))</f>
        <v/>
      </c>
      <c r="G428" t="str">
        <f>IF(B428="","",COUNTIFS(DB_All!$G$2:$G$1000,B428,DB_All!$L$2:$L$1000,"تحت إجراءات التعاقد"))</f>
        <v/>
      </c>
      <c r="H428" t="str">
        <f>IF(B428="","",SUMIFS(DB_All!$N$2:$N$1000,DB_All!$G$2:$G$1000,B428,DB_All!$L$2:$L$1000,"تم التوقيع"))</f>
        <v/>
      </c>
      <c r="I428" t="str">
        <f>IF(B428="","",COUNTIFS(DB_All!$G$2:$G$1000,B428,DB_All!$L$2:$L$1000,"تم التوقيع"))</f>
        <v/>
      </c>
      <c r="J428">
        <f t="shared" si="18"/>
        <v>0</v>
      </c>
      <c r="K428" t="str">
        <f>IF(B428="","",SUMIFS('المطالبات 2026'!$J:$J,'المطالبات 2026'!$E:$E,B428,'المطالبات 2026'!$I:$I,"مطالبة مرفوعة للمالية") + SUMIFS('المطالبات 2025'!$J:$J,'المطالبات 2025'!$E:$E,B428,'المطالبات 2025'!$I:$I,"مطالبة مرفوعة للمالية"))</f>
        <v/>
      </c>
      <c r="L428" t="str">
        <f>IF(B428="","",COUNTIFS('المطالبات 2026'!$E:$E,B428,'المطالبات 2026'!$I:$I,"مطالبة مرفوعة للمالية") + COUNTIFS('المطالبات 2025'!$E:$E,B428,'المطالبات 2025'!$I:$I,"مطالبة مرفوعة للمالية"))</f>
        <v/>
      </c>
      <c r="M428">
        <f t="shared" si="19"/>
        <v>0</v>
      </c>
      <c r="N428" t="str">
        <f>IF(B428="","",SUMIFS(DB_All!$N$2:$N$1000,DB_All!$G$2:$G$1000,B428,DB_All!$L$2:$L$1000,"تحت إجراءات التوريد"))</f>
        <v/>
      </c>
      <c r="O428" t="str">
        <f>IF(B428="","",COUNTIFS(DB_All!$G$2:$G$1000,B428,DB_All!$L$2:$L$1000,"تحت إجراءات التوريد"))</f>
        <v/>
      </c>
      <c r="P428" t="str">
        <f>IF(B428="","",SUMIFS(DB_All!$N$2:$N$1000,DB_All!$G$2:$G$1000,B428,DB_All!$L$2:$L$1000,"بانتظار سندات الاستلام \ شهادة الإنجاز"))</f>
        <v/>
      </c>
      <c r="Q428" t="str">
        <f>IF(B428="","",COUNTIFS(DB_All!$G$2:$G$1000,B428,DB_All!$L$2:$L$1000,"بانتظار سندات الاستلام \ شهادة الإنجاز"))</f>
        <v/>
      </c>
      <c r="R428" t="str">
        <f t="shared" si="20"/>
        <v/>
      </c>
    </row>
    <row r="429" spans="6:18" x14ac:dyDescent="0.3">
      <c r="F429" t="str">
        <f>IF(B429="","",SUMIFS(DB_All!$M$2:$M$1000,DB_All!$G$2:$G$1000,B429,DB_All!$L$2:$L$1000,"تحت إجراءات التعاقد"))</f>
        <v/>
      </c>
      <c r="G429" t="str">
        <f>IF(B429="","",COUNTIFS(DB_All!$G$2:$G$1000,B429,DB_All!$L$2:$L$1000,"تحت إجراءات التعاقد"))</f>
        <v/>
      </c>
      <c r="H429" t="str">
        <f>IF(B429="","",SUMIFS(DB_All!$N$2:$N$1000,DB_All!$G$2:$G$1000,B429,DB_All!$L$2:$L$1000,"تم التوقيع"))</f>
        <v/>
      </c>
      <c r="I429" t="str">
        <f>IF(B429="","",COUNTIFS(DB_All!$G$2:$G$1000,B429,DB_All!$L$2:$L$1000,"تم التوقيع"))</f>
        <v/>
      </c>
      <c r="J429">
        <f t="shared" si="18"/>
        <v>0</v>
      </c>
      <c r="K429" t="str">
        <f>IF(B429="","",SUMIFS('المطالبات 2026'!$J:$J,'المطالبات 2026'!$E:$E,B429,'المطالبات 2026'!$I:$I,"مطالبة مرفوعة للمالية") + SUMIFS('المطالبات 2025'!$J:$J,'المطالبات 2025'!$E:$E,B429,'المطالبات 2025'!$I:$I,"مطالبة مرفوعة للمالية"))</f>
        <v/>
      </c>
      <c r="L429" t="str">
        <f>IF(B429="","",COUNTIFS('المطالبات 2026'!$E:$E,B429,'المطالبات 2026'!$I:$I,"مطالبة مرفوعة للمالية") + COUNTIFS('المطالبات 2025'!$E:$E,B429,'المطالبات 2025'!$I:$I,"مطالبة مرفوعة للمالية"))</f>
        <v/>
      </c>
      <c r="M429">
        <f t="shared" si="19"/>
        <v>0</v>
      </c>
      <c r="N429" t="str">
        <f>IF(B429="","",SUMIFS(DB_All!$N$2:$N$1000,DB_All!$G$2:$G$1000,B429,DB_All!$L$2:$L$1000,"تحت إجراءات التوريد"))</f>
        <v/>
      </c>
      <c r="O429" t="str">
        <f>IF(B429="","",COUNTIFS(DB_All!$G$2:$G$1000,B429,DB_All!$L$2:$L$1000,"تحت إجراءات التوريد"))</f>
        <v/>
      </c>
      <c r="P429" t="str">
        <f>IF(B429="","",SUMIFS(DB_All!$N$2:$N$1000,DB_All!$G$2:$G$1000,B429,DB_All!$L$2:$L$1000,"بانتظار سندات الاستلام \ شهادة الإنجاز"))</f>
        <v/>
      </c>
      <c r="Q429" t="str">
        <f>IF(B429="","",COUNTIFS(DB_All!$G$2:$G$1000,B429,DB_All!$L$2:$L$1000,"بانتظار سندات الاستلام \ شهادة الإنجاز"))</f>
        <v/>
      </c>
      <c r="R429" t="str">
        <f t="shared" si="20"/>
        <v/>
      </c>
    </row>
    <row r="430" spans="6:18" x14ac:dyDescent="0.3">
      <c r="F430" t="str">
        <f>IF(B430="","",SUMIFS(DB_All!$M$2:$M$1000,DB_All!$G$2:$G$1000,B430,DB_All!$L$2:$L$1000,"تحت إجراءات التعاقد"))</f>
        <v/>
      </c>
      <c r="G430" t="str">
        <f>IF(B430="","",COUNTIFS(DB_All!$G$2:$G$1000,B430,DB_All!$L$2:$L$1000,"تحت إجراءات التعاقد"))</f>
        <v/>
      </c>
      <c r="H430" t="str">
        <f>IF(B430="","",SUMIFS(DB_All!$N$2:$N$1000,DB_All!$G$2:$G$1000,B430,DB_All!$L$2:$L$1000,"تم التوقيع"))</f>
        <v/>
      </c>
      <c r="I430" t="str">
        <f>IF(B430="","",COUNTIFS(DB_All!$G$2:$G$1000,B430,DB_All!$L$2:$L$1000,"تم التوقيع"))</f>
        <v/>
      </c>
      <c r="J430">
        <f t="shared" si="18"/>
        <v>0</v>
      </c>
      <c r="K430" t="str">
        <f>IF(B430="","",SUMIFS('المطالبات 2026'!$J:$J,'المطالبات 2026'!$E:$E,B430,'المطالبات 2026'!$I:$I,"مطالبة مرفوعة للمالية") + SUMIFS('المطالبات 2025'!$J:$J,'المطالبات 2025'!$E:$E,B430,'المطالبات 2025'!$I:$I,"مطالبة مرفوعة للمالية"))</f>
        <v/>
      </c>
      <c r="L430" t="str">
        <f>IF(B430="","",COUNTIFS('المطالبات 2026'!$E:$E,B430,'المطالبات 2026'!$I:$I,"مطالبة مرفوعة للمالية") + COUNTIFS('المطالبات 2025'!$E:$E,B430,'المطالبات 2025'!$I:$I,"مطالبة مرفوعة للمالية"))</f>
        <v/>
      </c>
      <c r="M430">
        <f t="shared" si="19"/>
        <v>0</v>
      </c>
      <c r="N430" t="str">
        <f>IF(B430="","",SUMIFS(DB_All!$N$2:$N$1000,DB_All!$G$2:$G$1000,B430,DB_All!$L$2:$L$1000,"تحت إجراءات التوريد"))</f>
        <v/>
      </c>
      <c r="O430" t="str">
        <f>IF(B430="","",COUNTIFS(DB_All!$G$2:$G$1000,B430,DB_All!$L$2:$L$1000,"تحت إجراءات التوريد"))</f>
        <v/>
      </c>
      <c r="P430" t="str">
        <f>IF(B430="","",SUMIFS(DB_All!$N$2:$N$1000,DB_All!$G$2:$G$1000,B430,DB_All!$L$2:$L$1000,"بانتظار سندات الاستلام \ شهادة الإنجاز"))</f>
        <v/>
      </c>
      <c r="Q430" t="str">
        <f>IF(B430="","",COUNTIFS(DB_All!$G$2:$G$1000,B430,DB_All!$L$2:$L$1000,"بانتظار سندات الاستلام \ شهادة الإنجاز"))</f>
        <v/>
      </c>
      <c r="R430" t="str">
        <f t="shared" si="20"/>
        <v/>
      </c>
    </row>
    <row r="431" spans="6:18" x14ac:dyDescent="0.3">
      <c r="F431" t="str">
        <f>IF(B431="","",SUMIFS(DB_All!$M$2:$M$1000,DB_All!$G$2:$G$1000,B431,DB_All!$L$2:$L$1000,"تحت إجراءات التعاقد"))</f>
        <v/>
      </c>
      <c r="G431" t="str">
        <f>IF(B431="","",COUNTIFS(DB_All!$G$2:$G$1000,B431,DB_All!$L$2:$L$1000,"تحت إجراءات التعاقد"))</f>
        <v/>
      </c>
      <c r="H431" t="str">
        <f>IF(B431="","",SUMIFS(DB_All!$N$2:$N$1000,DB_All!$G$2:$G$1000,B431,DB_All!$L$2:$L$1000,"تم التوقيع"))</f>
        <v/>
      </c>
      <c r="I431" t="str">
        <f>IF(B431="","",COUNTIFS(DB_All!$G$2:$G$1000,B431,DB_All!$L$2:$L$1000,"تم التوقيع"))</f>
        <v/>
      </c>
      <c r="J431">
        <f t="shared" si="18"/>
        <v>0</v>
      </c>
      <c r="K431" t="str">
        <f>IF(B431="","",SUMIFS('المطالبات 2026'!$J:$J,'المطالبات 2026'!$E:$E,B431,'المطالبات 2026'!$I:$I,"مطالبة مرفوعة للمالية") + SUMIFS('المطالبات 2025'!$J:$J,'المطالبات 2025'!$E:$E,B431,'المطالبات 2025'!$I:$I,"مطالبة مرفوعة للمالية"))</f>
        <v/>
      </c>
      <c r="L431" t="str">
        <f>IF(B431="","",COUNTIFS('المطالبات 2026'!$E:$E,B431,'المطالبات 2026'!$I:$I,"مطالبة مرفوعة للمالية") + COUNTIFS('المطالبات 2025'!$E:$E,B431,'المطالبات 2025'!$I:$I,"مطالبة مرفوعة للمالية"))</f>
        <v/>
      </c>
      <c r="M431">
        <f t="shared" si="19"/>
        <v>0</v>
      </c>
      <c r="N431" t="str">
        <f>IF(B431="","",SUMIFS(DB_All!$N$2:$N$1000,DB_All!$G$2:$G$1000,B431,DB_All!$L$2:$L$1000,"تحت إجراءات التوريد"))</f>
        <v/>
      </c>
      <c r="O431" t="str">
        <f>IF(B431="","",COUNTIFS(DB_All!$G$2:$G$1000,B431,DB_All!$L$2:$L$1000,"تحت إجراءات التوريد"))</f>
        <v/>
      </c>
      <c r="P431" t="str">
        <f>IF(B431="","",SUMIFS(DB_All!$N$2:$N$1000,DB_All!$G$2:$G$1000,B431,DB_All!$L$2:$L$1000,"بانتظار سندات الاستلام \ شهادة الإنجاز"))</f>
        <v/>
      </c>
      <c r="Q431" t="str">
        <f>IF(B431="","",COUNTIFS(DB_All!$G$2:$G$1000,B431,DB_All!$L$2:$L$1000,"بانتظار سندات الاستلام \ شهادة الإنجاز"))</f>
        <v/>
      </c>
      <c r="R431" t="str">
        <f t="shared" si="20"/>
        <v/>
      </c>
    </row>
    <row r="432" spans="6:18" x14ac:dyDescent="0.3">
      <c r="F432" t="str">
        <f>IF(B432="","",SUMIFS(DB_All!$M$2:$M$1000,DB_All!$G$2:$G$1000,B432,DB_All!$L$2:$L$1000,"تحت إجراءات التعاقد"))</f>
        <v/>
      </c>
      <c r="G432" t="str">
        <f>IF(B432="","",COUNTIFS(DB_All!$G$2:$G$1000,B432,DB_All!$L$2:$L$1000,"تحت إجراءات التعاقد"))</f>
        <v/>
      </c>
      <c r="H432" t="str">
        <f>IF(B432="","",SUMIFS(DB_All!$N$2:$N$1000,DB_All!$G$2:$G$1000,B432,DB_All!$L$2:$L$1000,"تم التوقيع"))</f>
        <v/>
      </c>
      <c r="I432" t="str">
        <f>IF(B432="","",COUNTIFS(DB_All!$G$2:$G$1000,B432,DB_All!$L$2:$L$1000,"تم التوقيع"))</f>
        <v/>
      </c>
      <c r="J432">
        <f t="shared" si="18"/>
        <v>0</v>
      </c>
      <c r="K432" t="str">
        <f>IF(B432="","",SUMIFS('المطالبات 2026'!$J:$J,'المطالبات 2026'!$E:$E,B432,'المطالبات 2026'!$I:$I,"مطالبة مرفوعة للمالية") + SUMIFS('المطالبات 2025'!$J:$J,'المطالبات 2025'!$E:$E,B432,'المطالبات 2025'!$I:$I,"مطالبة مرفوعة للمالية"))</f>
        <v/>
      </c>
      <c r="L432" t="str">
        <f>IF(B432="","",COUNTIFS('المطالبات 2026'!$E:$E,B432,'المطالبات 2026'!$I:$I,"مطالبة مرفوعة للمالية") + COUNTIFS('المطالبات 2025'!$E:$E,B432,'المطالبات 2025'!$I:$I,"مطالبة مرفوعة للمالية"))</f>
        <v/>
      </c>
      <c r="M432">
        <f t="shared" si="19"/>
        <v>0</v>
      </c>
      <c r="N432" t="str">
        <f>IF(B432="","",SUMIFS(DB_All!$N$2:$N$1000,DB_All!$G$2:$G$1000,B432,DB_All!$L$2:$L$1000,"تحت إجراءات التوريد"))</f>
        <v/>
      </c>
      <c r="O432" t="str">
        <f>IF(B432="","",COUNTIFS(DB_All!$G$2:$G$1000,B432,DB_All!$L$2:$L$1000,"تحت إجراءات التوريد"))</f>
        <v/>
      </c>
      <c r="P432" t="str">
        <f>IF(B432="","",SUMIFS(DB_All!$N$2:$N$1000,DB_All!$G$2:$G$1000,B432,DB_All!$L$2:$L$1000,"بانتظار سندات الاستلام \ شهادة الإنجاز"))</f>
        <v/>
      </c>
      <c r="Q432" t="str">
        <f>IF(B432="","",COUNTIFS(DB_All!$G$2:$G$1000,B432,DB_All!$L$2:$L$1000,"بانتظار سندات الاستلام \ شهادة الإنجاز"))</f>
        <v/>
      </c>
      <c r="R432" t="str">
        <f t="shared" si="20"/>
        <v/>
      </c>
    </row>
    <row r="433" spans="6:18" x14ac:dyDescent="0.3">
      <c r="F433" t="str">
        <f>IF(B433="","",SUMIFS(DB_All!$M$2:$M$1000,DB_All!$G$2:$G$1000,B433,DB_All!$L$2:$L$1000,"تحت إجراءات التعاقد"))</f>
        <v/>
      </c>
      <c r="G433" t="str">
        <f>IF(B433="","",COUNTIFS(DB_All!$G$2:$G$1000,B433,DB_All!$L$2:$L$1000,"تحت إجراءات التعاقد"))</f>
        <v/>
      </c>
      <c r="H433" t="str">
        <f>IF(B433="","",SUMIFS(DB_All!$N$2:$N$1000,DB_All!$G$2:$G$1000,B433,DB_All!$L$2:$L$1000,"تم التوقيع"))</f>
        <v/>
      </c>
      <c r="I433" t="str">
        <f>IF(B433="","",COUNTIFS(DB_All!$G$2:$G$1000,B433,DB_All!$L$2:$L$1000,"تم التوقيع"))</f>
        <v/>
      </c>
      <c r="J433">
        <f t="shared" si="18"/>
        <v>0</v>
      </c>
      <c r="K433" t="str">
        <f>IF(B433="","",SUMIFS('المطالبات 2026'!$J:$J,'المطالبات 2026'!$E:$E,B433,'المطالبات 2026'!$I:$I,"مطالبة مرفوعة للمالية") + SUMIFS('المطالبات 2025'!$J:$J,'المطالبات 2025'!$E:$E,B433,'المطالبات 2025'!$I:$I,"مطالبة مرفوعة للمالية"))</f>
        <v/>
      </c>
      <c r="L433" t="str">
        <f>IF(B433="","",COUNTIFS('المطالبات 2026'!$E:$E,B433,'المطالبات 2026'!$I:$I,"مطالبة مرفوعة للمالية") + COUNTIFS('المطالبات 2025'!$E:$E,B433,'المطالبات 2025'!$I:$I,"مطالبة مرفوعة للمالية"))</f>
        <v/>
      </c>
      <c r="M433">
        <f t="shared" si="19"/>
        <v>0</v>
      </c>
      <c r="N433" t="str">
        <f>IF(B433="","",SUMIFS(DB_All!$N$2:$N$1000,DB_All!$G$2:$G$1000,B433,DB_All!$L$2:$L$1000,"تحت إجراءات التوريد"))</f>
        <v/>
      </c>
      <c r="O433" t="str">
        <f>IF(B433="","",COUNTIFS(DB_All!$G$2:$G$1000,B433,DB_All!$L$2:$L$1000,"تحت إجراءات التوريد"))</f>
        <v/>
      </c>
      <c r="P433" t="str">
        <f>IF(B433="","",SUMIFS(DB_All!$N$2:$N$1000,DB_All!$G$2:$G$1000,B433,DB_All!$L$2:$L$1000,"بانتظار سندات الاستلام \ شهادة الإنجاز"))</f>
        <v/>
      </c>
      <c r="Q433" t="str">
        <f>IF(B433="","",COUNTIFS(DB_All!$G$2:$G$1000,B433,DB_All!$L$2:$L$1000,"بانتظار سندات الاستلام \ شهادة الإنجاز"))</f>
        <v/>
      </c>
      <c r="R433" t="str">
        <f t="shared" si="20"/>
        <v/>
      </c>
    </row>
    <row r="434" spans="6:18" x14ac:dyDescent="0.3">
      <c r="F434" t="str">
        <f>IF(B434="","",SUMIFS(DB_All!$M$2:$M$1000,DB_All!$G$2:$G$1000,B434,DB_All!$L$2:$L$1000,"تحت إجراءات التعاقد"))</f>
        <v/>
      </c>
      <c r="G434" t="str">
        <f>IF(B434="","",COUNTIFS(DB_All!$G$2:$G$1000,B434,DB_All!$L$2:$L$1000,"تحت إجراءات التعاقد"))</f>
        <v/>
      </c>
      <c r="H434" t="str">
        <f>IF(B434="","",SUMIFS(DB_All!$N$2:$N$1000,DB_All!$G$2:$G$1000,B434,DB_All!$L$2:$L$1000,"تم التوقيع"))</f>
        <v/>
      </c>
      <c r="I434" t="str">
        <f>IF(B434="","",COUNTIFS(DB_All!$G$2:$G$1000,B434,DB_All!$L$2:$L$1000,"تم التوقيع"))</f>
        <v/>
      </c>
      <c r="J434">
        <f t="shared" si="18"/>
        <v>0</v>
      </c>
      <c r="K434" t="str">
        <f>IF(B434="","",SUMIFS('المطالبات 2026'!$J:$J,'المطالبات 2026'!$E:$E,B434,'المطالبات 2026'!$I:$I,"مطالبة مرفوعة للمالية") + SUMIFS('المطالبات 2025'!$J:$J,'المطالبات 2025'!$E:$E,B434,'المطالبات 2025'!$I:$I,"مطالبة مرفوعة للمالية"))</f>
        <v/>
      </c>
      <c r="L434" t="str">
        <f>IF(B434="","",COUNTIFS('المطالبات 2026'!$E:$E,B434,'المطالبات 2026'!$I:$I,"مطالبة مرفوعة للمالية") + COUNTIFS('المطالبات 2025'!$E:$E,B434,'المطالبات 2025'!$I:$I,"مطالبة مرفوعة للمالية"))</f>
        <v/>
      </c>
      <c r="M434">
        <f t="shared" si="19"/>
        <v>0</v>
      </c>
      <c r="N434" t="str">
        <f>IF(B434="","",SUMIFS(DB_All!$N$2:$N$1000,DB_All!$G$2:$G$1000,B434,DB_All!$L$2:$L$1000,"تحت إجراءات التوريد"))</f>
        <v/>
      </c>
      <c r="O434" t="str">
        <f>IF(B434="","",COUNTIFS(DB_All!$G$2:$G$1000,B434,DB_All!$L$2:$L$1000,"تحت إجراءات التوريد"))</f>
        <v/>
      </c>
      <c r="P434" t="str">
        <f>IF(B434="","",SUMIFS(DB_All!$N$2:$N$1000,DB_All!$G$2:$G$1000,B434,DB_All!$L$2:$L$1000,"بانتظار سندات الاستلام \ شهادة الإنجاز"))</f>
        <v/>
      </c>
      <c r="Q434" t="str">
        <f>IF(B434="","",COUNTIFS(DB_All!$G$2:$G$1000,B434,DB_All!$L$2:$L$1000,"بانتظار سندات الاستلام \ شهادة الإنجاز"))</f>
        <v/>
      </c>
      <c r="R434" t="str">
        <f t="shared" si="20"/>
        <v/>
      </c>
    </row>
    <row r="435" spans="6:18" x14ac:dyDescent="0.3">
      <c r="F435" t="str">
        <f>IF(B435="","",SUMIFS(DB_All!$M$2:$M$1000,DB_All!$G$2:$G$1000,B435,DB_All!$L$2:$L$1000,"تحت إجراءات التعاقد"))</f>
        <v/>
      </c>
      <c r="G435" t="str">
        <f>IF(B435="","",COUNTIFS(DB_All!$G$2:$G$1000,B435,DB_All!$L$2:$L$1000,"تحت إجراءات التعاقد"))</f>
        <v/>
      </c>
      <c r="H435" t="str">
        <f>IF(B435="","",SUMIFS(DB_All!$N$2:$N$1000,DB_All!$G$2:$G$1000,B435,DB_All!$L$2:$L$1000,"تم التوقيع"))</f>
        <v/>
      </c>
      <c r="I435" t="str">
        <f>IF(B435="","",COUNTIFS(DB_All!$G$2:$G$1000,B435,DB_All!$L$2:$L$1000,"تم التوقيع"))</f>
        <v/>
      </c>
      <c r="J435">
        <f t="shared" si="18"/>
        <v>0</v>
      </c>
      <c r="K435" t="str">
        <f>IF(B435="","",SUMIFS('المطالبات 2026'!$J:$J,'المطالبات 2026'!$E:$E,B435,'المطالبات 2026'!$I:$I,"مطالبة مرفوعة للمالية") + SUMIFS('المطالبات 2025'!$J:$J,'المطالبات 2025'!$E:$E,B435,'المطالبات 2025'!$I:$I,"مطالبة مرفوعة للمالية"))</f>
        <v/>
      </c>
      <c r="L435" t="str">
        <f>IF(B435="","",COUNTIFS('المطالبات 2026'!$E:$E,B435,'المطالبات 2026'!$I:$I,"مطالبة مرفوعة للمالية") + COUNTIFS('المطالبات 2025'!$E:$E,B435,'المطالبات 2025'!$I:$I,"مطالبة مرفوعة للمالية"))</f>
        <v/>
      </c>
      <c r="M435">
        <f t="shared" si="19"/>
        <v>0</v>
      </c>
      <c r="N435" t="str">
        <f>IF(B435="","",SUMIFS(DB_All!$N$2:$N$1000,DB_All!$G$2:$G$1000,B435,DB_All!$L$2:$L$1000,"تحت إجراءات التوريد"))</f>
        <v/>
      </c>
      <c r="O435" t="str">
        <f>IF(B435="","",COUNTIFS(DB_All!$G$2:$G$1000,B435,DB_All!$L$2:$L$1000,"تحت إجراءات التوريد"))</f>
        <v/>
      </c>
      <c r="P435" t="str">
        <f>IF(B435="","",SUMIFS(DB_All!$N$2:$N$1000,DB_All!$G$2:$G$1000,B435,DB_All!$L$2:$L$1000,"بانتظار سندات الاستلام \ شهادة الإنجاز"))</f>
        <v/>
      </c>
      <c r="Q435" t="str">
        <f>IF(B435="","",COUNTIFS(DB_All!$G$2:$G$1000,B435,DB_All!$L$2:$L$1000,"بانتظار سندات الاستلام \ شهادة الإنجاز"))</f>
        <v/>
      </c>
      <c r="R435" t="str">
        <f t="shared" si="20"/>
        <v/>
      </c>
    </row>
    <row r="436" spans="6:18" x14ac:dyDescent="0.3">
      <c r="F436" t="str">
        <f>IF(B436="","",SUMIFS(DB_All!$M$2:$M$1000,DB_All!$G$2:$G$1000,B436,DB_All!$L$2:$L$1000,"تحت إجراءات التعاقد"))</f>
        <v/>
      </c>
      <c r="G436" t="str">
        <f>IF(B436="","",COUNTIFS(DB_All!$G$2:$G$1000,B436,DB_All!$L$2:$L$1000,"تحت إجراءات التعاقد"))</f>
        <v/>
      </c>
      <c r="H436" t="str">
        <f>IF(B436="","",SUMIFS(DB_All!$N$2:$N$1000,DB_All!$G$2:$G$1000,B436,DB_All!$L$2:$L$1000,"تم التوقيع"))</f>
        <v/>
      </c>
      <c r="I436" t="str">
        <f>IF(B436="","",COUNTIFS(DB_All!$G$2:$G$1000,B436,DB_All!$L$2:$L$1000,"تم التوقيع"))</f>
        <v/>
      </c>
      <c r="J436">
        <f t="shared" si="18"/>
        <v>0</v>
      </c>
      <c r="K436" t="str">
        <f>IF(B436="","",SUMIFS('المطالبات 2026'!$J:$J,'المطالبات 2026'!$E:$E,B436,'المطالبات 2026'!$I:$I,"مطالبة مرفوعة للمالية") + SUMIFS('المطالبات 2025'!$J:$J,'المطالبات 2025'!$E:$E,B436,'المطالبات 2025'!$I:$I,"مطالبة مرفوعة للمالية"))</f>
        <v/>
      </c>
      <c r="L436" t="str">
        <f>IF(B436="","",COUNTIFS('المطالبات 2026'!$E:$E,B436,'المطالبات 2026'!$I:$I,"مطالبة مرفوعة للمالية") + COUNTIFS('المطالبات 2025'!$E:$E,B436,'المطالبات 2025'!$I:$I,"مطالبة مرفوعة للمالية"))</f>
        <v/>
      </c>
      <c r="M436">
        <f t="shared" si="19"/>
        <v>0</v>
      </c>
      <c r="N436" t="str">
        <f>IF(B436="","",SUMIFS(DB_All!$N$2:$N$1000,DB_All!$G$2:$G$1000,B436,DB_All!$L$2:$L$1000,"تحت إجراءات التوريد"))</f>
        <v/>
      </c>
      <c r="O436" t="str">
        <f>IF(B436="","",COUNTIFS(DB_All!$G$2:$G$1000,B436,DB_All!$L$2:$L$1000,"تحت إجراءات التوريد"))</f>
        <v/>
      </c>
      <c r="P436" t="str">
        <f>IF(B436="","",SUMIFS(DB_All!$N$2:$N$1000,DB_All!$G$2:$G$1000,B436,DB_All!$L$2:$L$1000,"بانتظار سندات الاستلام \ شهادة الإنجاز"))</f>
        <v/>
      </c>
      <c r="Q436" t="str">
        <f>IF(B436="","",COUNTIFS(DB_All!$G$2:$G$1000,B436,DB_All!$L$2:$L$1000,"بانتظار سندات الاستلام \ شهادة الإنجاز"))</f>
        <v/>
      </c>
      <c r="R436" t="str">
        <f t="shared" si="20"/>
        <v/>
      </c>
    </row>
    <row r="437" spans="6:18" x14ac:dyDescent="0.3">
      <c r="F437" t="str">
        <f>IF(B437="","",SUMIFS(DB_All!$M$2:$M$1000,DB_All!$G$2:$G$1000,B437,DB_All!$L$2:$L$1000,"تحت إجراءات التعاقد"))</f>
        <v/>
      </c>
      <c r="G437" t="str">
        <f>IF(B437="","",COUNTIFS(DB_All!$G$2:$G$1000,B437,DB_All!$L$2:$L$1000,"تحت إجراءات التعاقد"))</f>
        <v/>
      </c>
      <c r="H437" t="str">
        <f>IF(B437="","",SUMIFS(DB_All!$N$2:$N$1000,DB_All!$G$2:$G$1000,B437,DB_All!$L$2:$L$1000,"تم التوقيع"))</f>
        <v/>
      </c>
      <c r="I437" t="str">
        <f>IF(B437="","",COUNTIFS(DB_All!$G$2:$G$1000,B437,DB_All!$L$2:$L$1000,"تم التوقيع"))</f>
        <v/>
      </c>
      <c r="J437">
        <f t="shared" si="18"/>
        <v>0</v>
      </c>
      <c r="K437" t="str">
        <f>IF(B437="","",SUMIFS('المطالبات 2026'!$J:$J,'المطالبات 2026'!$E:$E,B437,'المطالبات 2026'!$I:$I,"مطالبة مرفوعة للمالية") + SUMIFS('المطالبات 2025'!$J:$J,'المطالبات 2025'!$E:$E,B437,'المطالبات 2025'!$I:$I,"مطالبة مرفوعة للمالية"))</f>
        <v/>
      </c>
      <c r="L437" t="str">
        <f>IF(B437="","",COUNTIFS('المطالبات 2026'!$E:$E,B437,'المطالبات 2026'!$I:$I,"مطالبة مرفوعة للمالية") + COUNTIFS('المطالبات 2025'!$E:$E,B437,'المطالبات 2025'!$I:$I,"مطالبة مرفوعة للمالية"))</f>
        <v/>
      </c>
      <c r="M437">
        <f t="shared" si="19"/>
        <v>0</v>
      </c>
      <c r="N437" t="str">
        <f>IF(B437="","",SUMIFS(DB_All!$N$2:$N$1000,DB_All!$G$2:$G$1000,B437,DB_All!$L$2:$L$1000,"تحت إجراءات التوريد"))</f>
        <v/>
      </c>
      <c r="O437" t="str">
        <f>IF(B437="","",COUNTIFS(DB_All!$G$2:$G$1000,B437,DB_All!$L$2:$L$1000,"تحت إجراءات التوريد"))</f>
        <v/>
      </c>
      <c r="P437" t="str">
        <f>IF(B437="","",SUMIFS(DB_All!$N$2:$N$1000,DB_All!$G$2:$G$1000,B437,DB_All!$L$2:$L$1000,"بانتظار سندات الاستلام \ شهادة الإنجاز"))</f>
        <v/>
      </c>
      <c r="Q437" t="str">
        <f>IF(B437="","",COUNTIFS(DB_All!$G$2:$G$1000,B437,DB_All!$L$2:$L$1000,"بانتظار سندات الاستلام \ شهادة الإنجاز"))</f>
        <v/>
      </c>
      <c r="R437" t="str">
        <f t="shared" si="20"/>
        <v/>
      </c>
    </row>
    <row r="438" spans="6:18" x14ac:dyDescent="0.3">
      <c r="F438" t="str">
        <f>IF(B438="","",SUMIFS(DB_All!$M$2:$M$1000,DB_All!$G$2:$G$1000,B438,DB_All!$L$2:$L$1000,"تحت إجراءات التعاقد"))</f>
        <v/>
      </c>
      <c r="G438" t="str">
        <f>IF(B438="","",COUNTIFS(DB_All!$G$2:$G$1000,B438,DB_All!$L$2:$L$1000,"تحت إجراءات التعاقد"))</f>
        <v/>
      </c>
      <c r="H438" t="str">
        <f>IF(B438="","",SUMIFS(DB_All!$N$2:$N$1000,DB_All!$G$2:$G$1000,B438,DB_All!$L$2:$L$1000,"تم التوقيع"))</f>
        <v/>
      </c>
      <c r="I438" t="str">
        <f>IF(B438="","",COUNTIFS(DB_All!$G$2:$G$1000,B438,DB_All!$L$2:$L$1000,"تم التوقيع"))</f>
        <v/>
      </c>
      <c r="J438">
        <f t="shared" si="18"/>
        <v>0</v>
      </c>
      <c r="K438" t="str">
        <f>IF(B438="","",SUMIFS('المطالبات 2026'!$J:$J,'المطالبات 2026'!$E:$E,B438,'المطالبات 2026'!$I:$I,"مطالبة مرفوعة للمالية") + SUMIFS('المطالبات 2025'!$J:$J,'المطالبات 2025'!$E:$E,B438,'المطالبات 2025'!$I:$I,"مطالبة مرفوعة للمالية"))</f>
        <v/>
      </c>
      <c r="L438" t="str">
        <f>IF(B438="","",COUNTIFS('المطالبات 2026'!$E:$E,B438,'المطالبات 2026'!$I:$I,"مطالبة مرفوعة للمالية") + COUNTIFS('المطالبات 2025'!$E:$E,B438,'المطالبات 2025'!$I:$I,"مطالبة مرفوعة للمالية"))</f>
        <v/>
      </c>
      <c r="M438">
        <f t="shared" si="19"/>
        <v>0</v>
      </c>
      <c r="N438" t="str">
        <f>IF(B438="","",SUMIFS(DB_All!$N$2:$N$1000,DB_All!$G$2:$G$1000,B438,DB_All!$L$2:$L$1000,"تحت إجراءات التوريد"))</f>
        <v/>
      </c>
      <c r="O438" t="str">
        <f>IF(B438="","",COUNTIFS(DB_All!$G$2:$G$1000,B438,DB_All!$L$2:$L$1000,"تحت إجراءات التوريد"))</f>
        <v/>
      </c>
      <c r="P438" t="str">
        <f>IF(B438="","",SUMIFS(DB_All!$N$2:$N$1000,DB_All!$G$2:$G$1000,B438,DB_All!$L$2:$L$1000,"بانتظار سندات الاستلام \ شهادة الإنجاز"))</f>
        <v/>
      </c>
      <c r="Q438" t="str">
        <f>IF(B438="","",COUNTIFS(DB_All!$G$2:$G$1000,B438,DB_All!$L$2:$L$1000,"بانتظار سندات الاستلام \ شهادة الإنجاز"))</f>
        <v/>
      </c>
      <c r="R438" t="str">
        <f t="shared" si="20"/>
        <v/>
      </c>
    </row>
    <row r="439" spans="6:18" x14ac:dyDescent="0.3">
      <c r="F439" t="str">
        <f>IF(B439="","",SUMIFS(DB_All!$M$2:$M$1000,DB_All!$G$2:$G$1000,B439,DB_All!$L$2:$L$1000,"تحت إجراءات التعاقد"))</f>
        <v/>
      </c>
      <c r="G439" t="str">
        <f>IF(B439="","",COUNTIFS(DB_All!$G$2:$G$1000,B439,DB_All!$L$2:$L$1000,"تحت إجراءات التعاقد"))</f>
        <v/>
      </c>
      <c r="H439" t="str">
        <f>IF(B439="","",SUMIFS(DB_All!$N$2:$N$1000,DB_All!$G$2:$G$1000,B439,DB_All!$L$2:$L$1000,"تم التوقيع"))</f>
        <v/>
      </c>
      <c r="I439" t="str">
        <f>IF(B439="","",COUNTIFS(DB_All!$G$2:$G$1000,B439,DB_All!$L$2:$L$1000,"تم التوقيع"))</f>
        <v/>
      </c>
      <c r="J439">
        <f t="shared" si="18"/>
        <v>0</v>
      </c>
      <c r="K439" t="str">
        <f>IF(B439="","",SUMIFS('المطالبات 2026'!$J:$J,'المطالبات 2026'!$E:$E,B439,'المطالبات 2026'!$I:$I,"مطالبة مرفوعة للمالية") + SUMIFS('المطالبات 2025'!$J:$J,'المطالبات 2025'!$E:$E,B439,'المطالبات 2025'!$I:$I,"مطالبة مرفوعة للمالية"))</f>
        <v/>
      </c>
      <c r="L439" t="str">
        <f>IF(B439="","",COUNTIFS('المطالبات 2026'!$E:$E,B439,'المطالبات 2026'!$I:$I,"مطالبة مرفوعة للمالية") + COUNTIFS('المطالبات 2025'!$E:$E,B439,'المطالبات 2025'!$I:$I,"مطالبة مرفوعة للمالية"))</f>
        <v/>
      </c>
      <c r="M439">
        <f t="shared" si="19"/>
        <v>0</v>
      </c>
      <c r="N439" t="str">
        <f>IF(B439="","",SUMIFS(DB_All!$N$2:$N$1000,DB_All!$G$2:$G$1000,B439,DB_All!$L$2:$L$1000,"تحت إجراءات التوريد"))</f>
        <v/>
      </c>
      <c r="O439" t="str">
        <f>IF(B439="","",COUNTIFS(DB_All!$G$2:$G$1000,B439,DB_All!$L$2:$L$1000,"تحت إجراءات التوريد"))</f>
        <v/>
      </c>
      <c r="P439" t="str">
        <f>IF(B439="","",SUMIFS(DB_All!$N$2:$N$1000,DB_All!$G$2:$G$1000,B439,DB_All!$L$2:$L$1000,"بانتظار سندات الاستلام \ شهادة الإنجاز"))</f>
        <v/>
      </c>
      <c r="Q439" t="str">
        <f>IF(B439="","",COUNTIFS(DB_All!$G$2:$G$1000,B439,DB_All!$L$2:$L$1000,"بانتظار سندات الاستلام \ شهادة الإنجاز"))</f>
        <v/>
      </c>
      <c r="R439" t="str">
        <f t="shared" si="20"/>
        <v/>
      </c>
    </row>
    <row r="440" spans="6:18" x14ac:dyDescent="0.3">
      <c r="F440" t="str">
        <f>IF(B440="","",SUMIFS(DB_All!$M$2:$M$1000,DB_All!$G$2:$G$1000,B440,DB_All!$L$2:$L$1000,"تحت إجراءات التعاقد"))</f>
        <v/>
      </c>
      <c r="G440" t="str">
        <f>IF(B440="","",COUNTIFS(DB_All!$G$2:$G$1000,B440,DB_All!$L$2:$L$1000,"تحت إجراءات التعاقد"))</f>
        <v/>
      </c>
      <c r="H440" t="str">
        <f>IF(B440="","",SUMIFS(DB_All!$N$2:$N$1000,DB_All!$G$2:$G$1000,B440,DB_All!$L$2:$L$1000,"تم التوقيع"))</f>
        <v/>
      </c>
      <c r="I440" t="str">
        <f>IF(B440="","",COUNTIFS(DB_All!$G$2:$G$1000,B440,DB_All!$L$2:$L$1000,"تم التوقيع"))</f>
        <v/>
      </c>
      <c r="J440">
        <f t="shared" si="18"/>
        <v>0</v>
      </c>
      <c r="K440" t="str">
        <f>IF(B440="","",SUMIFS('المطالبات 2026'!$J:$J,'المطالبات 2026'!$E:$E,B440,'المطالبات 2026'!$I:$I,"مطالبة مرفوعة للمالية") + SUMIFS('المطالبات 2025'!$J:$J,'المطالبات 2025'!$E:$E,B440,'المطالبات 2025'!$I:$I,"مطالبة مرفوعة للمالية"))</f>
        <v/>
      </c>
      <c r="L440" t="str">
        <f>IF(B440="","",COUNTIFS('المطالبات 2026'!$E:$E,B440,'المطالبات 2026'!$I:$I,"مطالبة مرفوعة للمالية") + COUNTIFS('المطالبات 2025'!$E:$E,B440,'المطالبات 2025'!$I:$I,"مطالبة مرفوعة للمالية"))</f>
        <v/>
      </c>
      <c r="M440">
        <f t="shared" si="19"/>
        <v>0</v>
      </c>
      <c r="N440" t="str">
        <f>IF(B440="","",SUMIFS(DB_All!$N$2:$N$1000,DB_All!$G$2:$G$1000,B440,DB_All!$L$2:$L$1000,"تحت إجراءات التوريد"))</f>
        <v/>
      </c>
      <c r="O440" t="str">
        <f>IF(B440="","",COUNTIFS(DB_All!$G$2:$G$1000,B440,DB_All!$L$2:$L$1000,"تحت إجراءات التوريد"))</f>
        <v/>
      </c>
      <c r="P440" t="str">
        <f>IF(B440="","",SUMIFS(DB_All!$N$2:$N$1000,DB_All!$G$2:$G$1000,B440,DB_All!$L$2:$L$1000,"بانتظار سندات الاستلام \ شهادة الإنجاز"))</f>
        <v/>
      </c>
      <c r="Q440" t="str">
        <f>IF(B440="","",COUNTIFS(DB_All!$G$2:$G$1000,B440,DB_All!$L$2:$L$1000,"بانتظار سندات الاستلام \ شهادة الإنجاز"))</f>
        <v/>
      </c>
      <c r="R440" t="str">
        <f t="shared" si="20"/>
        <v/>
      </c>
    </row>
    <row r="441" spans="6:18" x14ac:dyDescent="0.3">
      <c r="F441" t="str">
        <f>IF(B441="","",SUMIFS(DB_All!$M$2:$M$1000,DB_All!$G$2:$G$1000,B441,DB_All!$L$2:$L$1000,"تحت إجراءات التعاقد"))</f>
        <v/>
      </c>
      <c r="G441" t="str">
        <f>IF(B441="","",COUNTIFS(DB_All!$G$2:$G$1000,B441,DB_All!$L$2:$L$1000,"تحت إجراءات التعاقد"))</f>
        <v/>
      </c>
      <c r="H441" t="str">
        <f>IF(B441="","",SUMIFS(DB_All!$N$2:$N$1000,DB_All!$G$2:$G$1000,B441,DB_All!$L$2:$L$1000,"تم التوقيع"))</f>
        <v/>
      </c>
      <c r="I441" t="str">
        <f>IF(B441="","",COUNTIFS(DB_All!$G$2:$G$1000,B441,DB_All!$L$2:$L$1000,"تم التوقيع"))</f>
        <v/>
      </c>
      <c r="J441">
        <f t="shared" si="18"/>
        <v>0</v>
      </c>
      <c r="K441" t="str">
        <f>IF(B441="","",SUMIFS('المطالبات 2026'!$J:$J,'المطالبات 2026'!$E:$E,B441,'المطالبات 2026'!$I:$I,"مطالبة مرفوعة للمالية") + SUMIFS('المطالبات 2025'!$J:$J,'المطالبات 2025'!$E:$E,B441,'المطالبات 2025'!$I:$I,"مطالبة مرفوعة للمالية"))</f>
        <v/>
      </c>
      <c r="L441" t="str">
        <f>IF(B441="","",COUNTIFS('المطالبات 2026'!$E:$E,B441,'المطالبات 2026'!$I:$I,"مطالبة مرفوعة للمالية") + COUNTIFS('المطالبات 2025'!$E:$E,B441,'المطالبات 2025'!$I:$I,"مطالبة مرفوعة للمالية"))</f>
        <v/>
      </c>
      <c r="M441">
        <f t="shared" si="19"/>
        <v>0</v>
      </c>
      <c r="N441" t="str">
        <f>IF(B441="","",SUMIFS(DB_All!$N$2:$N$1000,DB_All!$G$2:$G$1000,B441,DB_All!$L$2:$L$1000,"تحت إجراءات التوريد"))</f>
        <v/>
      </c>
      <c r="O441" t="str">
        <f>IF(B441="","",COUNTIFS(DB_All!$G$2:$G$1000,B441,DB_All!$L$2:$L$1000,"تحت إجراءات التوريد"))</f>
        <v/>
      </c>
      <c r="P441" t="str">
        <f>IF(B441="","",SUMIFS(DB_All!$N$2:$N$1000,DB_All!$G$2:$G$1000,B441,DB_All!$L$2:$L$1000,"بانتظار سندات الاستلام \ شهادة الإنجاز"))</f>
        <v/>
      </c>
      <c r="Q441" t="str">
        <f>IF(B441="","",COUNTIFS(DB_All!$G$2:$G$1000,B441,DB_All!$L$2:$L$1000,"بانتظار سندات الاستلام \ شهادة الإنجاز"))</f>
        <v/>
      </c>
      <c r="R441" t="str">
        <f t="shared" si="20"/>
        <v/>
      </c>
    </row>
    <row r="442" spans="6:18" x14ac:dyDescent="0.3">
      <c r="F442" t="str">
        <f>IF(B442="","",SUMIFS(DB_All!$M$2:$M$1000,DB_All!$G$2:$G$1000,B442,DB_All!$L$2:$L$1000,"تحت إجراءات التعاقد"))</f>
        <v/>
      </c>
      <c r="G442" t="str">
        <f>IF(B442="","",COUNTIFS(DB_All!$G$2:$G$1000,B442,DB_All!$L$2:$L$1000,"تحت إجراءات التعاقد"))</f>
        <v/>
      </c>
      <c r="H442" t="str">
        <f>IF(B442="","",SUMIFS(DB_All!$N$2:$N$1000,DB_All!$G$2:$G$1000,B442,DB_All!$L$2:$L$1000,"تم التوقيع"))</f>
        <v/>
      </c>
      <c r="I442" t="str">
        <f>IF(B442="","",COUNTIFS(DB_All!$G$2:$G$1000,B442,DB_All!$L$2:$L$1000,"تم التوقيع"))</f>
        <v/>
      </c>
      <c r="J442">
        <f t="shared" si="18"/>
        <v>0</v>
      </c>
      <c r="K442" t="str">
        <f>IF(B442="","",SUMIFS('المطالبات 2026'!$J:$J,'المطالبات 2026'!$E:$E,B442,'المطالبات 2026'!$I:$I,"مطالبة مرفوعة للمالية") + SUMIFS('المطالبات 2025'!$J:$J,'المطالبات 2025'!$E:$E,B442,'المطالبات 2025'!$I:$I,"مطالبة مرفوعة للمالية"))</f>
        <v/>
      </c>
      <c r="L442" t="str">
        <f>IF(B442="","",COUNTIFS('المطالبات 2026'!$E:$E,B442,'المطالبات 2026'!$I:$I,"مطالبة مرفوعة للمالية") + COUNTIFS('المطالبات 2025'!$E:$E,B442,'المطالبات 2025'!$I:$I,"مطالبة مرفوعة للمالية"))</f>
        <v/>
      </c>
      <c r="M442">
        <f t="shared" si="19"/>
        <v>0</v>
      </c>
      <c r="N442" t="str">
        <f>IF(B442="","",SUMIFS(DB_All!$N$2:$N$1000,DB_All!$G$2:$G$1000,B442,DB_All!$L$2:$L$1000,"تحت إجراءات التوريد"))</f>
        <v/>
      </c>
      <c r="O442" t="str">
        <f>IF(B442="","",COUNTIFS(DB_All!$G$2:$G$1000,B442,DB_All!$L$2:$L$1000,"تحت إجراءات التوريد"))</f>
        <v/>
      </c>
      <c r="P442" t="str">
        <f>IF(B442="","",SUMIFS(DB_All!$N$2:$N$1000,DB_All!$G$2:$G$1000,B442,DB_All!$L$2:$L$1000,"بانتظار سندات الاستلام \ شهادة الإنجاز"))</f>
        <v/>
      </c>
      <c r="Q442" t="str">
        <f>IF(B442="","",COUNTIFS(DB_All!$G$2:$G$1000,B442,DB_All!$L$2:$L$1000,"بانتظار سندات الاستلام \ شهادة الإنجاز"))</f>
        <v/>
      </c>
      <c r="R442" t="str">
        <f t="shared" si="20"/>
        <v/>
      </c>
    </row>
    <row r="443" spans="6:18" x14ac:dyDescent="0.3">
      <c r="F443" t="str">
        <f>IF(B443="","",SUMIFS(DB_All!$M$2:$M$1000,DB_All!$G$2:$G$1000,B443,DB_All!$L$2:$L$1000,"تحت إجراءات التعاقد"))</f>
        <v/>
      </c>
      <c r="G443" t="str">
        <f>IF(B443="","",COUNTIFS(DB_All!$G$2:$G$1000,B443,DB_All!$L$2:$L$1000,"تحت إجراءات التعاقد"))</f>
        <v/>
      </c>
      <c r="H443" t="str">
        <f>IF(B443="","",SUMIFS(DB_All!$N$2:$N$1000,DB_All!$G$2:$G$1000,B443,DB_All!$L$2:$L$1000,"تم التوقيع"))</f>
        <v/>
      </c>
      <c r="I443" t="str">
        <f>IF(B443="","",COUNTIFS(DB_All!$G$2:$G$1000,B443,DB_All!$L$2:$L$1000,"تم التوقيع"))</f>
        <v/>
      </c>
      <c r="J443">
        <f t="shared" si="18"/>
        <v>0</v>
      </c>
      <c r="K443" t="str">
        <f>IF(B443="","",SUMIFS('المطالبات 2026'!$J:$J,'المطالبات 2026'!$E:$E,B443,'المطالبات 2026'!$I:$I,"مطالبة مرفوعة للمالية") + SUMIFS('المطالبات 2025'!$J:$J,'المطالبات 2025'!$E:$E,B443,'المطالبات 2025'!$I:$I,"مطالبة مرفوعة للمالية"))</f>
        <v/>
      </c>
      <c r="L443" t="str">
        <f>IF(B443="","",COUNTIFS('المطالبات 2026'!$E:$E,B443,'المطالبات 2026'!$I:$I,"مطالبة مرفوعة للمالية") + COUNTIFS('المطالبات 2025'!$E:$E,B443,'المطالبات 2025'!$I:$I,"مطالبة مرفوعة للمالية"))</f>
        <v/>
      </c>
      <c r="M443">
        <f t="shared" si="19"/>
        <v>0</v>
      </c>
      <c r="N443" t="str">
        <f>IF(B443="","",SUMIFS(DB_All!$N$2:$N$1000,DB_All!$G$2:$G$1000,B443,DB_All!$L$2:$L$1000,"تحت إجراءات التوريد"))</f>
        <v/>
      </c>
      <c r="O443" t="str">
        <f>IF(B443="","",COUNTIFS(DB_All!$G$2:$G$1000,B443,DB_All!$L$2:$L$1000,"تحت إجراءات التوريد"))</f>
        <v/>
      </c>
      <c r="P443" t="str">
        <f>IF(B443="","",SUMIFS(DB_All!$N$2:$N$1000,DB_All!$G$2:$G$1000,B443,DB_All!$L$2:$L$1000,"بانتظار سندات الاستلام \ شهادة الإنجاز"))</f>
        <v/>
      </c>
      <c r="Q443" t="str">
        <f>IF(B443="","",COUNTIFS(DB_All!$G$2:$G$1000,B443,DB_All!$L$2:$L$1000,"بانتظار سندات الاستلام \ شهادة الإنجاز"))</f>
        <v/>
      </c>
      <c r="R443" t="str">
        <f t="shared" si="20"/>
        <v/>
      </c>
    </row>
    <row r="444" spans="6:18" x14ac:dyDescent="0.3">
      <c r="F444" t="str">
        <f>IF(B444="","",SUMIFS(DB_All!$M$2:$M$1000,DB_All!$G$2:$G$1000,B444,DB_All!$L$2:$L$1000,"تحت إجراءات التعاقد"))</f>
        <v/>
      </c>
      <c r="G444" t="str">
        <f>IF(B444="","",COUNTIFS(DB_All!$G$2:$G$1000,B444,DB_All!$L$2:$L$1000,"تحت إجراءات التعاقد"))</f>
        <v/>
      </c>
      <c r="H444" t="str">
        <f>IF(B444="","",SUMIFS(DB_All!$N$2:$N$1000,DB_All!$G$2:$G$1000,B444,DB_All!$L$2:$L$1000,"تم التوقيع"))</f>
        <v/>
      </c>
      <c r="I444" t="str">
        <f>IF(B444="","",COUNTIFS(DB_All!$G$2:$G$1000,B444,DB_All!$L$2:$L$1000,"تم التوقيع"))</f>
        <v/>
      </c>
      <c r="J444">
        <f t="shared" si="18"/>
        <v>0</v>
      </c>
      <c r="K444" t="str">
        <f>IF(B444="","",SUMIFS('المطالبات 2026'!$J:$J,'المطالبات 2026'!$E:$E,B444,'المطالبات 2026'!$I:$I,"مطالبة مرفوعة للمالية") + SUMIFS('المطالبات 2025'!$J:$J,'المطالبات 2025'!$E:$E,B444,'المطالبات 2025'!$I:$I,"مطالبة مرفوعة للمالية"))</f>
        <v/>
      </c>
      <c r="L444" t="str">
        <f>IF(B444="","",COUNTIFS('المطالبات 2026'!$E:$E,B444,'المطالبات 2026'!$I:$I,"مطالبة مرفوعة للمالية") + COUNTIFS('المطالبات 2025'!$E:$E,B444,'المطالبات 2025'!$I:$I,"مطالبة مرفوعة للمالية"))</f>
        <v/>
      </c>
      <c r="M444">
        <f t="shared" si="19"/>
        <v>0</v>
      </c>
      <c r="N444" t="str">
        <f>IF(B444="","",SUMIFS(DB_All!$N$2:$N$1000,DB_All!$G$2:$G$1000,B444,DB_All!$L$2:$L$1000,"تحت إجراءات التوريد"))</f>
        <v/>
      </c>
      <c r="O444" t="str">
        <f>IF(B444="","",COUNTIFS(DB_All!$G$2:$G$1000,B444,DB_All!$L$2:$L$1000,"تحت إجراءات التوريد"))</f>
        <v/>
      </c>
      <c r="P444" t="str">
        <f>IF(B444="","",SUMIFS(DB_All!$N$2:$N$1000,DB_All!$G$2:$G$1000,B444,DB_All!$L$2:$L$1000,"بانتظار سندات الاستلام \ شهادة الإنجاز"))</f>
        <v/>
      </c>
      <c r="Q444" t="str">
        <f>IF(B444="","",COUNTIFS(DB_All!$G$2:$G$1000,B444,DB_All!$L$2:$L$1000,"بانتظار سندات الاستلام \ شهادة الإنجاز"))</f>
        <v/>
      </c>
      <c r="R444" t="str">
        <f t="shared" si="20"/>
        <v/>
      </c>
    </row>
    <row r="445" spans="6:18" x14ac:dyDescent="0.3">
      <c r="F445" t="str">
        <f>IF(B445="","",SUMIFS(DB_All!$M$2:$M$1000,DB_All!$G$2:$G$1000,B445,DB_All!$L$2:$L$1000,"تحت إجراءات التعاقد"))</f>
        <v/>
      </c>
      <c r="G445" t="str">
        <f>IF(B445="","",COUNTIFS(DB_All!$G$2:$G$1000,B445,DB_All!$L$2:$L$1000,"تحت إجراءات التعاقد"))</f>
        <v/>
      </c>
      <c r="H445" t="str">
        <f>IF(B445="","",SUMIFS(DB_All!$N$2:$N$1000,DB_All!$G$2:$G$1000,B445,DB_All!$L$2:$L$1000,"تم التوقيع"))</f>
        <v/>
      </c>
      <c r="I445" t="str">
        <f>IF(B445="","",COUNTIFS(DB_All!$G$2:$G$1000,B445,DB_All!$L$2:$L$1000,"تم التوقيع"))</f>
        <v/>
      </c>
      <c r="J445">
        <f t="shared" si="18"/>
        <v>0</v>
      </c>
      <c r="K445" t="str">
        <f>IF(B445="","",SUMIFS('المطالبات 2026'!$J:$J,'المطالبات 2026'!$E:$E,B445,'المطالبات 2026'!$I:$I,"مطالبة مرفوعة للمالية") + SUMIFS('المطالبات 2025'!$J:$J,'المطالبات 2025'!$E:$E,B445,'المطالبات 2025'!$I:$I,"مطالبة مرفوعة للمالية"))</f>
        <v/>
      </c>
      <c r="L445" t="str">
        <f>IF(B445="","",COUNTIFS('المطالبات 2026'!$E:$E,B445,'المطالبات 2026'!$I:$I,"مطالبة مرفوعة للمالية") + COUNTIFS('المطالبات 2025'!$E:$E,B445,'المطالبات 2025'!$I:$I,"مطالبة مرفوعة للمالية"))</f>
        <v/>
      </c>
      <c r="M445">
        <f t="shared" si="19"/>
        <v>0</v>
      </c>
      <c r="N445" t="str">
        <f>IF(B445="","",SUMIFS(DB_All!$N$2:$N$1000,DB_All!$G$2:$G$1000,B445,DB_All!$L$2:$L$1000,"تحت إجراءات التوريد"))</f>
        <v/>
      </c>
      <c r="O445" t="str">
        <f>IF(B445="","",COUNTIFS(DB_All!$G$2:$G$1000,B445,DB_All!$L$2:$L$1000,"تحت إجراءات التوريد"))</f>
        <v/>
      </c>
      <c r="P445" t="str">
        <f>IF(B445="","",SUMIFS(DB_All!$N$2:$N$1000,DB_All!$G$2:$G$1000,B445,DB_All!$L$2:$L$1000,"بانتظار سندات الاستلام \ شهادة الإنجاز"))</f>
        <v/>
      </c>
      <c r="Q445" t="str">
        <f>IF(B445="","",COUNTIFS(DB_All!$G$2:$G$1000,B445,DB_All!$L$2:$L$1000,"بانتظار سندات الاستلام \ شهادة الإنجاز"))</f>
        <v/>
      </c>
      <c r="R445" t="str">
        <f t="shared" si="20"/>
        <v/>
      </c>
    </row>
    <row r="446" spans="6:18" x14ac:dyDescent="0.3">
      <c r="F446" t="str">
        <f>IF(B446="","",SUMIFS(DB_All!$M$2:$M$1000,DB_All!$G$2:$G$1000,B446,DB_All!$L$2:$L$1000,"تحت إجراءات التعاقد"))</f>
        <v/>
      </c>
      <c r="G446" t="str">
        <f>IF(B446="","",COUNTIFS(DB_All!$G$2:$G$1000,B446,DB_All!$L$2:$L$1000,"تحت إجراءات التعاقد"))</f>
        <v/>
      </c>
      <c r="H446" t="str">
        <f>IF(B446="","",SUMIFS(DB_All!$N$2:$N$1000,DB_All!$G$2:$G$1000,B446,DB_All!$L$2:$L$1000,"تم التوقيع"))</f>
        <v/>
      </c>
      <c r="I446" t="str">
        <f>IF(B446="","",COUNTIFS(DB_All!$G$2:$G$1000,B446,DB_All!$L$2:$L$1000,"تم التوقيع"))</f>
        <v/>
      </c>
      <c r="J446">
        <f t="shared" si="18"/>
        <v>0</v>
      </c>
      <c r="K446" t="str">
        <f>IF(B446="","",SUMIFS('المطالبات 2026'!$J:$J,'المطالبات 2026'!$E:$E,B446,'المطالبات 2026'!$I:$I,"مطالبة مرفوعة للمالية") + SUMIFS('المطالبات 2025'!$J:$J,'المطالبات 2025'!$E:$E,B446,'المطالبات 2025'!$I:$I,"مطالبة مرفوعة للمالية"))</f>
        <v/>
      </c>
      <c r="L446" t="str">
        <f>IF(B446="","",COUNTIFS('المطالبات 2026'!$E:$E,B446,'المطالبات 2026'!$I:$I,"مطالبة مرفوعة للمالية") + COUNTIFS('المطالبات 2025'!$E:$E,B446,'المطالبات 2025'!$I:$I,"مطالبة مرفوعة للمالية"))</f>
        <v/>
      </c>
      <c r="M446">
        <f t="shared" si="19"/>
        <v>0</v>
      </c>
      <c r="N446" t="str">
        <f>IF(B446="","",SUMIFS(DB_All!$N$2:$N$1000,DB_All!$G$2:$G$1000,B446,DB_All!$L$2:$L$1000,"تحت إجراءات التوريد"))</f>
        <v/>
      </c>
      <c r="O446" t="str">
        <f>IF(B446="","",COUNTIFS(DB_All!$G$2:$G$1000,B446,DB_All!$L$2:$L$1000,"تحت إجراءات التوريد"))</f>
        <v/>
      </c>
      <c r="P446" t="str">
        <f>IF(B446="","",SUMIFS(DB_All!$N$2:$N$1000,DB_All!$G$2:$G$1000,B446,DB_All!$L$2:$L$1000,"بانتظار سندات الاستلام \ شهادة الإنجاز"))</f>
        <v/>
      </c>
      <c r="Q446" t="str">
        <f>IF(B446="","",COUNTIFS(DB_All!$G$2:$G$1000,B446,DB_All!$L$2:$L$1000,"بانتظار سندات الاستلام \ شهادة الإنجاز"))</f>
        <v/>
      </c>
      <c r="R446" t="str">
        <f t="shared" si="20"/>
        <v/>
      </c>
    </row>
    <row r="447" spans="6:18" x14ac:dyDescent="0.3">
      <c r="F447" t="str">
        <f>IF(B447="","",SUMIFS(DB_All!$M$2:$M$1000,DB_All!$G$2:$G$1000,B447,DB_All!$L$2:$L$1000,"تحت إجراءات التعاقد"))</f>
        <v/>
      </c>
      <c r="G447" t="str">
        <f>IF(B447="","",COUNTIFS(DB_All!$G$2:$G$1000,B447,DB_All!$L$2:$L$1000,"تحت إجراءات التعاقد"))</f>
        <v/>
      </c>
      <c r="H447" t="str">
        <f>IF(B447="","",SUMIFS(DB_All!$N$2:$N$1000,DB_All!$G$2:$G$1000,B447,DB_All!$L$2:$L$1000,"تم التوقيع"))</f>
        <v/>
      </c>
      <c r="I447" t="str">
        <f>IF(B447="","",COUNTIFS(DB_All!$G$2:$G$1000,B447,DB_All!$L$2:$L$1000,"تم التوقيع"))</f>
        <v/>
      </c>
      <c r="J447">
        <f t="shared" si="18"/>
        <v>0</v>
      </c>
      <c r="K447" t="str">
        <f>IF(B447="","",SUMIFS('المطالبات 2026'!$J:$J,'المطالبات 2026'!$E:$E,B447,'المطالبات 2026'!$I:$I,"مطالبة مرفوعة للمالية") + SUMIFS('المطالبات 2025'!$J:$J,'المطالبات 2025'!$E:$E,B447,'المطالبات 2025'!$I:$I,"مطالبة مرفوعة للمالية"))</f>
        <v/>
      </c>
      <c r="L447" t="str">
        <f>IF(B447="","",COUNTIFS('المطالبات 2026'!$E:$E,B447,'المطالبات 2026'!$I:$I,"مطالبة مرفوعة للمالية") + COUNTIFS('المطالبات 2025'!$E:$E,B447,'المطالبات 2025'!$I:$I,"مطالبة مرفوعة للمالية"))</f>
        <v/>
      </c>
      <c r="M447">
        <f t="shared" si="19"/>
        <v>0</v>
      </c>
      <c r="N447" t="str">
        <f>IF(B447="","",SUMIFS(DB_All!$N$2:$N$1000,DB_All!$G$2:$G$1000,B447,DB_All!$L$2:$L$1000,"تحت إجراءات التوريد"))</f>
        <v/>
      </c>
      <c r="O447" t="str">
        <f>IF(B447="","",COUNTIFS(DB_All!$G$2:$G$1000,B447,DB_All!$L$2:$L$1000,"تحت إجراءات التوريد"))</f>
        <v/>
      </c>
      <c r="P447" t="str">
        <f>IF(B447="","",SUMIFS(DB_All!$N$2:$N$1000,DB_All!$G$2:$G$1000,B447,DB_All!$L$2:$L$1000,"بانتظار سندات الاستلام \ شهادة الإنجاز"))</f>
        <v/>
      </c>
      <c r="Q447" t="str">
        <f>IF(B447="","",COUNTIFS(DB_All!$G$2:$G$1000,B447,DB_All!$L$2:$L$1000,"بانتظار سندات الاستلام \ شهادة الإنجاز"))</f>
        <v/>
      </c>
      <c r="R447" t="str">
        <f t="shared" si="20"/>
        <v/>
      </c>
    </row>
    <row r="448" spans="6:18" x14ac:dyDescent="0.3">
      <c r="F448" t="str">
        <f>IF(B448="","",SUMIFS(DB_All!$M$2:$M$1000,DB_All!$G$2:$G$1000,B448,DB_All!$L$2:$L$1000,"تحت إجراءات التعاقد"))</f>
        <v/>
      </c>
      <c r="G448" t="str">
        <f>IF(B448="","",COUNTIFS(DB_All!$G$2:$G$1000,B448,DB_All!$L$2:$L$1000,"تحت إجراءات التعاقد"))</f>
        <v/>
      </c>
      <c r="H448" t="str">
        <f>IF(B448="","",SUMIFS(DB_All!$N$2:$N$1000,DB_All!$G$2:$G$1000,B448,DB_All!$L$2:$L$1000,"تم التوقيع"))</f>
        <v/>
      </c>
      <c r="I448" t="str">
        <f>IF(B448="","",COUNTIFS(DB_All!$G$2:$G$1000,B448,DB_All!$L$2:$L$1000,"تم التوقيع"))</f>
        <v/>
      </c>
      <c r="J448">
        <f t="shared" si="18"/>
        <v>0</v>
      </c>
      <c r="K448" t="str">
        <f>IF(B448="","",SUMIFS('المطالبات 2026'!$J:$J,'المطالبات 2026'!$E:$E,B448,'المطالبات 2026'!$I:$I,"مطالبة مرفوعة للمالية") + SUMIFS('المطالبات 2025'!$J:$J,'المطالبات 2025'!$E:$E,B448,'المطالبات 2025'!$I:$I,"مطالبة مرفوعة للمالية"))</f>
        <v/>
      </c>
      <c r="L448" t="str">
        <f>IF(B448="","",COUNTIFS('المطالبات 2026'!$E:$E,B448,'المطالبات 2026'!$I:$I,"مطالبة مرفوعة للمالية") + COUNTIFS('المطالبات 2025'!$E:$E,B448,'المطالبات 2025'!$I:$I,"مطالبة مرفوعة للمالية"))</f>
        <v/>
      </c>
      <c r="M448">
        <f t="shared" si="19"/>
        <v>0</v>
      </c>
      <c r="N448" t="str">
        <f>IF(B448="","",SUMIFS(DB_All!$N$2:$N$1000,DB_All!$G$2:$G$1000,B448,DB_All!$L$2:$L$1000,"تحت إجراءات التوريد"))</f>
        <v/>
      </c>
      <c r="O448" t="str">
        <f>IF(B448="","",COUNTIFS(DB_All!$G$2:$G$1000,B448,DB_All!$L$2:$L$1000,"تحت إجراءات التوريد"))</f>
        <v/>
      </c>
      <c r="P448" t="str">
        <f>IF(B448="","",SUMIFS(DB_All!$N$2:$N$1000,DB_All!$G$2:$G$1000,B448,DB_All!$L$2:$L$1000,"بانتظار سندات الاستلام \ شهادة الإنجاز"))</f>
        <v/>
      </c>
      <c r="Q448" t="str">
        <f>IF(B448="","",COUNTIFS(DB_All!$G$2:$G$1000,B448,DB_All!$L$2:$L$1000,"بانتظار سندات الاستلام \ شهادة الإنجاز"))</f>
        <v/>
      </c>
      <c r="R448" t="str">
        <f t="shared" si="20"/>
        <v/>
      </c>
    </row>
    <row r="449" spans="6:18" x14ac:dyDescent="0.3">
      <c r="F449" t="str">
        <f>IF(B449="","",SUMIFS(DB_All!$M$2:$M$1000,DB_All!$G$2:$G$1000,B449,DB_All!$L$2:$L$1000,"تحت إجراءات التعاقد"))</f>
        <v/>
      </c>
      <c r="G449" t="str">
        <f>IF(B449="","",COUNTIFS(DB_All!$G$2:$G$1000,B449,DB_All!$L$2:$L$1000,"تحت إجراءات التعاقد"))</f>
        <v/>
      </c>
      <c r="H449" t="str">
        <f>IF(B449="","",SUMIFS(DB_All!$N$2:$N$1000,DB_All!$G$2:$G$1000,B449,DB_All!$L$2:$L$1000,"تم التوقيع"))</f>
        <v/>
      </c>
      <c r="I449" t="str">
        <f>IF(B449="","",COUNTIFS(DB_All!$G$2:$G$1000,B449,DB_All!$L$2:$L$1000,"تم التوقيع"))</f>
        <v/>
      </c>
      <c r="J449">
        <f t="shared" si="18"/>
        <v>0</v>
      </c>
      <c r="K449" t="str">
        <f>IF(B449="","",SUMIFS('المطالبات 2026'!$J:$J,'المطالبات 2026'!$E:$E,B449,'المطالبات 2026'!$I:$I,"مطالبة مرفوعة للمالية") + SUMIFS('المطالبات 2025'!$J:$J,'المطالبات 2025'!$E:$E,B449,'المطالبات 2025'!$I:$I,"مطالبة مرفوعة للمالية"))</f>
        <v/>
      </c>
      <c r="L449" t="str">
        <f>IF(B449="","",COUNTIFS('المطالبات 2026'!$E:$E,B449,'المطالبات 2026'!$I:$I,"مطالبة مرفوعة للمالية") + COUNTIFS('المطالبات 2025'!$E:$E,B449,'المطالبات 2025'!$I:$I,"مطالبة مرفوعة للمالية"))</f>
        <v/>
      </c>
      <c r="M449">
        <f t="shared" si="19"/>
        <v>0</v>
      </c>
      <c r="N449" t="str">
        <f>IF(B449="","",SUMIFS(DB_All!$N$2:$N$1000,DB_All!$G$2:$G$1000,B449,DB_All!$L$2:$L$1000,"تحت إجراءات التوريد"))</f>
        <v/>
      </c>
      <c r="O449" t="str">
        <f>IF(B449="","",COUNTIFS(DB_All!$G$2:$G$1000,B449,DB_All!$L$2:$L$1000,"تحت إجراءات التوريد"))</f>
        <v/>
      </c>
      <c r="P449" t="str">
        <f>IF(B449="","",SUMIFS(DB_All!$N$2:$N$1000,DB_All!$G$2:$G$1000,B449,DB_All!$L$2:$L$1000,"بانتظار سندات الاستلام \ شهادة الإنجاز"))</f>
        <v/>
      </c>
      <c r="Q449" t="str">
        <f>IF(B449="","",COUNTIFS(DB_All!$G$2:$G$1000,B449,DB_All!$L$2:$L$1000,"بانتظار سندات الاستلام \ شهادة الإنجاز"))</f>
        <v/>
      </c>
      <c r="R449" t="str">
        <f t="shared" si="20"/>
        <v/>
      </c>
    </row>
    <row r="450" spans="6:18" x14ac:dyDescent="0.3">
      <c r="F450" t="str">
        <f>IF(B450="","",SUMIFS(DB_All!$M$2:$M$1000,DB_All!$G$2:$G$1000,B450,DB_All!$L$2:$L$1000,"تحت إجراءات التعاقد"))</f>
        <v/>
      </c>
      <c r="G450" t="str">
        <f>IF(B450="","",COUNTIFS(DB_All!$G$2:$G$1000,B450,DB_All!$L$2:$L$1000,"تحت إجراءات التعاقد"))</f>
        <v/>
      </c>
      <c r="H450" t="str">
        <f>IF(B450="","",SUMIFS(DB_All!$N$2:$N$1000,DB_All!$G$2:$G$1000,B450,DB_All!$L$2:$L$1000,"تم التوقيع"))</f>
        <v/>
      </c>
      <c r="I450" t="str">
        <f>IF(B450="","",COUNTIFS(DB_All!$G$2:$G$1000,B450,DB_All!$L$2:$L$1000,"تم التوقيع"))</f>
        <v/>
      </c>
      <c r="J450">
        <f t="shared" ref="J450:J500" si="21">IFERROR(H450/D450,0)</f>
        <v>0</v>
      </c>
      <c r="K450" t="str">
        <f>IF(B450="","",SUMIFS('المطالبات 2026'!$J:$J,'المطالبات 2026'!$E:$E,B450,'المطالبات 2026'!$I:$I,"مطالبة مرفوعة للمالية") + SUMIFS('المطالبات 2025'!$J:$J,'المطالبات 2025'!$E:$E,B450,'المطالبات 2025'!$I:$I,"مطالبة مرفوعة للمالية"))</f>
        <v/>
      </c>
      <c r="L450" t="str">
        <f>IF(B450="","",COUNTIFS('المطالبات 2026'!$E:$E,B450,'المطالبات 2026'!$I:$I,"مطالبة مرفوعة للمالية") + COUNTIFS('المطالبات 2025'!$E:$E,B450,'المطالبات 2025'!$I:$I,"مطالبة مرفوعة للمالية"))</f>
        <v/>
      </c>
      <c r="M450">
        <f t="shared" ref="M450:M500" si="22">IFERROR(K450/D450,0)</f>
        <v>0</v>
      </c>
      <c r="N450" t="str">
        <f>IF(B450="","",SUMIFS(DB_All!$N$2:$N$1000,DB_All!$G$2:$G$1000,B450,DB_All!$L$2:$L$1000,"تحت إجراءات التوريد"))</f>
        <v/>
      </c>
      <c r="O450" t="str">
        <f>IF(B450="","",COUNTIFS(DB_All!$G$2:$G$1000,B450,DB_All!$L$2:$L$1000,"تحت إجراءات التوريد"))</f>
        <v/>
      </c>
      <c r="P450" t="str">
        <f>IF(B450="","",SUMIFS(DB_All!$N$2:$N$1000,DB_All!$G$2:$G$1000,B450,DB_All!$L$2:$L$1000,"بانتظار سندات الاستلام \ شهادة الإنجاز"))</f>
        <v/>
      </c>
      <c r="Q450" t="str">
        <f>IF(B450="","",COUNTIFS(DB_All!$G$2:$G$1000,B450,DB_All!$L$2:$L$1000,"بانتظار سندات الاستلام \ شهادة الإنجاز"))</f>
        <v/>
      </c>
      <c r="R450" t="str">
        <f t="shared" ref="R450:R500" si="23">IF(B450="","",F450+H450)</f>
        <v/>
      </c>
    </row>
    <row r="451" spans="6:18" x14ac:dyDescent="0.3">
      <c r="F451" t="str">
        <f>IF(B451="","",SUMIFS(DB_All!$M$2:$M$1000,DB_All!$G$2:$G$1000,B451,DB_All!$L$2:$L$1000,"تحت إجراءات التعاقد"))</f>
        <v/>
      </c>
      <c r="G451" t="str">
        <f>IF(B451="","",COUNTIFS(DB_All!$G$2:$G$1000,B451,DB_All!$L$2:$L$1000,"تحت إجراءات التعاقد"))</f>
        <v/>
      </c>
      <c r="H451" t="str">
        <f>IF(B451="","",SUMIFS(DB_All!$N$2:$N$1000,DB_All!$G$2:$G$1000,B451,DB_All!$L$2:$L$1000,"تم التوقيع"))</f>
        <v/>
      </c>
      <c r="I451" t="str">
        <f>IF(B451="","",COUNTIFS(DB_All!$G$2:$G$1000,B451,DB_All!$L$2:$L$1000,"تم التوقيع"))</f>
        <v/>
      </c>
      <c r="J451">
        <f t="shared" si="21"/>
        <v>0</v>
      </c>
      <c r="K451" t="str">
        <f>IF(B451="","",SUMIFS('المطالبات 2026'!$J:$J,'المطالبات 2026'!$E:$E,B451,'المطالبات 2026'!$I:$I,"مطالبة مرفوعة للمالية") + SUMIFS('المطالبات 2025'!$J:$J,'المطالبات 2025'!$E:$E,B451,'المطالبات 2025'!$I:$I,"مطالبة مرفوعة للمالية"))</f>
        <v/>
      </c>
      <c r="L451" t="str">
        <f>IF(B451="","",COUNTIFS('المطالبات 2026'!$E:$E,B451,'المطالبات 2026'!$I:$I,"مطالبة مرفوعة للمالية") + COUNTIFS('المطالبات 2025'!$E:$E,B451,'المطالبات 2025'!$I:$I,"مطالبة مرفوعة للمالية"))</f>
        <v/>
      </c>
      <c r="M451">
        <f t="shared" si="22"/>
        <v>0</v>
      </c>
      <c r="N451" t="str">
        <f>IF(B451="","",SUMIFS(DB_All!$N$2:$N$1000,DB_All!$G$2:$G$1000,B451,DB_All!$L$2:$L$1000,"تحت إجراءات التوريد"))</f>
        <v/>
      </c>
      <c r="O451" t="str">
        <f>IF(B451="","",COUNTIFS(DB_All!$G$2:$G$1000,B451,DB_All!$L$2:$L$1000,"تحت إجراءات التوريد"))</f>
        <v/>
      </c>
      <c r="P451" t="str">
        <f>IF(B451="","",SUMIFS(DB_All!$N$2:$N$1000,DB_All!$G$2:$G$1000,B451,DB_All!$L$2:$L$1000,"بانتظار سندات الاستلام \ شهادة الإنجاز"))</f>
        <v/>
      </c>
      <c r="Q451" t="str">
        <f>IF(B451="","",COUNTIFS(DB_All!$G$2:$G$1000,B451,DB_All!$L$2:$L$1000,"بانتظار سندات الاستلام \ شهادة الإنجاز"))</f>
        <v/>
      </c>
      <c r="R451" t="str">
        <f t="shared" si="23"/>
        <v/>
      </c>
    </row>
    <row r="452" spans="6:18" x14ac:dyDescent="0.3">
      <c r="F452" t="str">
        <f>IF(B452="","",SUMIFS(DB_All!$M$2:$M$1000,DB_All!$G$2:$G$1000,B452,DB_All!$L$2:$L$1000,"تحت إجراءات التعاقد"))</f>
        <v/>
      </c>
      <c r="G452" t="str">
        <f>IF(B452="","",COUNTIFS(DB_All!$G$2:$G$1000,B452,DB_All!$L$2:$L$1000,"تحت إجراءات التعاقد"))</f>
        <v/>
      </c>
      <c r="H452" t="str">
        <f>IF(B452="","",SUMIFS(DB_All!$N$2:$N$1000,DB_All!$G$2:$G$1000,B452,DB_All!$L$2:$L$1000,"تم التوقيع"))</f>
        <v/>
      </c>
      <c r="I452" t="str">
        <f>IF(B452="","",COUNTIFS(DB_All!$G$2:$G$1000,B452,DB_All!$L$2:$L$1000,"تم التوقيع"))</f>
        <v/>
      </c>
      <c r="J452">
        <f t="shared" si="21"/>
        <v>0</v>
      </c>
      <c r="K452" t="str">
        <f>IF(B452="","",SUMIFS('المطالبات 2026'!$J:$J,'المطالبات 2026'!$E:$E,B452,'المطالبات 2026'!$I:$I,"مطالبة مرفوعة للمالية") + SUMIFS('المطالبات 2025'!$J:$J,'المطالبات 2025'!$E:$E,B452,'المطالبات 2025'!$I:$I,"مطالبة مرفوعة للمالية"))</f>
        <v/>
      </c>
      <c r="L452" t="str">
        <f>IF(B452="","",COUNTIFS('المطالبات 2026'!$E:$E,B452,'المطالبات 2026'!$I:$I,"مطالبة مرفوعة للمالية") + COUNTIFS('المطالبات 2025'!$E:$E,B452,'المطالبات 2025'!$I:$I,"مطالبة مرفوعة للمالية"))</f>
        <v/>
      </c>
      <c r="M452">
        <f t="shared" si="22"/>
        <v>0</v>
      </c>
      <c r="N452" t="str">
        <f>IF(B452="","",SUMIFS(DB_All!$N$2:$N$1000,DB_All!$G$2:$G$1000,B452,DB_All!$L$2:$L$1000,"تحت إجراءات التوريد"))</f>
        <v/>
      </c>
      <c r="O452" t="str">
        <f>IF(B452="","",COUNTIFS(DB_All!$G$2:$G$1000,B452,DB_All!$L$2:$L$1000,"تحت إجراءات التوريد"))</f>
        <v/>
      </c>
      <c r="P452" t="str">
        <f>IF(B452="","",SUMIFS(DB_All!$N$2:$N$1000,DB_All!$G$2:$G$1000,B452,DB_All!$L$2:$L$1000,"بانتظار سندات الاستلام \ شهادة الإنجاز"))</f>
        <v/>
      </c>
      <c r="Q452" t="str">
        <f>IF(B452="","",COUNTIFS(DB_All!$G$2:$G$1000,B452,DB_All!$L$2:$L$1000,"بانتظار سندات الاستلام \ شهادة الإنجاز"))</f>
        <v/>
      </c>
      <c r="R452" t="str">
        <f t="shared" si="23"/>
        <v/>
      </c>
    </row>
    <row r="453" spans="6:18" x14ac:dyDescent="0.3">
      <c r="F453" t="str">
        <f>IF(B453="","",SUMIFS(DB_All!$M$2:$M$1000,DB_All!$G$2:$G$1000,B453,DB_All!$L$2:$L$1000,"تحت إجراءات التعاقد"))</f>
        <v/>
      </c>
      <c r="G453" t="str">
        <f>IF(B453="","",COUNTIFS(DB_All!$G$2:$G$1000,B453,DB_All!$L$2:$L$1000,"تحت إجراءات التعاقد"))</f>
        <v/>
      </c>
      <c r="H453" t="str">
        <f>IF(B453="","",SUMIFS(DB_All!$N$2:$N$1000,DB_All!$G$2:$G$1000,B453,DB_All!$L$2:$L$1000,"تم التوقيع"))</f>
        <v/>
      </c>
      <c r="I453" t="str">
        <f>IF(B453="","",COUNTIFS(DB_All!$G$2:$G$1000,B453,DB_All!$L$2:$L$1000,"تم التوقيع"))</f>
        <v/>
      </c>
      <c r="J453">
        <f t="shared" si="21"/>
        <v>0</v>
      </c>
      <c r="K453" t="str">
        <f>IF(B453="","",SUMIFS('المطالبات 2026'!$J:$J,'المطالبات 2026'!$E:$E,B453,'المطالبات 2026'!$I:$I,"مطالبة مرفوعة للمالية") + SUMIFS('المطالبات 2025'!$J:$J,'المطالبات 2025'!$E:$E,B453,'المطالبات 2025'!$I:$I,"مطالبة مرفوعة للمالية"))</f>
        <v/>
      </c>
      <c r="L453" t="str">
        <f>IF(B453="","",COUNTIFS('المطالبات 2026'!$E:$E,B453,'المطالبات 2026'!$I:$I,"مطالبة مرفوعة للمالية") + COUNTIFS('المطالبات 2025'!$E:$E,B453,'المطالبات 2025'!$I:$I,"مطالبة مرفوعة للمالية"))</f>
        <v/>
      </c>
      <c r="M453">
        <f t="shared" si="22"/>
        <v>0</v>
      </c>
      <c r="N453" t="str">
        <f>IF(B453="","",SUMIFS(DB_All!$N$2:$N$1000,DB_All!$G$2:$G$1000,B453,DB_All!$L$2:$L$1000,"تحت إجراءات التوريد"))</f>
        <v/>
      </c>
      <c r="O453" t="str">
        <f>IF(B453="","",COUNTIFS(DB_All!$G$2:$G$1000,B453,DB_All!$L$2:$L$1000,"تحت إجراءات التوريد"))</f>
        <v/>
      </c>
      <c r="P453" t="str">
        <f>IF(B453="","",SUMIFS(DB_All!$N$2:$N$1000,DB_All!$G$2:$G$1000,B453,DB_All!$L$2:$L$1000,"بانتظار سندات الاستلام \ شهادة الإنجاز"))</f>
        <v/>
      </c>
      <c r="Q453" t="str">
        <f>IF(B453="","",COUNTIFS(DB_All!$G$2:$G$1000,B453,DB_All!$L$2:$L$1000,"بانتظار سندات الاستلام \ شهادة الإنجاز"))</f>
        <v/>
      </c>
      <c r="R453" t="str">
        <f t="shared" si="23"/>
        <v/>
      </c>
    </row>
    <row r="454" spans="6:18" x14ac:dyDescent="0.3">
      <c r="F454" t="str">
        <f>IF(B454="","",SUMIFS(DB_All!$M$2:$M$1000,DB_All!$G$2:$G$1000,B454,DB_All!$L$2:$L$1000,"تحت إجراءات التعاقد"))</f>
        <v/>
      </c>
      <c r="G454" t="str">
        <f>IF(B454="","",COUNTIFS(DB_All!$G$2:$G$1000,B454,DB_All!$L$2:$L$1000,"تحت إجراءات التعاقد"))</f>
        <v/>
      </c>
      <c r="H454" t="str">
        <f>IF(B454="","",SUMIFS(DB_All!$N$2:$N$1000,DB_All!$G$2:$G$1000,B454,DB_All!$L$2:$L$1000,"تم التوقيع"))</f>
        <v/>
      </c>
      <c r="I454" t="str">
        <f>IF(B454="","",COUNTIFS(DB_All!$G$2:$G$1000,B454,DB_All!$L$2:$L$1000,"تم التوقيع"))</f>
        <v/>
      </c>
      <c r="J454">
        <f t="shared" si="21"/>
        <v>0</v>
      </c>
      <c r="K454" t="str">
        <f>IF(B454="","",SUMIFS('المطالبات 2026'!$J:$J,'المطالبات 2026'!$E:$E,B454,'المطالبات 2026'!$I:$I,"مطالبة مرفوعة للمالية") + SUMIFS('المطالبات 2025'!$J:$J,'المطالبات 2025'!$E:$E,B454,'المطالبات 2025'!$I:$I,"مطالبة مرفوعة للمالية"))</f>
        <v/>
      </c>
      <c r="L454" t="str">
        <f>IF(B454="","",COUNTIFS('المطالبات 2026'!$E:$E,B454,'المطالبات 2026'!$I:$I,"مطالبة مرفوعة للمالية") + COUNTIFS('المطالبات 2025'!$E:$E,B454,'المطالبات 2025'!$I:$I,"مطالبة مرفوعة للمالية"))</f>
        <v/>
      </c>
      <c r="M454">
        <f t="shared" si="22"/>
        <v>0</v>
      </c>
      <c r="N454" t="str">
        <f>IF(B454="","",SUMIFS(DB_All!$N$2:$N$1000,DB_All!$G$2:$G$1000,B454,DB_All!$L$2:$L$1000,"تحت إجراءات التوريد"))</f>
        <v/>
      </c>
      <c r="O454" t="str">
        <f>IF(B454="","",COUNTIFS(DB_All!$G$2:$G$1000,B454,DB_All!$L$2:$L$1000,"تحت إجراءات التوريد"))</f>
        <v/>
      </c>
      <c r="P454" t="str">
        <f>IF(B454="","",SUMIFS(DB_All!$N$2:$N$1000,DB_All!$G$2:$G$1000,B454,DB_All!$L$2:$L$1000,"بانتظار سندات الاستلام \ شهادة الإنجاز"))</f>
        <v/>
      </c>
      <c r="Q454" t="str">
        <f>IF(B454="","",COUNTIFS(DB_All!$G$2:$G$1000,B454,DB_All!$L$2:$L$1000,"بانتظار سندات الاستلام \ شهادة الإنجاز"))</f>
        <v/>
      </c>
      <c r="R454" t="str">
        <f t="shared" si="23"/>
        <v/>
      </c>
    </row>
    <row r="455" spans="6:18" x14ac:dyDescent="0.3">
      <c r="F455" t="str">
        <f>IF(B455="","",SUMIFS(DB_All!$M$2:$M$1000,DB_All!$G$2:$G$1000,B455,DB_All!$L$2:$L$1000,"تحت إجراءات التعاقد"))</f>
        <v/>
      </c>
      <c r="G455" t="str">
        <f>IF(B455="","",COUNTIFS(DB_All!$G$2:$G$1000,B455,DB_All!$L$2:$L$1000,"تحت إجراءات التعاقد"))</f>
        <v/>
      </c>
      <c r="H455" t="str">
        <f>IF(B455="","",SUMIFS(DB_All!$N$2:$N$1000,DB_All!$G$2:$G$1000,B455,DB_All!$L$2:$L$1000,"تم التوقيع"))</f>
        <v/>
      </c>
      <c r="I455" t="str">
        <f>IF(B455="","",COUNTIFS(DB_All!$G$2:$G$1000,B455,DB_All!$L$2:$L$1000,"تم التوقيع"))</f>
        <v/>
      </c>
      <c r="J455">
        <f t="shared" si="21"/>
        <v>0</v>
      </c>
      <c r="K455" t="str">
        <f>IF(B455="","",SUMIFS('المطالبات 2026'!$J:$J,'المطالبات 2026'!$E:$E,B455,'المطالبات 2026'!$I:$I,"مطالبة مرفوعة للمالية") + SUMIFS('المطالبات 2025'!$J:$J,'المطالبات 2025'!$E:$E,B455,'المطالبات 2025'!$I:$I,"مطالبة مرفوعة للمالية"))</f>
        <v/>
      </c>
      <c r="L455" t="str">
        <f>IF(B455="","",COUNTIFS('المطالبات 2026'!$E:$E,B455,'المطالبات 2026'!$I:$I,"مطالبة مرفوعة للمالية") + COUNTIFS('المطالبات 2025'!$E:$E,B455,'المطالبات 2025'!$I:$I,"مطالبة مرفوعة للمالية"))</f>
        <v/>
      </c>
      <c r="M455">
        <f t="shared" si="22"/>
        <v>0</v>
      </c>
      <c r="N455" t="str">
        <f>IF(B455="","",SUMIFS(DB_All!$N$2:$N$1000,DB_All!$G$2:$G$1000,B455,DB_All!$L$2:$L$1000,"تحت إجراءات التوريد"))</f>
        <v/>
      </c>
      <c r="O455" t="str">
        <f>IF(B455="","",COUNTIFS(DB_All!$G$2:$G$1000,B455,DB_All!$L$2:$L$1000,"تحت إجراءات التوريد"))</f>
        <v/>
      </c>
      <c r="P455" t="str">
        <f>IF(B455="","",SUMIFS(DB_All!$N$2:$N$1000,DB_All!$G$2:$G$1000,B455,DB_All!$L$2:$L$1000,"بانتظار سندات الاستلام \ شهادة الإنجاز"))</f>
        <v/>
      </c>
      <c r="Q455" t="str">
        <f>IF(B455="","",COUNTIFS(DB_All!$G$2:$G$1000,B455,DB_All!$L$2:$L$1000,"بانتظار سندات الاستلام \ شهادة الإنجاز"))</f>
        <v/>
      </c>
      <c r="R455" t="str">
        <f t="shared" si="23"/>
        <v/>
      </c>
    </row>
    <row r="456" spans="6:18" x14ac:dyDescent="0.3">
      <c r="F456" t="str">
        <f>IF(B456="","",SUMIFS(DB_All!$M$2:$M$1000,DB_All!$G$2:$G$1000,B456,DB_All!$L$2:$L$1000,"تحت إجراءات التعاقد"))</f>
        <v/>
      </c>
      <c r="G456" t="str">
        <f>IF(B456="","",COUNTIFS(DB_All!$G$2:$G$1000,B456,DB_All!$L$2:$L$1000,"تحت إجراءات التعاقد"))</f>
        <v/>
      </c>
      <c r="H456" t="str">
        <f>IF(B456="","",SUMIFS(DB_All!$N$2:$N$1000,DB_All!$G$2:$G$1000,B456,DB_All!$L$2:$L$1000,"تم التوقيع"))</f>
        <v/>
      </c>
      <c r="I456" t="str">
        <f>IF(B456="","",COUNTIFS(DB_All!$G$2:$G$1000,B456,DB_All!$L$2:$L$1000,"تم التوقيع"))</f>
        <v/>
      </c>
      <c r="J456">
        <f t="shared" si="21"/>
        <v>0</v>
      </c>
      <c r="K456" t="str">
        <f>IF(B456="","",SUMIFS('المطالبات 2026'!$J:$J,'المطالبات 2026'!$E:$E,B456,'المطالبات 2026'!$I:$I,"مطالبة مرفوعة للمالية") + SUMIFS('المطالبات 2025'!$J:$J,'المطالبات 2025'!$E:$E,B456,'المطالبات 2025'!$I:$I,"مطالبة مرفوعة للمالية"))</f>
        <v/>
      </c>
      <c r="L456" t="str">
        <f>IF(B456="","",COUNTIFS('المطالبات 2026'!$E:$E,B456,'المطالبات 2026'!$I:$I,"مطالبة مرفوعة للمالية") + COUNTIFS('المطالبات 2025'!$E:$E,B456,'المطالبات 2025'!$I:$I,"مطالبة مرفوعة للمالية"))</f>
        <v/>
      </c>
      <c r="M456">
        <f t="shared" si="22"/>
        <v>0</v>
      </c>
      <c r="N456" t="str">
        <f>IF(B456="","",SUMIFS(DB_All!$N$2:$N$1000,DB_All!$G$2:$G$1000,B456,DB_All!$L$2:$L$1000,"تحت إجراءات التوريد"))</f>
        <v/>
      </c>
      <c r="O456" t="str">
        <f>IF(B456="","",COUNTIFS(DB_All!$G$2:$G$1000,B456,DB_All!$L$2:$L$1000,"تحت إجراءات التوريد"))</f>
        <v/>
      </c>
      <c r="P456" t="str">
        <f>IF(B456="","",SUMIFS(DB_All!$N$2:$N$1000,DB_All!$G$2:$G$1000,B456,DB_All!$L$2:$L$1000,"بانتظار سندات الاستلام \ شهادة الإنجاز"))</f>
        <v/>
      </c>
      <c r="Q456" t="str">
        <f>IF(B456="","",COUNTIFS(DB_All!$G$2:$G$1000,B456,DB_All!$L$2:$L$1000,"بانتظار سندات الاستلام \ شهادة الإنجاز"))</f>
        <v/>
      </c>
      <c r="R456" t="str">
        <f t="shared" si="23"/>
        <v/>
      </c>
    </row>
    <row r="457" spans="6:18" x14ac:dyDescent="0.3">
      <c r="F457" t="str">
        <f>IF(B457="","",SUMIFS(DB_All!$M$2:$M$1000,DB_All!$G$2:$G$1000,B457,DB_All!$L$2:$L$1000,"تحت إجراءات التعاقد"))</f>
        <v/>
      </c>
      <c r="G457" t="str">
        <f>IF(B457="","",COUNTIFS(DB_All!$G$2:$G$1000,B457,DB_All!$L$2:$L$1000,"تحت إجراءات التعاقد"))</f>
        <v/>
      </c>
      <c r="H457" t="str">
        <f>IF(B457="","",SUMIFS(DB_All!$N$2:$N$1000,DB_All!$G$2:$G$1000,B457,DB_All!$L$2:$L$1000,"تم التوقيع"))</f>
        <v/>
      </c>
      <c r="I457" t="str">
        <f>IF(B457="","",COUNTIFS(DB_All!$G$2:$G$1000,B457,DB_All!$L$2:$L$1000,"تم التوقيع"))</f>
        <v/>
      </c>
      <c r="J457">
        <f t="shared" si="21"/>
        <v>0</v>
      </c>
      <c r="K457" t="str">
        <f>IF(B457="","",SUMIFS('المطالبات 2026'!$J:$J,'المطالبات 2026'!$E:$E,B457,'المطالبات 2026'!$I:$I,"مطالبة مرفوعة للمالية") + SUMIFS('المطالبات 2025'!$J:$J,'المطالبات 2025'!$E:$E,B457,'المطالبات 2025'!$I:$I,"مطالبة مرفوعة للمالية"))</f>
        <v/>
      </c>
      <c r="L457" t="str">
        <f>IF(B457="","",COUNTIFS('المطالبات 2026'!$E:$E,B457,'المطالبات 2026'!$I:$I,"مطالبة مرفوعة للمالية") + COUNTIFS('المطالبات 2025'!$E:$E,B457,'المطالبات 2025'!$I:$I,"مطالبة مرفوعة للمالية"))</f>
        <v/>
      </c>
      <c r="M457">
        <f t="shared" si="22"/>
        <v>0</v>
      </c>
      <c r="N457" t="str">
        <f>IF(B457="","",SUMIFS(DB_All!$N$2:$N$1000,DB_All!$G$2:$G$1000,B457,DB_All!$L$2:$L$1000,"تحت إجراءات التوريد"))</f>
        <v/>
      </c>
      <c r="O457" t="str">
        <f>IF(B457="","",COUNTIFS(DB_All!$G$2:$G$1000,B457,DB_All!$L$2:$L$1000,"تحت إجراءات التوريد"))</f>
        <v/>
      </c>
      <c r="P457" t="str">
        <f>IF(B457="","",SUMIFS(DB_All!$N$2:$N$1000,DB_All!$G$2:$G$1000,B457,DB_All!$L$2:$L$1000,"بانتظار سندات الاستلام \ شهادة الإنجاز"))</f>
        <v/>
      </c>
      <c r="Q457" t="str">
        <f>IF(B457="","",COUNTIFS(DB_All!$G$2:$G$1000,B457,DB_All!$L$2:$L$1000,"بانتظار سندات الاستلام \ شهادة الإنجاز"))</f>
        <v/>
      </c>
      <c r="R457" t="str">
        <f t="shared" si="23"/>
        <v/>
      </c>
    </row>
    <row r="458" spans="6:18" x14ac:dyDescent="0.3">
      <c r="F458" t="str">
        <f>IF(B458="","",SUMIFS(DB_All!$M$2:$M$1000,DB_All!$G$2:$G$1000,B458,DB_All!$L$2:$L$1000,"تحت إجراءات التعاقد"))</f>
        <v/>
      </c>
      <c r="G458" t="str">
        <f>IF(B458="","",COUNTIFS(DB_All!$G$2:$G$1000,B458,DB_All!$L$2:$L$1000,"تحت إجراءات التعاقد"))</f>
        <v/>
      </c>
      <c r="H458" t="str">
        <f>IF(B458="","",SUMIFS(DB_All!$N$2:$N$1000,DB_All!$G$2:$G$1000,B458,DB_All!$L$2:$L$1000,"تم التوقيع"))</f>
        <v/>
      </c>
      <c r="I458" t="str">
        <f>IF(B458="","",COUNTIFS(DB_All!$G$2:$G$1000,B458,DB_All!$L$2:$L$1000,"تم التوقيع"))</f>
        <v/>
      </c>
      <c r="J458">
        <f t="shared" si="21"/>
        <v>0</v>
      </c>
      <c r="K458" t="str">
        <f>IF(B458="","",SUMIFS('المطالبات 2026'!$J:$J,'المطالبات 2026'!$E:$E,B458,'المطالبات 2026'!$I:$I,"مطالبة مرفوعة للمالية") + SUMIFS('المطالبات 2025'!$J:$J,'المطالبات 2025'!$E:$E,B458,'المطالبات 2025'!$I:$I,"مطالبة مرفوعة للمالية"))</f>
        <v/>
      </c>
      <c r="L458" t="str">
        <f>IF(B458="","",COUNTIFS('المطالبات 2026'!$E:$E,B458,'المطالبات 2026'!$I:$I,"مطالبة مرفوعة للمالية") + COUNTIFS('المطالبات 2025'!$E:$E,B458,'المطالبات 2025'!$I:$I,"مطالبة مرفوعة للمالية"))</f>
        <v/>
      </c>
      <c r="M458">
        <f t="shared" si="22"/>
        <v>0</v>
      </c>
      <c r="N458" t="str">
        <f>IF(B458="","",SUMIFS(DB_All!$N$2:$N$1000,DB_All!$G$2:$G$1000,B458,DB_All!$L$2:$L$1000,"تحت إجراءات التوريد"))</f>
        <v/>
      </c>
      <c r="O458" t="str">
        <f>IF(B458="","",COUNTIFS(DB_All!$G$2:$G$1000,B458,DB_All!$L$2:$L$1000,"تحت إجراءات التوريد"))</f>
        <v/>
      </c>
      <c r="P458" t="str">
        <f>IF(B458="","",SUMIFS(DB_All!$N$2:$N$1000,DB_All!$G$2:$G$1000,B458,DB_All!$L$2:$L$1000,"بانتظار سندات الاستلام \ شهادة الإنجاز"))</f>
        <v/>
      </c>
      <c r="Q458" t="str">
        <f>IF(B458="","",COUNTIFS(DB_All!$G$2:$G$1000,B458,DB_All!$L$2:$L$1000,"بانتظار سندات الاستلام \ شهادة الإنجاز"))</f>
        <v/>
      </c>
      <c r="R458" t="str">
        <f t="shared" si="23"/>
        <v/>
      </c>
    </row>
    <row r="459" spans="6:18" x14ac:dyDescent="0.3">
      <c r="F459" t="str">
        <f>IF(B459="","",SUMIFS(DB_All!$M$2:$M$1000,DB_All!$G$2:$G$1000,B459,DB_All!$L$2:$L$1000,"تحت إجراءات التعاقد"))</f>
        <v/>
      </c>
      <c r="G459" t="str">
        <f>IF(B459="","",COUNTIFS(DB_All!$G$2:$G$1000,B459,DB_All!$L$2:$L$1000,"تحت إجراءات التعاقد"))</f>
        <v/>
      </c>
      <c r="H459" t="str">
        <f>IF(B459="","",SUMIFS(DB_All!$N$2:$N$1000,DB_All!$G$2:$G$1000,B459,DB_All!$L$2:$L$1000,"تم التوقيع"))</f>
        <v/>
      </c>
      <c r="I459" t="str">
        <f>IF(B459="","",COUNTIFS(DB_All!$G$2:$G$1000,B459,DB_All!$L$2:$L$1000,"تم التوقيع"))</f>
        <v/>
      </c>
      <c r="J459">
        <f t="shared" si="21"/>
        <v>0</v>
      </c>
      <c r="K459" t="str">
        <f>IF(B459="","",SUMIFS('المطالبات 2026'!$J:$J,'المطالبات 2026'!$E:$E,B459,'المطالبات 2026'!$I:$I,"مطالبة مرفوعة للمالية") + SUMIFS('المطالبات 2025'!$J:$J,'المطالبات 2025'!$E:$E,B459,'المطالبات 2025'!$I:$I,"مطالبة مرفوعة للمالية"))</f>
        <v/>
      </c>
      <c r="L459" t="str">
        <f>IF(B459="","",COUNTIFS('المطالبات 2026'!$E:$E,B459,'المطالبات 2026'!$I:$I,"مطالبة مرفوعة للمالية") + COUNTIFS('المطالبات 2025'!$E:$E,B459,'المطالبات 2025'!$I:$I,"مطالبة مرفوعة للمالية"))</f>
        <v/>
      </c>
      <c r="M459">
        <f t="shared" si="22"/>
        <v>0</v>
      </c>
      <c r="N459" t="str">
        <f>IF(B459="","",SUMIFS(DB_All!$N$2:$N$1000,DB_All!$G$2:$G$1000,B459,DB_All!$L$2:$L$1000,"تحت إجراءات التوريد"))</f>
        <v/>
      </c>
      <c r="O459" t="str">
        <f>IF(B459="","",COUNTIFS(DB_All!$G$2:$G$1000,B459,DB_All!$L$2:$L$1000,"تحت إجراءات التوريد"))</f>
        <v/>
      </c>
      <c r="P459" t="str">
        <f>IF(B459="","",SUMIFS(DB_All!$N$2:$N$1000,DB_All!$G$2:$G$1000,B459,DB_All!$L$2:$L$1000,"بانتظار سندات الاستلام \ شهادة الإنجاز"))</f>
        <v/>
      </c>
      <c r="Q459" t="str">
        <f>IF(B459="","",COUNTIFS(DB_All!$G$2:$G$1000,B459,DB_All!$L$2:$L$1000,"بانتظار سندات الاستلام \ شهادة الإنجاز"))</f>
        <v/>
      </c>
      <c r="R459" t="str">
        <f t="shared" si="23"/>
        <v/>
      </c>
    </row>
    <row r="460" spans="6:18" x14ac:dyDescent="0.3">
      <c r="F460" t="str">
        <f>IF(B460="","",SUMIFS(DB_All!$M$2:$M$1000,DB_All!$G$2:$G$1000,B460,DB_All!$L$2:$L$1000,"تحت إجراءات التعاقد"))</f>
        <v/>
      </c>
      <c r="G460" t="str">
        <f>IF(B460="","",COUNTIFS(DB_All!$G$2:$G$1000,B460,DB_All!$L$2:$L$1000,"تحت إجراءات التعاقد"))</f>
        <v/>
      </c>
      <c r="H460" t="str">
        <f>IF(B460="","",SUMIFS(DB_All!$N$2:$N$1000,DB_All!$G$2:$G$1000,B460,DB_All!$L$2:$L$1000,"تم التوقيع"))</f>
        <v/>
      </c>
      <c r="I460" t="str">
        <f>IF(B460="","",COUNTIFS(DB_All!$G$2:$G$1000,B460,DB_All!$L$2:$L$1000,"تم التوقيع"))</f>
        <v/>
      </c>
      <c r="J460">
        <f t="shared" si="21"/>
        <v>0</v>
      </c>
      <c r="K460" t="str">
        <f>IF(B460="","",SUMIFS('المطالبات 2026'!$J:$J,'المطالبات 2026'!$E:$E,B460,'المطالبات 2026'!$I:$I,"مطالبة مرفوعة للمالية") + SUMIFS('المطالبات 2025'!$J:$J,'المطالبات 2025'!$E:$E,B460,'المطالبات 2025'!$I:$I,"مطالبة مرفوعة للمالية"))</f>
        <v/>
      </c>
      <c r="L460" t="str">
        <f>IF(B460="","",COUNTIFS('المطالبات 2026'!$E:$E,B460,'المطالبات 2026'!$I:$I,"مطالبة مرفوعة للمالية") + COUNTIFS('المطالبات 2025'!$E:$E,B460,'المطالبات 2025'!$I:$I,"مطالبة مرفوعة للمالية"))</f>
        <v/>
      </c>
      <c r="M460">
        <f t="shared" si="22"/>
        <v>0</v>
      </c>
      <c r="N460" t="str">
        <f>IF(B460="","",SUMIFS(DB_All!$N$2:$N$1000,DB_All!$G$2:$G$1000,B460,DB_All!$L$2:$L$1000,"تحت إجراءات التوريد"))</f>
        <v/>
      </c>
      <c r="O460" t="str">
        <f>IF(B460="","",COUNTIFS(DB_All!$G$2:$G$1000,B460,DB_All!$L$2:$L$1000,"تحت إجراءات التوريد"))</f>
        <v/>
      </c>
      <c r="P460" t="str">
        <f>IF(B460="","",SUMIFS(DB_All!$N$2:$N$1000,DB_All!$G$2:$G$1000,B460,DB_All!$L$2:$L$1000,"بانتظار سندات الاستلام \ شهادة الإنجاز"))</f>
        <v/>
      </c>
      <c r="Q460" t="str">
        <f>IF(B460="","",COUNTIFS(DB_All!$G$2:$G$1000,B460,DB_All!$L$2:$L$1000,"بانتظار سندات الاستلام \ شهادة الإنجاز"))</f>
        <v/>
      </c>
      <c r="R460" t="str">
        <f t="shared" si="23"/>
        <v/>
      </c>
    </row>
    <row r="461" spans="6:18" x14ac:dyDescent="0.3">
      <c r="F461" t="str">
        <f>IF(B461="","",SUMIFS(DB_All!$M$2:$M$1000,DB_All!$G$2:$G$1000,B461,DB_All!$L$2:$L$1000,"تحت إجراءات التعاقد"))</f>
        <v/>
      </c>
      <c r="G461" t="str">
        <f>IF(B461="","",COUNTIFS(DB_All!$G$2:$G$1000,B461,DB_All!$L$2:$L$1000,"تحت إجراءات التعاقد"))</f>
        <v/>
      </c>
      <c r="H461" t="str">
        <f>IF(B461="","",SUMIFS(DB_All!$N$2:$N$1000,DB_All!$G$2:$G$1000,B461,DB_All!$L$2:$L$1000,"تم التوقيع"))</f>
        <v/>
      </c>
      <c r="I461" t="str">
        <f>IF(B461="","",COUNTIFS(DB_All!$G$2:$G$1000,B461,DB_All!$L$2:$L$1000,"تم التوقيع"))</f>
        <v/>
      </c>
      <c r="J461">
        <f t="shared" si="21"/>
        <v>0</v>
      </c>
      <c r="K461" t="str">
        <f>IF(B461="","",SUMIFS('المطالبات 2026'!$J:$J,'المطالبات 2026'!$E:$E,B461,'المطالبات 2026'!$I:$I,"مطالبة مرفوعة للمالية") + SUMIFS('المطالبات 2025'!$J:$J,'المطالبات 2025'!$E:$E,B461,'المطالبات 2025'!$I:$I,"مطالبة مرفوعة للمالية"))</f>
        <v/>
      </c>
      <c r="L461" t="str">
        <f>IF(B461="","",COUNTIFS('المطالبات 2026'!$E:$E,B461,'المطالبات 2026'!$I:$I,"مطالبة مرفوعة للمالية") + COUNTIFS('المطالبات 2025'!$E:$E,B461,'المطالبات 2025'!$I:$I,"مطالبة مرفوعة للمالية"))</f>
        <v/>
      </c>
      <c r="M461">
        <f t="shared" si="22"/>
        <v>0</v>
      </c>
      <c r="N461" t="str">
        <f>IF(B461="","",SUMIFS(DB_All!$N$2:$N$1000,DB_All!$G$2:$G$1000,B461,DB_All!$L$2:$L$1000,"تحت إجراءات التوريد"))</f>
        <v/>
      </c>
      <c r="O461" t="str">
        <f>IF(B461="","",COUNTIFS(DB_All!$G$2:$G$1000,B461,DB_All!$L$2:$L$1000,"تحت إجراءات التوريد"))</f>
        <v/>
      </c>
      <c r="P461" t="str">
        <f>IF(B461="","",SUMIFS(DB_All!$N$2:$N$1000,DB_All!$G$2:$G$1000,B461,DB_All!$L$2:$L$1000,"بانتظار سندات الاستلام \ شهادة الإنجاز"))</f>
        <v/>
      </c>
      <c r="Q461" t="str">
        <f>IF(B461="","",COUNTIFS(DB_All!$G$2:$G$1000,B461,DB_All!$L$2:$L$1000,"بانتظار سندات الاستلام \ شهادة الإنجاز"))</f>
        <v/>
      </c>
      <c r="R461" t="str">
        <f t="shared" si="23"/>
        <v/>
      </c>
    </row>
    <row r="462" spans="6:18" x14ac:dyDescent="0.3">
      <c r="F462" t="str">
        <f>IF(B462="","",SUMIFS(DB_All!$M$2:$M$1000,DB_All!$G$2:$G$1000,B462,DB_All!$L$2:$L$1000,"تحت إجراءات التعاقد"))</f>
        <v/>
      </c>
      <c r="G462" t="str">
        <f>IF(B462="","",COUNTIFS(DB_All!$G$2:$G$1000,B462,DB_All!$L$2:$L$1000,"تحت إجراءات التعاقد"))</f>
        <v/>
      </c>
      <c r="H462" t="str">
        <f>IF(B462="","",SUMIFS(DB_All!$N$2:$N$1000,DB_All!$G$2:$G$1000,B462,DB_All!$L$2:$L$1000,"تم التوقيع"))</f>
        <v/>
      </c>
      <c r="I462" t="str">
        <f>IF(B462="","",COUNTIFS(DB_All!$G$2:$G$1000,B462,DB_All!$L$2:$L$1000,"تم التوقيع"))</f>
        <v/>
      </c>
      <c r="J462">
        <f t="shared" si="21"/>
        <v>0</v>
      </c>
      <c r="K462" t="str">
        <f>IF(B462="","",SUMIFS('المطالبات 2026'!$J:$J,'المطالبات 2026'!$E:$E,B462,'المطالبات 2026'!$I:$I,"مطالبة مرفوعة للمالية") + SUMIFS('المطالبات 2025'!$J:$J,'المطالبات 2025'!$E:$E,B462,'المطالبات 2025'!$I:$I,"مطالبة مرفوعة للمالية"))</f>
        <v/>
      </c>
      <c r="L462" t="str">
        <f>IF(B462="","",COUNTIFS('المطالبات 2026'!$E:$E,B462,'المطالبات 2026'!$I:$I,"مطالبة مرفوعة للمالية") + COUNTIFS('المطالبات 2025'!$E:$E,B462,'المطالبات 2025'!$I:$I,"مطالبة مرفوعة للمالية"))</f>
        <v/>
      </c>
      <c r="M462">
        <f t="shared" si="22"/>
        <v>0</v>
      </c>
      <c r="N462" t="str">
        <f>IF(B462="","",SUMIFS(DB_All!$N$2:$N$1000,DB_All!$G$2:$G$1000,B462,DB_All!$L$2:$L$1000,"تحت إجراءات التوريد"))</f>
        <v/>
      </c>
      <c r="O462" t="str">
        <f>IF(B462="","",COUNTIFS(DB_All!$G$2:$G$1000,B462,DB_All!$L$2:$L$1000,"تحت إجراءات التوريد"))</f>
        <v/>
      </c>
      <c r="P462" t="str">
        <f>IF(B462="","",SUMIFS(DB_All!$N$2:$N$1000,DB_All!$G$2:$G$1000,B462,DB_All!$L$2:$L$1000,"بانتظار سندات الاستلام \ شهادة الإنجاز"))</f>
        <v/>
      </c>
      <c r="Q462" t="str">
        <f>IF(B462="","",COUNTIFS(DB_All!$G$2:$G$1000,B462,DB_All!$L$2:$L$1000,"بانتظار سندات الاستلام \ شهادة الإنجاز"))</f>
        <v/>
      </c>
      <c r="R462" t="str">
        <f t="shared" si="23"/>
        <v/>
      </c>
    </row>
    <row r="463" spans="6:18" x14ac:dyDescent="0.3">
      <c r="F463" t="str">
        <f>IF(B463="","",SUMIFS(DB_All!$M$2:$M$1000,DB_All!$G$2:$G$1000,B463,DB_All!$L$2:$L$1000,"تحت إجراءات التعاقد"))</f>
        <v/>
      </c>
      <c r="G463" t="str">
        <f>IF(B463="","",COUNTIFS(DB_All!$G$2:$G$1000,B463,DB_All!$L$2:$L$1000,"تحت إجراءات التعاقد"))</f>
        <v/>
      </c>
      <c r="H463" t="str">
        <f>IF(B463="","",SUMIFS(DB_All!$N$2:$N$1000,DB_All!$G$2:$G$1000,B463,DB_All!$L$2:$L$1000,"تم التوقيع"))</f>
        <v/>
      </c>
      <c r="I463" t="str">
        <f>IF(B463="","",COUNTIFS(DB_All!$G$2:$G$1000,B463,DB_All!$L$2:$L$1000,"تم التوقيع"))</f>
        <v/>
      </c>
      <c r="J463">
        <f t="shared" si="21"/>
        <v>0</v>
      </c>
      <c r="K463" t="str">
        <f>IF(B463="","",SUMIFS('المطالبات 2026'!$J:$J,'المطالبات 2026'!$E:$E,B463,'المطالبات 2026'!$I:$I,"مطالبة مرفوعة للمالية") + SUMIFS('المطالبات 2025'!$J:$J,'المطالبات 2025'!$E:$E,B463,'المطالبات 2025'!$I:$I,"مطالبة مرفوعة للمالية"))</f>
        <v/>
      </c>
      <c r="L463" t="str">
        <f>IF(B463="","",COUNTIFS('المطالبات 2026'!$E:$E,B463,'المطالبات 2026'!$I:$I,"مطالبة مرفوعة للمالية") + COUNTIFS('المطالبات 2025'!$E:$E,B463,'المطالبات 2025'!$I:$I,"مطالبة مرفوعة للمالية"))</f>
        <v/>
      </c>
      <c r="M463">
        <f t="shared" si="22"/>
        <v>0</v>
      </c>
      <c r="N463" t="str">
        <f>IF(B463="","",SUMIFS(DB_All!$N$2:$N$1000,DB_All!$G$2:$G$1000,B463,DB_All!$L$2:$L$1000,"تحت إجراءات التوريد"))</f>
        <v/>
      </c>
      <c r="O463" t="str">
        <f>IF(B463="","",COUNTIFS(DB_All!$G$2:$G$1000,B463,DB_All!$L$2:$L$1000,"تحت إجراءات التوريد"))</f>
        <v/>
      </c>
      <c r="P463" t="str">
        <f>IF(B463="","",SUMIFS(DB_All!$N$2:$N$1000,DB_All!$G$2:$G$1000,B463,DB_All!$L$2:$L$1000,"بانتظار سندات الاستلام \ شهادة الإنجاز"))</f>
        <v/>
      </c>
      <c r="Q463" t="str">
        <f>IF(B463="","",COUNTIFS(DB_All!$G$2:$G$1000,B463,DB_All!$L$2:$L$1000,"بانتظار سندات الاستلام \ شهادة الإنجاز"))</f>
        <v/>
      </c>
      <c r="R463" t="str">
        <f t="shared" si="23"/>
        <v/>
      </c>
    </row>
    <row r="464" spans="6:18" x14ac:dyDescent="0.3">
      <c r="F464" t="str">
        <f>IF(B464="","",SUMIFS(DB_All!$M$2:$M$1000,DB_All!$G$2:$G$1000,B464,DB_All!$L$2:$L$1000,"تحت إجراءات التعاقد"))</f>
        <v/>
      </c>
      <c r="G464" t="str">
        <f>IF(B464="","",COUNTIFS(DB_All!$G$2:$G$1000,B464,DB_All!$L$2:$L$1000,"تحت إجراءات التعاقد"))</f>
        <v/>
      </c>
      <c r="H464" t="str">
        <f>IF(B464="","",SUMIFS(DB_All!$N$2:$N$1000,DB_All!$G$2:$G$1000,B464,DB_All!$L$2:$L$1000,"تم التوقيع"))</f>
        <v/>
      </c>
      <c r="I464" t="str">
        <f>IF(B464="","",COUNTIFS(DB_All!$G$2:$G$1000,B464,DB_All!$L$2:$L$1000,"تم التوقيع"))</f>
        <v/>
      </c>
      <c r="J464">
        <f t="shared" si="21"/>
        <v>0</v>
      </c>
      <c r="K464" t="str">
        <f>IF(B464="","",SUMIFS('المطالبات 2026'!$J:$J,'المطالبات 2026'!$E:$E,B464,'المطالبات 2026'!$I:$I,"مطالبة مرفوعة للمالية") + SUMIFS('المطالبات 2025'!$J:$J,'المطالبات 2025'!$E:$E,B464,'المطالبات 2025'!$I:$I,"مطالبة مرفوعة للمالية"))</f>
        <v/>
      </c>
      <c r="L464" t="str">
        <f>IF(B464="","",COUNTIFS('المطالبات 2026'!$E:$E,B464,'المطالبات 2026'!$I:$I,"مطالبة مرفوعة للمالية") + COUNTIFS('المطالبات 2025'!$E:$E,B464,'المطالبات 2025'!$I:$I,"مطالبة مرفوعة للمالية"))</f>
        <v/>
      </c>
      <c r="M464">
        <f t="shared" si="22"/>
        <v>0</v>
      </c>
      <c r="N464" t="str">
        <f>IF(B464="","",SUMIFS(DB_All!$N$2:$N$1000,DB_All!$G$2:$G$1000,B464,DB_All!$L$2:$L$1000,"تحت إجراءات التوريد"))</f>
        <v/>
      </c>
      <c r="O464" t="str">
        <f>IF(B464="","",COUNTIFS(DB_All!$G$2:$G$1000,B464,DB_All!$L$2:$L$1000,"تحت إجراءات التوريد"))</f>
        <v/>
      </c>
      <c r="P464" t="str">
        <f>IF(B464="","",SUMIFS(DB_All!$N$2:$N$1000,DB_All!$G$2:$G$1000,B464,DB_All!$L$2:$L$1000,"بانتظار سندات الاستلام \ شهادة الإنجاز"))</f>
        <v/>
      </c>
      <c r="Q464" t="str">
        <f>IF(B464="","",COUNTIFS(DB_All!$G$2:$G$1000,B464,DB_All!$L$2:$L$1000,"بانتظار سندات الاستلام \ شهادة الإنجاز"))</f>
        <v/>
      </c>
      <c r="R464" t="str">
        <f t="shared" si="23"/>
        <v/>
      </c>
    </row>
    <row r="465" spans="6:18" x14ac:dyDescent="0.3">
      <c r="F465" t="str">
        <f>IF(B465="","",SUMIFS(DB_All!$M$2:$M$1000,DB_All!$G$2:$G$1000,B465,DB_All!$L$2:$L$1000,"تحت إجراءات التعاقد"))</f>
        <v/>
      </c>
      <c r="G465" t="str">
        <f>IF(B465="","",COUNTIFS(DB_All!$G$2:$G$1000,B465,DB_All!$L$2:$L$1000,"تحت إجراءات التعاقد"))</f>
        <v/>
      </c>
      <c r="H465" t="str">
        <f>IF(B465="","",SUMIFS(DB_All!$N$2:$N$1000,DB_All!$G$2:$G$1000,B465,DB_All!$L$2:$L$1000,"تم التوقيع"))</f>
        <v/>
      </c>
      <c r="I465" t="str">
        <f>IF(B465="","",COUNTIFS(DB_All!$G$2:$G$1000,B465,DB_All!$L$2:$L$1000,"تم التوقيع"))</f>
        <v/>
      </c>
      <c r="J465">
        <f t="shared" si="21"/>
        <v>0</v>
      </c>
      <c r="K465" t="str">
        <f>IF(B465="","",SUMIFS('المطالبات 2026'!$J:$J,'المطالبات 2026'!$E:$E,B465,'المطالبات 2026'!$I:$I,"مطالبة مرفوعة للمالية") + SUMIFS('المطالبات 2025'!$J:$J,'المطالبات 2025'!$E:$E,B465,'المطالبات 2025'!$I:$I,"مطالبة مرفوعة للمالية"))</f>
        <v/>
      </c>
      <c r="L465" t="str">
        <f>IF(B465="","",COUNTIFS('المطالبات 2026'!$E:$E,B465,'المطالبات 2026'!$I:$I,"مطالبة مرفوعة للمالية") + COUNTIFS('المطالبات 2025'!$E:$E,B465,'المطالبات 2025'!$I:$I,"مطالبة مرفوعة للمالية"))</f>
        <v/>
      </c>
      <c r="M465">
        <f t="shared" si="22"/>
        <v>0</v>
      </c>
      <c r="N465" t="str">
        <f>IF(B465="","",SUMIFS(DB_All!$N$2:$N$1000,DB_All!$G$2:$G$1000,B465,DB_All!$L$2:$L$1000,"تحت إجراءات التوريد"))</f>
        <v/>
      </c>
      <c r="O465" t="str">
        <f>IF(B465="","",COUNTIFS(DB_All!$G$2:$G$1000,B465,DB_All!$L$2:$L$1000,"تحت إجراءات التوريد"))</f>
        <v/>
      </c>
      <c r="P465" t="str">
        <f>IF(B465="","",SUMIFS(DB_All!$N$2:$N$1000,DB_All!$G$2:$G$1000,B465,DB_All!$L$2:$L$1000,"بانتظار سندات الاستلام \ شهادة الإنجاز"))</f>
        <v/>
      </c>
      <c r="Q465" t="str">
        <f>IF(B465="","",COUNTIFS(DB_All!$G$2:$G$1000,B465,DB_All!$L$2:$L$1000,"بانتظار سندات الاستلام \ شهادة الإنجاز"))</f>
        <v/>
      </c>
      <c r="R465" t="str">
        <f t="shared" si="23"/>
        <v/>
      </c>
    </row>
    <row r="466" spans="6:18" x14ac:dyDescent="0.3">
      <c r="F466" t="str">
        <f>IF(B466="","",SUMIFS(DB_All!$M$2:$M$1000,DB_All!$G$2:$G$1000,B466,DB_All!$L$2:$L$1000,"تحت إجراءات التعاقد"))</f>
        <v/>
      </c>
      <c r="G466" t="str">
        <f>IF(B466="","",COUNTIFS(DB_All!$G$2:$G$1000,B466,DB_All!$L$2:$L$1000,"تحت إجراءات التعاقد"))</f>
        <v/>
      </c>
      <c r="H466" t="str">
        <f>IF(B466="","",SUMIFS(DB_All!$N$2:$N$1000,DB_All!$G$2:$G$1000,B466,DB_All!$L$2:$L$1000,"تم التوقيع"))</f>
        <v/>
      </c>
      <c r="I466" t="str">
        <f>IF(B466="","",COUNTIFS(DB_All!$G$2:$G$1000,B466,DB_All!$L$2:$L$1000,"تم التوقيع"))</f>
        <v/>
      </c>
      <c r="J466">
        <f t="shared" si="21"/>
        <v>0</v>
      </c>
      <c r="K466" t="str">
        <f>IF(B466="","",SUMIFS('المطالبات 2026'!$J:$J,'المطالبات 2026'!$E:$E,B466,'المطالبات 2026'!$I:$I,"مطالبة مرفوعة للمالية") + SUMIFS('المطالبات 2025'!$J:$J,'المطالبات 2025'!$E:$E,B466,'المطالبات 2025'!$I:$I,"مطالبة مرفوعة للمالية"))</f>
        <v/>
      </c>
      <c r="L466" t="str">
        <f>IF(B466="","",COUNTIFS('المطالبات 2026'!$E:$E,B466,'المطالبات 2026'!$I:$I,"مطالبة مرفوعة للمالية") + COUNTIFS('المطالبات 2025'!$E:$E,B466,'المطالبات 2025'!$I:$I,"مطالبة مرفوعة للمالية"))</f>
        <v/>
      </c>
      <c r="M466">
        <f t="shared" si="22"/>
        <v>0</v>
      </c>
      <c r="N466" t="str">
        <f>IF(B466="","",SUMIFS(DB_All!$N$2:$N$1000,DB_All!$G$2:$G$1000,B466,DB_All!$L$2:$L$1000,"تحت إجراءات التوريد"))</f>
        <v/>
      </c>
      <c r="O466" t="str">
        <f>IF(B466="","",COUNTIFS(DB_All!$G$2:$G$1000,B466,DB_All!$L$2:$L$1000,"تحت إجراءات التوريد"))</f>
        <v/>
      </c>
      <c r="P466" t="str">
        <f>IF(B466="","",SUMIFS(DB_All!$N$2:$N$1000,DB_All!$G$2:$G$1000,B466,DB_All!$L$2:$L$1000,"بانتظار سندات الاستلام \ شهادة الإنجاز"))</f>
        <v/>
      </c>
      <c r="Q466" t="str">
        <f>IF(B466="","",COUNTIFS(DB_All!$G$2:$G$1000,B466,DB_All!$L$2:$L$1000,"بانتظار سندات الاستلام \ شهادة الإنجاز"))</f>
        <v/>
      </c>
      <c r="R466" t="str">
        <f t="shared" si="23"/>
        <v/>
      </c>
    </row>
    <row r="467" spans="6:18" x14ac:dyDescent="0.3">
      <c r="F467" t="str">
        <f>IF(B467="","",SUMIFS(DB_All!$M$2:$M$1000,DB_All!$G$2:$G$1000,B467,DB_All!$L$2:$L$1000,"تحت إجراءات التعاقد"))</f>
        <v/>
      </c>
      <c r="G467" t="str">
        <f>IF(B467="","",COUNTIFS(DB_All!$G$2:$G$1000,B467,DB_All!$L$2:$L$1000,"تحت إجراءات التعاقد"))</f>
        <v/>
      </c>
      <c r="H467" t="str">
        <f>IF(B467="","",SUMIFS(DB_All!$N$2:$N$1000,DB_All!$G$2:$G$1000,B467,DB_All!$L$2:$L$1000,"تم التوقيع"))</f>
        <v/>
      </c>
      <c r="I467" t="str">
        <f>IF(B467="","",COUNTIFS(DB_All!$G$2:$G$1000,B467,DB_All!$L$2:$L$1000,"تم التوقيع"))</f>
        <v/>
      </c>
      <c r="J467">
        <f t="shared" si="21"/>
        <v>0</v>
      </c>
      <c r="K467" t="str">
        <f>IF(B467="","",SUMIFS('المطالبات 2026'!$J:$J,'المطالبات 2026'!$E:$E,B467,'المطالبات 2026'!$I:$I,"مطالبة مرفوعة للمالية") + SUMIFS('المطالبات 2025'!$J:$J,'المطالبات 2025'!$E:$E,B467,'المطالبات 2025'!$I:$I,"مطالبة مرفوعة للمالية"))</f>
        <v/>
      </c>
      <c r="L467" t="str">
        <f>IF(B467="","",COUNTIFS('المطالبات 2026'!$E:$E,B467,'المطالبات 2026'!$I:$I,"مطالبة مرفوعة للمالية") + COUNTIFS('المطالبات 2025'!$E:$E,B467,'المطالبات 2025'!$I:$I,"مطالبة مرفوعة للمالية"))</f>
        <v/>
      </c>
      <c r="M467">
        <f t="shared" si="22"/>
        <v>0</v>
      </c>
      <c r="N467" t="str">
        <f>IF(B467="","",SUMIFS(DB_All!$N$2:$N$1000,DB_All!$G$2:$G$1000,B467,DB_All!$L$2:$L$1000,"تحت إجراءات التوريد"))</f>
        <v/>
      </c>
      <c r="O467" t="str">
        <f>IF(B467="","",COUNTIFS(DB_All!$G$2:$G$1000,B467,DB_All!$L$2:$L$1000,"تحت إجراءات التوريد"))</f>
        <v/>
      </c>
      <c r="P467" t="str">
        <f>IF(B467="","",SUMIFS(DB_All!$N$2:$N$1000,DB_All!$G$2:$G$1000,B467,DB_All!$L$2:$L$1000,"بانتظار سندات الاستلام \ شهادة الإنجاز"))</f>
        <v/>
      </c>
      <c r="Q467" t="str">
        <f>IF(B467="","",COUNTIFS(DB_All!$G$2:$G$1000,B467,DB_All!$L$2:$L$1000,"بانتظار سندات الاستلام \ شهادة الإنجاز"))</f>
        <v/>
      </c>
      <c r="R467" t="str">
        <f t="shared" si="23"/>
        <v/>
      </c>
    </row>
    <row r="468" spans="6:18" x14ac:dyDescent="0.3">
      <c r="F468" t="str">
        <f>IF(B468="","",SUMIFS(DB_All!$M$2:$M$1000,DB_All!$G$2:$G$1000,B468,DB_All!$L$2:$L$1000,"تحت إجراءات التعاقد"))</f>
        <v/>
      </c>
      <c r="G468" t="str">
        <f>IF(B468="","",COUNTIFS(DB_All!$G$2:$G$1000,B468,DB_All!$L$2:$L$1000,"تحت إجراءات التعاقد"))</f>
        <v/>
      </c>
      <c r="H468" t="str">
        <f>IF(B468="","",SUMIFS(DB_All!$N$2:$N$1000,DB_All!$G$2:$G$1000,B468,DB_All!$L$2:$L$1000,"تم التوقيع"))</f>
        <v/>
      </c>
      <c r="I468" t="str">
        <f>IF(B468="","",COUNTIFS(DB_All!$G$2:$G$1000,B468,DB_All!$L$2:$L$1000,"تم التوقيع"))</f>
        <v/>
      </c>
      <c r="J468">
        <f t="shared" si="21"/>
        <v>0</v>
      </c>
      <c r="K468" t="str">
        <f>IF(B468="","",SUMIFS('المطالبات 2026'!$J:$J,'المطالبات 2026'!$E:$E,B468,'المطالبات 2026'!$I:$I,"مطالبة مرفوعة للمالية") + SUMIFS('المطالبات 2025'!$J:$J,'المطالبات 2025'!$E:$E,B468,'المطالبات 2025'!$I:$I,"مطالبة مرفوعة للمالية"))</f>
        <v/>
      </c>
      <c r="L468" t="str">
        <f>IF(B468="","",COUNTIFS('المطالبات 2026'!$E:$E,B468,'المطالبات 2026'!$I:$I,"مطالبة مرفوعة للمالية") + COUNTIFS('المطالبات 2025'!$E:$E,B468,'المطالبات 2025'!$I:$I,"مطالبة مرفوعة للمالية"))</f>
        <v/>
      </c>
      <c r="M468">
        <f t="shared" si="22"/>
        <v>0</v>
      </c>
      <c r="N468" t="str">
        <f>IF(B468="","",SUMIFS(DB_All!$N$2:$N$1000,DB_All!$G$2:$G$1000,B468,DB_All!$L$2:$L$1000,"تحت إجراءات التوريد"))</f>
        <v/>
      </c>
      <c r="O468" t="str">
        <f>IF(B468="","",COUNTIFS(DB_All!$G$2:$G$1000,B468,DB_All!$L$2:$L$1000,"تحت إجراءات التوريد"))</f>
        <v/>
      </c>
      <c r="P468" t="str">
        <f>IF(B468="","",SUMIFS(DB_All!$N$2:$N$1000,DB_All!$G$2:$G$1000,B468,DB_All!$L$2:$L$1000,"بانتظار سندات الاستلام \ شهادة الإنجاز"))</f>
        <v/>
      </c>
      <c r="Q468" t="str">
        <f>IF(B468="","",COUNTIFS(DB_All!$G$2:$G$1000,B468,DB_All!$L$2:$L$1000,"بانتظار سندات الاستلام \ شهادة الإنجاز"))</f>
        <v/>
      </c>
      <c r="R468" t="str">
        <f t="shared" si="23"/>
        <v/>
      </c>
    </row>
    <row r="469" spans="6:18" x14ac:dyDescent="0.3">
      <c r="F469" t="str">
        <f>IF(B469="","",SUMIFS(DB_All!$M$2:$M$1000,DB_All!$G$2:$G$1000,B469,DB_All!$L$2:$L$1000,"تحت إجراءات التعاقد"))</f>
        <v/>
      </c>
      <c r="G469" t="str">
        <f>IF(B469="","",COUNTIFS(DB_All!$G$2:$G$1000,B469,DB_All!$L$2:$L$1000,"تحت إجراءات التعاقد"))</f>
        <v/>
      </c>
      <c r="H469" t="str">
        <f>IF(B469="","",SUMIFS(DB_All!$N$2:$N$1000,DB_All!$G$2:$G$1000,B469,DB_All!$L$2:$L$1000,"تم التوقيع"))</f>
        <v/>
      </c>
      <c r="I469" t="str">
        <f>IF(B469="","",COUNTIFS(DB_All!$G$2:$G$1000,B469,DB_All!$L$2:$L$1000,"تم التوقيع"))</f>
        <v/>
      </c>
      <c r="J469">
        <f t="shared" si="21"/>
        <v>0</v>
      </c>
      <c r="K469" t="str">
        <f>IF(B469="","",SUMIFS('المطالبات 2026'!$J:$J,'المطالبات 2026'!$E:$E,B469,'المطالبات 2026'!$I:$I,"مطالبة مرفوعة للمالية") + SUMIFS('المطالبات 2025'!$J:$J,'المطالبات 2025'!$E:$E,B469,'المطالبات 2025'!$I:$I,"مطالبة مرفوعة للمالية"))</f>
        <v/>
      </c>
      <c r="L469" t="str">
        <f>IF(B469="","",COUNTIFS('المطالبات 2026'!$E:$E,B469,'المطالبات 2026'!$I:$I,"مطالبة مرفوعة للمالية") + COUNTIFS('المطالبات 2025'!$E:$E,B469,'المطالبات 2025'!$I:$I,"مطالبة مرفوعة للمالية"))</f>
        <v/>
      </c>
      <c r="M469">
        <f t="shared" si="22"/>
        <v>0</v>
      </c>
      <c r="N469" t="str">
        <f>IF(B469="","",SUMIFS(DB_All!$N$2:$N$1000,DB_All!$G$2:$G$1000,B469,DB_All!$L$2:$L$1000,"تحت إجراءات التوريد"))</f>
        <v/>
      </c>
      <c r="O469" t="str">
        <f>IF(B469="","",COUNTIFS(DB_All!$G$2:$G$1000,B469,DB_All!$L$2:$L$1000,"تحت إجراءات التوريد"))</f>
        <v/>
      </c>
      <c r="P469" t="str">
        <f>IF(B469="","",SUMIFS(DB_All!$N$2:$N$1000,DB_All!$G$2:$G$1000,B469,DB_All!$L$2:$L$1000,"بانتظار سندات الاستلام \ شهادة الإنجاز"))</f>
        <v/>
      </c>
      <c r="Q469" t="str">
        <f>IF(B469="","",COUNTIFS(DB_All!$G$2:$G$1000,B469,DB_All!$L$2:$L$1000,"بانتظار سندات الاستلام \ شهادة الإنجاز"))</f>
        <v/>
      </c>
      <c r="R469" t="str">
        <f t="shared" si="23"/>
        <v/>
      </c>
    </row>
    <row r="470" spans="6:18" x14ac:dyDescent="0.3">
      <c r="F470" t="str">
        <f>IF(B470="","",SUMIFS(DB_All!$M$2:$M$1000,DB_All!$G$2:$G$1000,B470,DB_All!$L$2:$L$1000,"تحت إجراءات التعاقد"))</f>
        <v/>
      </c>
      <c r="G470" t="str">
        <f>IF(B470="","",COUNTIFS(DB_All!$G$2:$G$1000,B470,DB_All!$L$2:$L$1000,"تحت إجراءات التعاقد"))</f>
        <v/>
      </c>
      <c r="H470" t="str">
        <f>IF(B470="","",SUMIFS(DB_All!$N$2:$N$1000,DB_All!$G$2:$G$1000,B470,DB_All!$L$2:$L$1000,"تم التوقيع"))</f>
        <v/>
      </c>
      <c r="I470" t="str">
        <f>IF(B470="","",COUNTIFS(DB_All!$G$2:$G$1000,B470,DB_All!$L$2:$L$1000,"تم التوقيع"))</f>
        <v/>
      </c>
      <c r="J470">
        <f t="shared" si="21"/>
        <v>0</v>
      </c>
      <c r="K470" t="str">
        <f>IF(B470="","",SUMIFS('المطالبات 2026'!$J:$J,'المطالبات 2026'!$E:$E,B470,'المطالبات 2026'!$I:$I,"مطالبة مرفوعة للمالية") + SUMIFS('المطالبات 2025'!$J:$J,'المطالبات 2025'!$E:$E,B470,'المطالبات 2025'!$I:$I,"مطالبة مرفوعة للمالية"))</f>
        <v/>
      </c>
      <c r="L470" t="str">
        <f>IF(B470="","",COUNTIFS('المطالبات 2026'!$E:$E,B470,'المطالبات 2026'!$I:$I,"مطالبة مرفوعة للمالية") + COUNTIFS('المطالبات 2025'!$E:$E,B470,'المطالبات 2025'!$I:$I,"مطالبة مرفوعة للمالية"))</f>
        <v/>
      </c>
      <c r="M470">
        <f t="shared" si="22"/>
        <v>0</v>
      </c>
      <c r="N470" t="str">
        <f>IF(B470="","",SUMIFS(DB_All!$N$2:$N$1000,DB_All!$G$2:$G$1000,B470,DB_All!$L$2:$L$1000,"تحت إجراءات التوريد"))</f>
        <v/>
      </c>
      <c r="O470" t="str">
        <f>IF(B470="","",COUNTIFS(DB_All!$G$2:$G$1000,B470,DB_All!$L$2:$L$1000,"تحت إجراءات التوريد"))</f>
        <v/>
      </c>
      <c r="P470" t="str">
        <f>IF(B470="","",SUMIFS(DB_All!$N$2:$N$1000,DB_All!$G$2:$G$1000,B470,DB_All!$L$2:$L$1000,"بانتظار سندات الاستلام \ شهادة الإنجاز"))</f>
        <v/>
      </c>
      <c r="Q470" t="str">
        <f>IF(B470="","",COUNTIFS(DB_All!$G$2:$G$1000,B470,DB_All!$L$2:$L$1000,"بانتظار سندات الاستلام \ شهادة الإنجاز"))</f>
        <v/>
      </c>
      <c r="R470" t="str">
        <f t="shared" si="23"/>
        <v/>
      </c>
    </row>
    <row r="471" spans="6:18" x14ac:dyDescent="0.3">
      <c r="F471" t="str">
        <f>IF(B471="","",SUMIFS(DB_All!$M$2:$M$1000,DB_All!$G$2:$G$1000,B471,DB_All!$L$2:$L$1000,"تحت إجراءات التعاقد"))</f>
        <v/>
      </c>
      <c r="G471" t="str">
        <f>IF(B471="","",COUNTIFS(DB_All!$G$2:$G$1000,B471,DB_All!$L$2:$L$1000,"تحت إجراءات التعاقد"))</f>
        <v/>
      </c>
      <c r="H471" t="str">
        <f>IF(B471="","",SUMIFS(DB_All!$N$2:$N$1000,DB_All!$G$2:$G$1000,B471,DB_All!$L$2:$L$1000,"تم التوقيع"))</f>
        <v/>
      </c>
      <c r="I471" t="str">
        <f>IF(B471="","",COUNTIFS(DB_All!$G$2:$G$1000,B471,DB_All!$L$2:$L$1000,"تم التوقيع"))</f>
        <v/>
      </c>
      <c r="J471">
        <f t="shared" si="21"/>
        <v>0</v>
      </c>
      <c r="K471" t="str">
        <f>IF(B471="","",SUMIFS('المطالبات 2026'!$J:$J,'المطالبات 2026'!$E:$E,B471,'المطالبات 2026'!$I:$I,"مطالبة مرفوعة للمالية") + SUMIFS('المطالبات 2025'!$J:$J,'المطالبات 2025'!$E:$E,B471,'المطالبات 2025'!$I:$I,"مطالبة مرفوعة للمالية"))</f>
        <v/>
      </c>
      <c r="L471" t="str">
        <f>IF(B471="","",COUNTIFS('المطالبات 2026'!$E:$E,B471,'المطالبات 2026'!$I:$I,"مطالبة مرفوعة للمالية") + COUNTIFS('المطالبات 2025'!$E:$E,B471,'المطالبات 2025'!$I:$I,"مطالبة مرفوعة للمالية"))</f>
        <v/>
      </c>
      <c r="M471">
        <f t="shared" si="22"/>
        <v>0</v>
      </c>
      <c r="N471" t="str">
        <f>IF(B471="","",SUMIFS(DB_All!$N$2:$N$1000,DB_All!$G$2:$G$1000,B471,DB_All!$L$2:$L$1000,"تحت إجراءات التوريد"))</f>
        <v/>
      </c>
      <c r="O471" t="str">
        <f>IF(B471="","",COUNTIFS(DB_All!$G$2:$G$1000,B471,DB_All!$L$2:$L$1000,"تحت إجراءات التوريد"))</f>
        <v/>
      </c>
      <c r="P471" t="str">
        <f>IF(B471="","",SUMIFS(DB_All!$N$2:$N$1000,DB_All!$G$2:$G$1000,B471,DB_All!$L$2:$L$1000,"بانتظار سندات الاستلام \ شهادة الإنجاز"))</f>
        <v/>
      </c>
      <c r="Q471" t="str">
        <f>IF(B471="","",COUNTIFS(DB_All!$G$2:$G$1000,B471,DB_All!$L$2:$L$1000,"بانتظار سندات الاستلام \ شهادة الإنجاز"))</f>
        <v/>
      </c>
      <c r="R471" t="str">
        <f t="shared" si="23"/>
        <v/>
      </c>
    </row>
    <row r="472" spans="6:18" x14ac:dyDescent="0.3">
      <c r="F472" t="str">
        <f>IF(B472="","",SUMIFS(DB_All!$M$2:$M$1000,DB_All!$G$2:$G$1000,B472,DB_All!$L$2:$L$1000,"تحت إجراءات التعاقد"))</f>
        <v/>
      </c>
      <c r="G472" t="str">
        <f>IF(B472="","",COUNTIFS(DB_All!$G$2:$G$1000,B472,DB_All!$L$2:$L$1000,"تحت إجراءات التعاقد"))</f>
        <v/>
      </c>
      <c r="H472" t="str">
        <f>IF(B472="","",SUMIFS(DB_All!$N$2:$N$1000,DB_All!$G$2:$G$1000,B472,DB_All!$L$2:$L$1000,"تم التوقيع"))</f>
        <v/>
      </c>
      <c r="I472" t="str">
        <f>IF(B472="","",COUNTIFS(DB_All!$G$2:$G$1000,B472,DB_All!$L$2:$L$1000,"تم التوقيع"))</f>
        <v/>
      </c>
      <c r="J472">
        <f t="shared" si="21"/>
        <v>0</v>
      </c>
      <c r="K472" t="str">
        <f>IF(B472="","",SUMIFS('المطالبات 2026'!$J:$J,'المطالبات 2026'!$E:$E,B472,'المطالبات 2026'!$I:$I,"مطالبة مرفوعة للمالية") + SUMIFS('المطالبات 2025'!$J:$J,'المطالبات 2025'!$E:$E,B472,'المطالبات 2025'!$I:$I,"مطالبة مرفوعة للمالية"))</f>
        <v/>
      </c>
      <c r="L472" t="str">
        <f>IF(B472="","",COUNTIFS('المطالبات 2026'!$E:$E,B472,'المطالبات 2026'!$I:$I,"مطالبة مرفوعة للمالية") + COUNTIFS('المطالبات 2025'!$E:$E,B472,'المطالبات 2025'!$I:$I,"مطالبة مرفوعة للمالية"))</f>
        <v/>
      </c>
      <c r="M472">
        <f t="shared" si="22"/>
        <v>0</v>
      </c>
      <c r="N472" t="str">
        <f>IF(B472="","",SUMIFS(DB_All!$N$2:$N$1000,DB_All!$G$2:$G$1000,B472,DB_All!$L$2:$L$1000,"تحت إجراءات التوريد"))</f>
        <v/>
      </c>
      <c r="O472" t="str">
        <f>IF(B472="","",COUNTIFS(DB_All!$G$2:$G$1000,B472,DB_All!$L$2:$L$1000,"تحت إجراءات التوريد"))</f>
        <v/>
      </c>
      <c r="P472" t="str">
        <f>IF(B472="","",SUMIFS(DB_All!$N$2:$N$1000,DB_All!$G$2:$G$1000,B472,DB_All!$L$2:$L$1000,"بانتظار سندات الاستلام \ شهادة الإنجاز"))</f>
        <v/>
      </c>
      <c r="Q472" t="str">
        <f>IF(B472="","",COUNTIFS(DB_All!$G$2:$G$1000,B472,DB_All!$L$2:$L$1000,"بانتظار سندات الاستلام \ شهادة الإنجاز"))</f>
        <v/>
      </c>
      <c r="R472" t="str">
        <f t="shared" si="23"/>
        <v/>
      </c>
    </row>
    <row r="473" spans="6:18" x14ac:dyDescent="0.3">
      <c r="F473" t="str">
        <f>IF(B473="","",SUMIFS(DB_All!$M$2:$M$1000,DB_All!$G$2:$G$1000,B473,DB_All!$L$2:$L$1000,"تحت إجراءات التعاقد"))</f>
        <v/>
      </c>
      <c r="G473" t="str">
        <f>IF(B473="","",COUNTIFS(DB_All!$G$2:$G$1000,B473,DB_All!$L$2:$L$1000,"تحت إجراءات التعاقد"))</f>
        <v/>
      </c>
      <c r="H473" t="str">
        <f>IF(B473="","",SUMIFS(DB_All!$N$2:$N$1000,DB_All!$G$2:$G$1000,B473,DB_All!$L$2:$L$1000,"تم التوقيع"))</f>
        <v/>
      </c>
      <c r="I473" t="str">
        <f>IF(B473="","",COUNTIFS(DB_All!$G$2:$G$1000,B473,DB_All!$L$2:$L$1000,"تم التوقيع"))</f>
        <v/>
      </c>
      <c r="J473">
        <f t="shared" si="21"/>
        <v>0</v>
      </c>
      <c r="K473" t="str">
        <f>IF(B473="","",SUMIFS('المطالبات 2026'!$J:$J,'المطالبات 2026'!$E:$E,B473,'المطالبات 2026'!$I:$I,"مطالبة مرفوعة للمالية") + SUMIFS('المطالبات 2025'!$J:$J,'المطالبات 2025'!$E:$E,B473,'المطالبات 2025'!$I:$I,"مطالبة مرفوعة للمالية"))</f>
        <v/>
      </c>
      <c r="L473" t="str">
        <f>IF(B473="","",COUNTIFS('المطالبات 2026'!$E:$E,B473,'المطالبات 2026'!$I:$I,"مطالبة مرفوعة للمالية") + COUNTIFS('المطالبات 2025'!$E:$E,B473,'المطالبات 2025'!$I:$I,"مطالبة مرفوعة للمالية"))</f>
        <v/>
      </c>
      <c r="M473">
        <f t="shared" si="22"/>
        <v>0</v>
      </c>
      <c r="N473" t="str">
        <f>IF(B473="","",SUMIFS(DB_All!$N$2:$N$1000,DB_All!$G$2:$G$1000,B473,DB_All!$L$2:$L$1000,"تحت إجراءات التوريد"))</f>
        <v/>
      </c>
      <c r="O473" t="str">
        <f>IF(B473="","",COUNTIFS(DB_All!$G$2:$G$1000,B473,DB_All!$L$2:$L$1000,"تحت إجراءات التوريد"))</f>
        <v/>
      </c>
      <c r="P473" t="str">
        <f>IF(B473="","",SUMIFS(DB_All!$N$2:$N$1000,DB_All!$G$2:$G$1000,B473,DB_All!$L$2:$L$1000,"بانتظار سندات الاستلام \ شهادة الإنجاز"))</f>
        <v/>
      </c>
      <c r="Q473" t="str">
        <f>IF(B473="","",COUNTIFS(DB_All!$G$2:$G$1000,B473,DB_All!$L$2:$L$1000,"بانتظار سندات الاستلام \ شهادة الإنجاز"))</f>
        <v/>
      </c>
      <c r="R473" t="str">
        <f t="shared" si="23"/>
        <v/>
      </c>
    </row>
    <row r="474" spans="6:18" x14ac:dyDescent="0.3">
      <c r="F474" t="str">
        <f>IF(B474="","",SUMIFS(DB_All!$M$2:$M$1000,DB_All!$G$2:$G$1000,B474,DB_All!$L$2:$L$1000,"تحت إجراءات التعاقد"))</f>
        <v/>
      </c>
      <c r="G474" t="str">
        <f>IF(B474="","",COUNTIFS(DB_All!$G$2:$G$1000,B474,DB_All!$L$2:$L$1000,"تحت إجراءات التعاقد"))</f>
        <v/>
      </c>
      <c r="H474" t="str">
        <f>IF(B474="","",SUMIFS(DB_All!$N$2:$N$1000,DB_All!$G$2:$G$1000,B474,DB_All!$L$2:$L$1000,"تم التوقيع"))</f>
        <v/>
      </c>
      <c r="I474" t="str">
        <f>IF(B474="","",COUNTIFS(DB_All!$G$2:$G$1000,B474,DB_All!$L$2:$L$1000,"تم التوقيع"))</f>
        <v/>
      </c>
      <c r="J474">
        <f t="shared" si="21"/>
        <v>0</v>
      </c>
      <c r="K474" t="str">
        <f>IF(B474="","",SUMIFS('المطالبات 2026'!$J:$J,'المطالبات 2026'!$E:$E,B474,'المطالبات 2026'!$I:$I,"مطالبة مرفوعة للمالية") + SUMIFS('المطالبات 2025'!$J:$J,'المطالبات 2025'!$E:$E,B474,'المطالبات 2025'!$I:$I,"مطالبة مرفوعة للمالية"))</f>
        <v/>
      </c>
      <c r="L474" t="str">
        <f>IF(B474="","",COUNTIFS('المطالبات 2026'!$E:$E,B474,'المطالبات 2026'!$I:$I,"مطالبة مرفوعة للمالية") + COUNTIFS('المطالبات 2025'!$E:$E,B474,'المطالبات 2025'!$I:$I,"مطالبة مرفوعة للمالية"))</f>
        <v/>
      </c>
      <c r="M474">
        <f t="shared" si="22"/>
        <v>0</v>
      </c>
      <c r="N474" t="str">
        <f>IF(B474="","",SUMIFS(DB_All!$N$2:$N$1000,DB_All!$G$2:$G$1000,B474,DB_All!$L$2:$L$1000,"تحت إجراءات التوريد"))</f>
        <v/>
      </c>
      <c r="O474" t="str">
        <f>IF(B474="","",COUNTIFS(DB_All!$G$2:$G$1000,B474,DB_All!$L$2:$L$1000,"تحت إجراءات التوريد"))</f>
        <v/>
      </c>
      <c r="P474" t="str">
        <f>IF(B474="","",SUMIFS(DB_All!$N$2:$N$1000,DB_All!$G$2:$G$1000,B474,DB_All!$L$2:$L$1000,"بانتظار سندات الاستلام \ شهادة الإنجاز"))</f>
        <v/>
      </c>
      <c r="Q474" t="str">
        <f>IF(B474="","",COUNTIFS(DB_All!$G$2:$G$1000,B474,DB_All!$L$2:$L$1000,"بانتظار سندات الاستلام \ شهادة الإنجاز"))</f>
        <v/>
      </c>
      <c r="R474" t="str">
        <f t="shared" si="23"/>
        <v/>
      </c>
    </row>
    <row r="475" spans="6:18" x14ac:dyDescent="0.3">
      <c r="F475" t="str">
        <f>IF(B475="","",SUMIFS(DB_All!$M$2:$M$1000,DB_All!$G$2:$G$1000,B475,DB_All!$L$2:$L$1000,"تحت إجراءات التعاقد"))</f>
        <v/>
      </c>
      <c r="G475" t="str">
        <f>IF(B475="","",COUNTIFS(DB_All!$G$2:$G$1000,B475,DB_All!$L$2:$L$1000,"تحت إجراءات التعاقد"))</f>
        <v/>
      </c>
      <c r="H475" t="str">
        <f>IF(B475="","",SUMIFS(DB_All!$N$2:$N$1000,DB_All!$G$2:$G$1000,B475,DB_All!$L$2:$L$1000,"تم التوقيع"))</f>
        <v/>
      </c>
      <c r="I475" t="str">
        <f>IF(B475="","",COUNTIFS(DB_All!$G$2:$G$1000,B475,DB_All!$L$2:$L$1000,"تم التوقيع"))</f>
        <v/>
      </c>
      <c r="J475">
        <f t="shared" si="21"/>
        <v>0</v>
      </c>
      <c r="K475" t="str">
        <f>IF(B475="","",SUMIFS('المطالبات 2026'!$J:$J,'المطالبات 2026'!$E:$E,B475,'المطالبات 2026'!$I:$I,"مطالبة مرفوعة للمالية") + SUMIFS('المطالبات 2025'!$J:$J,'المطالبات 2025'!$E:$E,B475,'المطالبات 2025'!$I:$I,"مطالبة مرفوعة للمالية"))</f>
        <v/>
      </c>
      <c r="L475" t="str">
        <f>IF(B475="","",COUNTIFS('المطالبات 2026'!$E:$E,B475,'المطالبات 2026'!$I:$I,"مطالبة مرفوعة للمالية") + COUNTIFS('المطالبات 2025'!$E:$E,B475,'المطالبات 2025'!$I:$I,"مطالبة مرفوعة للمالية"))</f>
        <v/>
      </c>
      <c r="M475">
        <f t="shared" si="22"/>
        <v>0</v>
      </c>
      <c r="N475" t="str">
        <f>IF(B475="","",SUMIFS(DB_All!$N$2:$N$1000,DB_All!$G$2:$G$1000,B475,DB_All!$L$2:$L$1000,"تحت إجراءات التوريد"))</f>
        <v/>
      </c>
      <c r="O475" t="str">
        <f>IF(B475="","",COUNTIFS(DB_All!$G$2:$G$1000,B475,DB_All!$L$2:$L$1000,"تحت إجراءات التوريد"))</f>
        <v/>
      </c>
      <c r="P475" t="str">
        <f>IF(B475="","",SUMIFS(DB_All!$N$2:$N$1000,DB_All!$G$2:$G$1000,B475,DB_All!$L$2:$L$1000,"بانتظار سندات الاستلام \ شهادة الإنجاز"))</f>
        <v/>
      </c>
      <c r="Q475" t="str">
        <f>IF(B475="","",COUNTIFS(DB_All!$G$2:$G$1000,B475,DB_All!$L$2:$L$1000,"بانتظار سندات الاستلام \ شهادة الإنجاز"))</f>
        <v/>
      </c>
      <c r="R475" t="str">
        <f t="shared" si="23"/>
        <v/>
      </c>
    </row>
    <row r="476" spans="6:18" x14ac:dyDescent="0.3">
      <c r="F476" t="str">
        <f>IF(B476="","",SUMIFS(DB_All!$M$2:$M$1000,DB_All!$G$2:$G$1000,B476,DB_All!$L$2:$L$1000,"تحت إجراءات التعاقد"))</f>
        <v/>
      </c>
      <c r="G476" t="str">
        <f>IF(B476="","",COUNTIFS(DB_All!$G$2:$G$1000,B476,DB_All!$L$2:$L$1000,"تحت إجراءات التعاقد"))</f>
        <v/>
      </c>
      <c r="H476" t="str">
        <f>IF(B476="","",SUMIFS(DB_All!$N$2:$N$1000,DB_All!$G$2:$G$1000,B476,DB_All!$L$2:$L$1000,"تم التوقيع"))</f>
        <v/>
      </c>
      <c r="I476" t="str">
        <f>IF(B476="","",COUNTIFS(DB_All!$G$2:$G$1000,B476,DB_All!$L$2:$L$1000,"تم التوقيع"))</f>
        <v/>
      </c>
      <c r="J476">
        <f t="shared" si="21"/>
        <v>0</v>
      </c>
      <c r="K476" t="str">
        <f>IF(B476="","",SUMIFS('المطالبات 2026'!$J:$J,'المطالبات 2026'!$E:$E,B476,'المطالبات 2026'!$I:$I,"مطالبة مرفوعة للمالية") + SUMIFS('المطالبات 2025'!$J:$J,'المطالبات 2025'!$E:$E,B476,'المطالبات 2025'!$I:$I,"مطالبة مرفوعة للمالية"))</f>
        <v/>
      </c>
      <c r="L476" t="str">
        <f>IF(B476="","",COUNTIFS('المطالبات 2026'!$E:$E,B476,'المطالبات 2026'!$I:$I,"مطالبة مرفوعة للمالية") + COUNTIFS('المطالبات 2025'!$E:$E,B476,'المطالبات 2025'!$I:$I,"مطالبة مرفوعة للمالية"))</f>
        <v/>
      </c>
      <c r="M476">
        <f t="shared" si="22"/>
        <v>0</v>
      </c>
      <c r="N476" t="str">
        <f>IF(B476="","",SUMIFS(DB_All!$N$2:$N$1000,DB_All!$G$2:$G$1000,B476,DB_All!$L$2:$L$1000,"تحت إجراءات التوريد"))</f>
        <v/>
      </c>
      <c r="O476" t="str">
        <f>IF(B476="","",COUNTIFS(DB_All!$G$2:$G$1000,B476,DB_All!$L$2:$L$1000,"تحت إجراءات التوريد"))</f>
        <v/>
      </c>
      <c r="P476" t="str">
        <f>IF(B476="","",SUMIFS(DB_All!$N$2:$N$1000,DB_All!$G$2:$G$1000,B476,DB_All!$L$2:$L$1000,"بانتظار سندات الاستلام \ شهادة الإنجاز"))</f>
        <v/>
      </c>
      <c r="Q476" t="str">
        <f>IF(B476="","",COUNTIFS(DB_All!$G$2:$G$1000,B476,DB_All!$L$2:$L$1000,"بانتظار سندات الاستلام \ شهادة الإنجاز"))</f>
        <v/>
      </c>
      <c r="R476" t="str">
        <f t="shared" si="23"/>
        <v/>
      </c>
    </row>
    <row r="477" spans="6:18" x14ac:dyDescent="0.3">
      <c r="F477" t="str">
        <f>IF(B477="","",SUMIFS(DB_All!$M$2:$M$1000,DB_All!$G$2:$G$1000,B477,DB_All!$L$2:$L$1000,"تحت إجراءات التعاقد"))</f>
        <v/>
      </c>
      <c r="G477" t="str">
        <f>IF(B477="","",COUNTIFS(DB_All!$G$2:$G$1000,B477,DB_All!$L$2:$L$1000,"تحت إجراءات التعاقد"))</f>
        <v/>
      </c>
      <c r="H477" t="str">
        <f>IF(B477="","",SUMIFS(DB_All!$N$2:$N$1000,DB_All!$G$2:$G$1000,B477,DB_All!$L$2:$L$1000,"تم التوقيع"))</f>
        <v/>
      </c>
      <c r="I477" t="str">
        <f>IF(B477="","",COUNTIFS(DB_All!$G$2:$G$1000,B477,DB_All!$L$2:$L$1000,"تم التوقيع"))</f>
        <v/>
      </c>
      <c r="J477">
        <f t="shared" si="21"/>
        <v>0</v>
      </c>
      <c r="K477" t="str">
        <f>IF(B477="","",SUMIFS('المطالبات 2026'!$J:$J,'المطالبات 2026'!$E:$E,B477,'المطالبات 2026'!$I:$I,"مطالبة مرفوعة للمالية") + SUMIFS('المطالبات 2025'!$J:$J,'المطالبات 2025'!$E:$E,B477,'المطالبات 2025'!$I:$I,"مطالبة مرفوعة للمالية"))</f>
        <v/>
      </c>
      <c r="L477" t="str">
        <f>IF(B477="","",COUNTIFS('المطالبات 2026'!$E:$E,B477,'المطالبات 2026'!$I:$I,"مطالبة مرفوعة للمالية") + COUNTIFS('المطالبات 2025'!$E:$E,B477,'المطالبات 2025'!$I:$I,"مطالبة مرفوعة للمالية"))</f>
        <v/>
      </c>
      <c r="M477">
        <f t="shared" si="22"/>
        <v>0</v>
      </c>
      <c r="N477" t="str">
        <f>IF(B477="","",SUMIFS(DB_All!$N$2:$N$1000,DB_All!$G$2:$G$1000,B477,DB_All!$L$2:$L$1000,"تحت إجراءات التوريد"))</f>
        <v/>
      </c>
      <c r="O477" t="str">
        <f>IF(B477="","",COUNTIFS(DB_All!$G$2:$G$1000,B477,DB_All!$L$2:$L$1000,"تحت إجراءات التوريد"))</f>
        <v/>
      </c>
      <c r="P477" t="str">
        <f>IF(B477="","",SUMIFS(DB_All!$N$2:$N$1000,DB_All!$G$2:$G$1000,B477,DB_All!$L$2:$L$1000,"بانتظار سندات الاستلام \ شهادة الإنجاز"))</f>
        <v/>
      </c>
      <c r="Q477" t="str">
        <f>IF(B477="","",COUNTIFS(DB_All!$G$2:$G$1000,B477,DB_All!$L$2:$L$1000,"بانتظار سندات الاستلام \ شهادة الإنجاز"))</f>
        <v/>
      </c>
      <c r="R477" t="str">
        <f t="shared" si="23"/>
        <v/>
      </c>
    </row>
    <row r="478" spans="6:18" x14ac:dyDescent="0.3">
      <c r="F478" t="str">
        <f>IF(B478="","",SUMIFS(DB_All!$M$2:$M$1000,DB_All!$G$2:$G$1000,B478,DB_All!$L$2:$L$1000,"تحت إجراءات التعاقد"))</f>
        <v/>
      </c>
      <c r="G478" t="str">
        <f>IF(B478="","",COUNTIFS(DB_All!$G$2:$G$1000,B478,DB_All!$L$2:$L$1000,"تحت إجراءات التعاقد"))</f>
        <v/>
      </c>
      <c r="H478" t="str">
        <f>IF(B478="","",SUMIFS(DB_All!$N$2:$N$1000,DB_All!$G$2:$G$1000,B478,DB_All!$L$2:$L$1000,"تم التوقيع"))</f>
        <v/>
      </c>
      <c r="I478" t="str">
        <f>IF(B478="","",COUNTIFS(DB_All!$G$2:$G$1000,B478,DB_All!$L$2:$L$1000,"تم التوقيع"))</f>
        <v/>
      </c>
      <c r="J478">
        <f t="shared" si="21"/>
        <v>0</v>
      </c>
      <c r="K478" t="str">
        <f>IF(B478="","",SUMIFS('المطالبات 2026'!$J:$J,'المطالبات 2026'!$E:$E,B478,'المطالبات 2026'!$I:$I,"مطالبة مرفوعة للمالية") + SUMIFS('المطالبات 2025'!$J:$J,'المطالبات 2025'!$E:$E,B478,'المطالبات 2025'!$I:$I,"مطالبة مرفوعة للمالية"))</f>
        <v/>
      </c>
      <c r="L478" t="str">
        <f>IF(B478="","",COUNTIFS('المطالبات 2026'!$E:$E,B478,'المطالبات 2026'!$I:$I,"مطالبة مرفوعة للمالية") + COUNTIFS('المطالبات 2025'!$E:$E,B478,'المطالبات 2025'!$I:$I,"مطالبة مرفوعة للمالية"))</f>
        <v/>
      </c>
      <c r="M478">
        <f t="shared" si="22"/>
        <v>0</v>
      </c>
      <c r="N478" t="str">
        <f>IF(B478="","",SUMIFS(DB_All!$N$2:$N$1000,DB_All!$G$2:$G$1000,B478,DB_All!$L$2:$L$1000,"تحت إجراءات التوريد"))</f>
        <v/>
      </c>
      <c r="O478" t="str">
        <f>IF(B478="","",COUNTIFS(DB_All!$G$2:$G$1000,B478,DB_All!$L$2:$L$1000,"تحت إجراءات التوريد"))</f>
        <v/>
      </c>
      <c r="P478" t="str">
        <f>IF(B478="","",SUMIFS(DB_All!$N$2:$N$1000,DB_All!$G$2:$G$1000,B478,DB_All!$L$2:$L$1000,"بانتظار سندات الاستلام \ شهادة الإنجاز"))</f>
        <v/>
      </c>
      <c r="Q478" t="str">
        <f>IF(B478="","",COUNTIFS(DB_All!$G$2:$G$1000,B478,DB_All!$L$2:$L$1000,"بانتظار سندات الاستلام \ شهادة الإنجاز"))</f>
        <v/>
      </c>
      <c r="R478" t="str">
        <f t="shared" si="23"/>
        <v/>
      </c>
    </row>
    <row r="479" spans="6:18" x14ac:dyDescent="0.3">
      <c r="F479" t="str">
        <f>IF(B479="","",SUMIFS(DB_All!$M$2:$M$1000,DB_All!$G$2:$G$1000,B479,DB_All!$L$2:$L$1000,"تحت إجراءات التعاقد"))</f>
        <v/>
      </c>
      <c r="G479" t="str">
        <f>IF(B479="","",COUNTIFS(DB_All!$G$2:$G$1000,B479,DB_All!$L$2:$L$1000,"تحت إجراءات التعاقد"))</f>
        <v/>
      </c>
      <c r="H479" t="str">
        <f>IF(B479="","",SUMIFS(DB_All!$N$2:$N$1000,DB_All!$G$2:$G$1000,B479,DB_All!$L$2:$L$1000,"تم التوقيع"))</f>
        <v/>
      </c>
      <c r="I479" t="str">
        <f>IF(B479="","",COUNTIFS(DB_All!$G$2:$G$1000,B479,DB_All!$L$2:$L$1000,"تم التوقيع"))</f>
        <v/>
      </c>
      <c r="J479">
        <f t="shared" si="21"/>
        <v>0</v>
      </c>
      <c r="K479" t="str">
        <f>IF(B479="","",SUMIFS('المطالبات 2026'!$J:$J,'المطالبات 2026'!$E:$E,B479,'المطالبات 2026'!$I:$I,"مطالبة مرفوعة للمالية") + SUMIFS('المطالبات 2025'!$J:$J,'المطالبات 2025'!$E:$E,B479,'المطالبات 2025'!$I:$I,"مطالبة مرفوعة للمالية"))</f>
        <v/>
      </c>
      <c r="L479" t="str">
        <f>IF(B479="","",COUNTIFS('المطالبات 2026'!$E:$E,B479,'المطالبات 2026'!$I:$I,"مطالبة مرفوعة للمالية") + COUNTIFS('المطالبات 2025'!$E:$E,B479,'المطالبات 2025'!$I:$I,"مطالبة مرفوعة للمالية"))</f>
        <v/>
      </c>
      <c r="M479">
        <f t="shared" si="22"/>
        <v>0</v>
      </c>
      <c r="N479" t="str">
        <f>IF(B479="","",SUMIFS(DB_All!$N$2:$N$1000,DB_All!$G$2:$G$1000,B479,DB_All!$L$2:$L$1000,"تحت إجراءات التوريد"))</f>
        <v/>
      </c>
      <c r="O479" t="str">
        <f>IF(B479="","",COUNTIFS(DB_All!$G$2:$G$1000,B479,DB_All!$L$2:$L$1000,"تحت إجراءات التوريد"))</f>
        <v/>
      </c>
      <c r="P479" t="str">
        <f>IF(B479="","",SUMIFS(DB_All!$N$2:$N$1000,DB_All!$G$2:$G$1000,B479,DB_All!$L$2:$L$1000,"بانتظار سندات الاستلام \ شهادة الإنجاز"))</f>
        <v/>
      </c>
      <c r="Q479" t="str">
        <f>IF(B479="","",COUNTIFS(DB_All!$G$2:$G$1000,B479,DB_All!$L$2:$L$1000,"بانتظار سندات الاستلام \ شهادة الإنجاز"))</f>
        <v/>
      </c>
      <c r="R479" t="str">
        <f t="shared" si="23"/>
        <v/>
      </c>
    </row>
    <row r="480" spans="6:18" x14ac:dyDescent="0.3">
      <c r="F480" t="str">
        <f>IF(B480="","",SUMIFS(DB_All!$M$2:$M$1000,DB_All!$G$2:$G$1000,B480,DB_All!$L$2:$L$1000,"تحت إجراءات التعاقد"))</f>
        <v/>
      </c>
      <c r="G480" t="str">
        <f>IF(B480="","",COUNTIFS(DB_All!$G$2:$G$1000,B480,DB_All!$L$2:$L$1000,"تحت إجراءات التعاقد"))</f>
        <v/>
      </c>
      <c r="H480" t="str">
        <f>IF(B480="","",SUMIFS(DB_All!$N$2:$N$1000,DB_All!$G$2:$G$1000,B480,DB_All!$L$2:$L$1000,"تم التوقيع"))</f>
        <v/>
      </c>
      <c r="I480" t="str">
        <f>IF(B480="","",COUNTIFS(DB_All!$G$2:$G$1000,B480,DB_All!$L$2:$L$1000,"تم التوقيع"))</f>
        <v/>
      </c>
      <c r="J480">
        <f t="shared" si="21"/>
        <v>0</v>
      </c>
      <c r="K480" t="str">
        <f>IF(B480="","",SUMIFS('المطالبات 2026'!$J:$J,'المطالبات 2026'!$E:$E,B480,'المطالبات 2026'!$I:$I,"مطالبة مرفوعة للمالية") + SUMIFS('المطالبات 2025'!$J:$J,'المطالبات 2025'!$E:$E,B480,'المطالبات 2025'!$I:$I,"مطالبة مرفوعة للمالية"))</f>
        <v/>
      </c>
      <c r="L480" t="str">
        <f>IF(B480="","",COUNTIFS('المطالبات 2026'!$E:$E,B480,'المطالبات 2026'!$I:$I,"مطالبة مرفوعة للمالية") + COUNTIFS('المطالبات 2025'!$E:$E,B480,'المطالبات 2025'!$I:$I,"مطالبة مرفوعة للمالية"))</f>
        <v/>
      </c>
      <c r="M480">
        <f t="shared" si="22"/>
        <v>0</v>
      </c>
      <c r="N480" t="str">
        <f>IF(B480="","",SUMIFS(DB_All!$N$2:$N$1000,DB_All!$G$2:$G$1000,B480,DB_All!$L$2:$L$1000,"تحت إجراءات التوريد"))</f>
        <v/>
      </c>
      <c r="O480" t="str">
        <f>IF(B480="","",COUNTIFS(DB_All!$G$2:$G$1000,B480,DB_All!$L$2:$L$1000,"تحت إجراءات التوريد"))</f>
        <v/>
      </c>
      <c r="P480" t="str">
        <f>IF(B480="","",SUMIFS(DB_All!$N$2:$N$1000,DB_All!$G$2:$G$1000,B480,DB_All!$L$2:$L$1000,"بانتظار سندات الاستلام \ شهادة الإنجاز"))</f>
        <v/>
      </c>
      <c r="Q480" t="str">
        <f>IF(B480="","",COUNTIFS(DB_All!$G$2:$G$1000,B480,DB_All!$L$2:$L$1000,"بانتظار سندات الاستلام \ شهادة الإنجاز"))</f>
        <v/>
      </c>
      <c r="R480" t="str">
        <f t="shared" si="23"/>
        <v/>
      </c>
    </row>
    <row r="481" spans="6:18" x14ac:dyDescent="0.3">
      <c r="F481" t="str">
        <f>IF(B481="","",SUMIFS(DB_All!$M$2:$M$1000,DB_All!$G$2:$G$1000,B481,DB_All!$L$2:$L$1000,"تحت إجراءات التعاقد"))</f>
        <v/>
      </c>
      <c r="G481" t="str">
        <f>IF(B481="","",COUNTIFS(DB_All!$G$2:$G$1000,B481,DB_All!$L$2:$L$1000,"تحت إجراءات التعاقد"))</f>
        <v/>
      </c>
      <c r="H481" t="str">
        <f>IF(B481="","",SUMIFS(DB_All!$N$2:$N$1000,DB_All!$G$2:$G$1000,B481,DB_All!$L$2:$L$1000,"تم التوقيع"))</f>
        <v/>
      </c>
      <c r="I481" t="str">
        <f>IF(B481="","",COUNTIFS(DB_All!$G$2:$G$1000,B481,DB_All!$L$2:$L$1000,"تم التوقيع"))</f>
        <v/>
      </c>
      <c r="J481">
        <f t="shared" si="21"/>
        <v>0</v>
      </c>
      <c r="K481" t="str">
        <f>IF(B481="","",SUMIFS('المطالبات 2026'!$J:$J,'المطالبات 2026'!$E:$E,B481,'المطالبات 2026'!$I:$I,"مطالبة مرفوعة للمالية") + SUMIFS('المطالبات 2025'!$J:$J,'المطالبات 2025'!$E:$E,B481,'المطالبات 2025'!$I:$I,"مطالبة مرفوعة للمالية"))</f>
        <v/>
      </c>
      <c r="L481" t="str">
        <f>IF(B481="","",COUNTIFS('المطالبات 2026'!$E:$E,B481,'المطالبات 2026'!$I:$I,"مطالبة مرفوعة للمالية") + COUNTIFS('المطالبات 2025'!$E:$E,B481,'المطالبات 2025'!$I:$I,"مطالبة مرفوعة للمالية"))</f>
        <v/>
      </c>
      <c r="M481">
        <f t="shared" si="22"/>
        <v>0</v>
      </c>
      <c r="N481" t="str">
        <f>IF(B481="","",SUMIFS(DB_All!$N$2:$N$1000,DB_All!$G$2:$G$1000,B481,DB_All!$L$2:$L$1000,"تحت إجراءات التوريد"))</f>
        <v/>
      </c>
      <c r="O481" t="str">
        <f>IF(B481="","",COUNTIFS(DB_All!$G$2:$G$1000,B481,DB_All!$L$2:$L$1000,"تحت إجراءات التوريد"))</f>
        <v/>
      </c>
      <c r="P481" t="str">
        <f>IF(B481="","",SUMIFS(DB_All!$N$2:$N$1000,DB_All!$G$2:$G$1000,B481,DB_All!$L$2:$L$1000,"بانتظار سندات الاستلام \ شهادة الإنجاز"))</f>
        <v/>
      </c>
      <c r="Q481" t="str">
        <f>IF(B481="","",COUNTIFS(DB_All!$G$2:$G$1000,B481,DB_All!$L$2:$L$1000,"بانتظار سندات الاستلام \ شهادة الإنجاز"))</f>
        <v/>
      </c>
      <c r="R481" t="str">
        <f t="shared" si="23"/>
        <v/>
      </c>
    </row>
    <row r="482" spans="6:18" x14ac:dyDescent="0.3">
      <c r="F482" t="str">
        <f>IF(B482="","",SUMIFS(DB_All!$M$2:$M$1000,DB_All!$G$2:$G$1000,B482,DB_All!$L$2:$L$1000,"تحت إجراءات التعاقد"))</f>
        <v/>
      </c>
      <c r="G482" t="str">
        <f>IF(B482="","",COUNTIFS(DB_All!$G$2:$G$1000,B482,DB_All!$L$2:$L$1000,"تحت إجراءات التعاقد"))</f>
        <v/>
      </c>
      <c r="H482" t="str">
        <f>IF(B482="","",SUMIFS(DB_All!$N$2:$N$1000,DB_All!$G$2:$G$1000,B482,DB_All!$L$2:$L$1000,"تم التوقيع"))</f>
        <v/>
      </c>
      <c r="I482" t="str">
        <f>IF(B482="","",COUNTIFS(DB_All!$G$2:$G$1000,B482,DB_All!$L$2:$L$1000,"تم التوقيع"))</f>
        <v/>
      </c>
      <c r="J482">
        <f t="shared" si="21"/>
        <v>0</v>
      </c>
      <c r="K482" t="str">
        <f>IF(B482="","",SUMIFS('المطالبات 2026'!$J:$J,'المطالبات 2026'!$E:$E,B482,'المطالبات 2026'!$I:$I,"مطالبة مرفوعة للمالية") + SUMIFS('المطالبات 2025'!$J:$J,'المطالبات 2025'!$E:$E,B482,'المطالبات 2025'!$I:$I,"مطالبة مرفوعة للمالية"))</f>
        <v/>
      </c>
      <c r="L482" t="str">
        <f>IF(B482="","",COUNTIFS('المطالبات 2026'!$E:$E,B482,'المطالبات 2026'!$I:$I,"مطالبة مرفوعة للمالية") + COUNTIFS('المطالبات 2025'!$E:$E,B482,'المطالبات 2025'!$I:$I,"مطالبة مرفوعة للمالية"))</f>
        <v/>
      </c>
      <c r="M482">
        <f t="shared" si="22"/>
        <v>0</v>
      </c>
      <c r="N482" t="str">
        <f>IF(B482="","",SUMIFS(DB_All!$N$2:$N$1000,DB_All!$G$2:$G$1000,B482,DB_All!$L$2:$L$1000,"تحت إجراءات التوريد"))</f>
        <v/>
      </c>
      <c r="O482" t="str">
        <f>IF(B482="","",COUNTIFS(DB_All!$G$2:$G$1000,B482,DB_All!$L$2:$L$1000,"تحت إجراءات التوريد"))</f>
        <v/>
      </c>
      <c r="P482" t="str">
        <f>IF(B482="","",SUMIFS(DB_All!$N$2:$N$1000,DB_All!$G$2:$G$1000,B482,DB_All!$L$2:$L$1000,"بانتظار سندات الاستلام \ شهادة الإنجاز"))</f>
        <v/>
      </c>
      <c r="Q482" t="str">
        <f>IF(B482="","",COUNTIFS(DB_All!$G$2:$G$1000,B482,DB_All!$L$2:$L$1000,"بانتظار سندات الاستلام \ شهادة الإنجاز"))</f>
        <v/>
      </c>
      <c r="R482" t="str">
        <f t="shared" si="23"/>
        <v/>
      </c>
    </row>
    <row r="483" spans="6:18" x14ac:dyDescent="0.3">
      <c r="F483" t="str">
        <f>IF(B483="","",SUMIFS(DB_All!$M$2:$M$1000,DB_All!$G$2:$G$1000,B483,DB_All!$L$2:$L$1000,"تحت إجراءات التعاقد"))</f>
        <v/>
      </c>
      <c r="G483" t="str">
        <f>IF(B483="","",COUNTIFS(DB_All!$G$2:$G$1000,B483,DB_All!$L$2:$L$1000,"تحت إجراءات التعاقد"))</f>
        <v/>
      </c>
      <c r="H483" t="str">
        <f>IF(B483="","",SUMIFS(DB_All!$N$2:$N$1000,DB_All!$G$2:$G$1000,B483,DB_All!$L$2:$L$1000,"تم التوقيع"))</f>
        <v/>
      </c>
      <c r="I483" t="str">
        <f>IF(B483="","",COUNTIFS(DB_All!$G$2:$G$1000,B483,DB_All!$L$2:$L$1000,"تم التوقيع"))</f>
        <v/>
      </c>
      <c r="J483">
        <f t="shared" si="21"/>
        <v>0</v>
      </c>
      <c r="K483" t="str">
        <f>IF(B483="","",SUMIFS('المطالبات 2026'!$J:$J,'المطالبات 2026'!$E:$E,B483,'المطالبات 2026'!$I:$I,"مطالبة مرفوعة للمالية") + SUMIFS('المطالبات 2025'!$J:$J,'المطالبات 2025'!$E:$E,B483,'المطالبات 2025'!$I:$I,"مطالبة مرفوعة للمالية"))</f>
        <v/>
      </c>
      <c r="L483" t="str">
        <f>IF(B483="","",COUNTIFS('المطالبات 2026'!$E:$E,B483,'المطالبات 2026'!$I:$I,"مطالبة مرفوعة للمالية") + COUNTIFS('المطالبات 2025'!$E:$E,B483,'المطالبات 2025'!$I:$I,"مطالبة مرفوعة للمالية"))</f>
        <v/>
      </c>
      <c r="M483">
        <f t="shared" si="22"/>
        <v>0</v>
      </c>
      <c r="N483" t="str">
        <f>IF(B483="","",SUMIFS(DB_All!$N$2:$N$1000,DB_All!$G$2:$G$1000,B483,DB_All!$L$2:$L$1000,"تحت إجراءات التوريد"))</f>
        <v/>
      </c>
      <c r="O483" t="str">
        <f>IF(B483="","",COUNTIFS(DB_All!$G$2:$G$1000,B483,DB_All!$L$2:$L$1000,"تحت إجراءات التوريد"))</f>
        <v/>
      </c>
      <c r="P483" t="str">
        <f>IF(B483="","",SUMIFS(DB_All!$N$2:$N$1000,DB_All!$G$2:$G$1000,B483,DB_All!$L$2:$L$1000,"بانتظار سندات الاستلام \ شهادة الإنجاز"))</f>
        <v/>
      </c>
      <c r="Q483" t="str">
        <f>IF(B483="","",COUNTIFS(DB_All!$G$2:$G$1000,B483,DB_All!$L$2:$L$1000,"بانتظار سندات الاستلام \ شهادة الإنجاز"))</f>
        <v/>
      </c>
      <c r="R483" t="str">
        <f t="shared" si="23"/>
        <v/>
      </c>
    </row>
    <row r="484" spans="6:18" x14ac:dyDescent="0.3">
      <c r="F484" t="str">
        <f>IF(B484="","",SUMIFS(DB_All!$M$2:$M$1000,DB_All!$G$2:$G$1000,B484,DB_All!$L$2:$L$1000,"تحت إجراءات التعاقد"))</f>
        <v/>
      </c>
      <c r="G484" t="str">
        <f>IF(B484="","",COUNTIFS(DB_All!$G$2:$G$1000,B484,DB_All!$L$2:$L$1000,"تحت إجراءات التعاقد"))</f>
        <v/>
      </c>
      <c r="H484" t="str">
        <f>IF(B484="","",SUMIFS(DB_All!$N$2:$N$1000,DB_All!$G$2:$G$1000,B484,DB_All!$L$2:$L$1000,"تم التوقيع"))</f>
        <v/>
      </c>
      <c r="I484" t="str">
        <f>IF(B484="","",COUNTIFS(DB_All!$G$2:$G$1000,B484,DB_All!$L$2:$L$1000,"تم التوقيع"))</f>
        <v/>
      </c>
      <c r="J484">
        <f t="shared" si="21"/>
        <v>0</v>
      </c>
      <c r="K484" t="str">
        <f>IF(B484="","",SUMIFS('المطالبات 2026'!$J:$J,'المطالبات 2026'!$E:$E,B484,'المطالبات 2026'!$I:$I,"مطالبة مرفوعة للمالية") + SUMIFS('المطالبات 2025'!$J:$J,'المطالبات 2025'!$E:$E,B484,'المطالبات 2025'!$I:$I,"مطالبة مرفوعة للمالية"))</f>
        <v/>
      </c>
      <c r="L484" t="str">
        <f>IF(B484="","",COUNTIFS('المطالبات 2026'!$E:$E,B484,'المطالبات 2026'!$I:$I,"مطالبة مرفوعة للمالية") + COUNTIFS('المطالبات 2025'!$E:$E,B484,'المطالبات 2025'!$I:$I,"مطالبة مرفوعة للمالية"))</f>
        <v/>
      </c>
      <c r="M484">
        <f t="shared" si="22"/>
        <v>0</v>
      </c>
      <c r="N484" t="str">
        <f>IF(B484="","",SUMIFS(DB_All!$N$2:$N$1000,DB_All!$G$2:$G$1000,B484,DB_All!$L$2:$L$1000,"تحت إجراءات التوريد"))</f>
        <v/>
      </c>
      <c r="O484" t="str">
        <f>IF(B484="","",COUNTIFS(DB_All!$G$2:$G$1000,B484,DB_All!$L$2:$L$1000,"تحت إجراءات التوريد"))</f>
        <v/>
      </c>
      <c r="P484" t="str">
        <f>IF(B484="","",SUMIFS(DB_All!$N$2:$N$1000,DB_All!$G$2:$G$1000,B484,DB_All!$L$2:$L$1000,"بانتظار سندات الاستلام \ شهادة الإنجاز"))</f>
        <v/>
      </c>
      <c r="Q484" t="str">
        <f>IF(B484="","",COUNTIFS(DB_All!$G$2:$G$1000,B484,DB_All!$L$2:$L$1000,"بانتظار سندات الاستلام \ شهادة الإنجاز"))</f>
        <v/>
      </c>
      <c r="R484" t="str">
        <f t="shared" si="23"/>
        <v/>
      </c>
    </row>
    <row r="485" spans="6:18" x14ac:dyDescent="0.3">
      <c r="F485" t="str">
        <f>IF(B485="","",SUMIFS(DB_All!$M$2:$M$1000,DB_All!$G$2:$G$1000,B485,DB_All!$L$2:$L$1000,"تحت إجراءات التعاقد"))</f>
        <v/>
      </c>
      <c r="G485" t="str">
        <f>IF(B485="","",COUNTIFS(DB_All!$G$2:$G$1000,B485,DB_All!$L$2:$L$1000,"تحت إجراءات التعاقد"))</f>
        <v/>
      </c>
      <c r="H485" t="str">
        <f>IF(B485="","",SUMIFS(DB_All!$N$2:$N$1000,DB_All!$G$2:$G$1000,B485,DB_All!$L$2:$L$1000,"تم التوقيع"))</f>
        <v/>
      </c>
      <c r="I485" t="str">
        <f>IF(B485="","",COUNTIFS(DB_All!$G$2:$G$1000,B485,DB_All!$L$2:$L$1000,"تم التوقيع"))</f>
        <v/>
      </c>
      <c r="J485">
        <f t="shared" si="21"/>
        <v>0</v>
      </c>
      <c r="K485" t="str">
        <f>IF(B485="","",SUMIFS('المطالبات 2026'!$J:$J,'المطالبات 2026'!$E:$E,B485,'المطالبات 2026'!$I:$I,"مطالبة مرفوعة للمالية") + SUMIFS('المطالبات 2025'!$J:$J,'المطالبات 2025'!$E:$E,B485,'المطالبات 2025'!$I:$I,"مطالبة مرفوعة للمالية"))</f>
        <v/>
      </c>
      <c r="L485" t="str">
        <f>IF(B485="","",COUNTIFS('المطالبات 2026'!$E:$E,B485,'المطالبات 2026'!$I:$I,"مطالبة مرفوعة للمالية") + COUNTIFS('المطالبات 2025'!$E:$E,B485,'المطالبات 2025'!$I:$I,"مطالبة مرفوعة للمالية"))</f>
        <v/>
      </c>
      <c r="M485">
        <f t="shared" si="22"/>
        <v>0</v>
      </c>
      <c r="N485" t="str">
        <f>IF(B485="","",SUMIFS(DB_All!$N$2:$N$1000,DB_All!$G$2:$G$1000,B485,DB_All!$L$2:$L$1000,"تحت إجراءات التوريد"))</f>
        <v/>
      </c>
      <c r="O485" t="str">
        <f>IF(B485="","",COUNTIFS(DB_All!$G$2:$G$1000,B485,DB_All!$L$2:$L$1000,"تحت إجراءات التوريد"))</f>
        <v/>
      </c>
      <c r="P485" t="str">
        <f>IF(B485="","",SUMIFS(DB_All!$N$2:$N$1000,DB_All!$G$2:$G$1000,B485,DB_All!$L$2:$L$1000,"بانتظار سندات الاستلام \ شهادة الإنجاز"))</f>
        <v/>
      </c>
      <c r="Q485" t="str">
        <f>IF(B485="","",COUNTIFS(DB_All!$G$2:$G$1000,B485,DB_All!$L$2:$L$1000,"بانتظار سندات الاستلام \ شهادة الإنجاز"))</f>
        <v/>
      </c>
      <c r="R485" t="str">
        <f t="shared" si="23"/>
        <v/>
      </c>
    </row>
    <row r="486" spans="6:18" x14ac:dyDescent="0.3">
      <c r="F486" t="str">
        <f>IF(B486="","",SUMIFS(DB_All!$M$2:$M$1000,DB_All!$G$2:$G$1000,B486,DB_All!$L$2:$L$1000,"تحت إجراءات التعاقد"))</f>
        <v/>
      </c>
      <c r="G486" t="str">
        <f>IF(B486="","",COUNTIFS(DB_All!$G$2:$G$1000,B486,DB_All!$L$2:$L$1000,"تحت إجراءات التعاقد"))</f>
        <v/>
      </c>
      <c r="H486" t="str">
        <f>IF(B486="","",SUMIFS(DB_All!$N$2:$N$1000,DB_All!$G$2:$G$1000,B486,DB_All!$L$2:$L$1000,"تم التوقيع"))</f>
        <v/>
      </c>
      <c r="I486" t="str">
        <f>IF(B486="","",COUNTIFS(DB_All!$G$2:$G$1000,B486,DB_All!$L$2:$L$1000,"تم التوقيع"))</f>
        <v/>
      </c>
      <c r="J486">
        <f t="shared" si="21"/>
        <v>0</v>
      </c>
      <c r="K486" t="str">
        <f>IF(B486="","",SUMIFS('المطالبات 2026'!$J:$J,'المطالبات 2026'!$E:$E,B486,'المطالبات 2026'!$I:$I,"مطالبة مرفوعة للمالية") + SUMIFS('المطالبات 2025'!$J:$J,'المطالبات 2025'!$E:$E,B486,'المطالبات 2025'!$I:$I,"مطالبة مرفوعة للمالية"))</f>
        <v/>
      </c>
      <c r="L486" t="str">
        <f>IF(B486="","",COUNTIFS('المطالبات 2026'!$E:$E,B486,'المطالبات 2026'!$I:$I,"مطالبة مرفوعة للمالية") + COUNTIFS('المطالبات 2025'!$E:$E,B486,'المطالبات 2025'!$I:$I,"مطالبة مرفوعة للمالية"))</f>
        <v/>
      </c>
      <c r="M486">
        <f t="shared" si="22"/>
        <v>0</v>
      </c>
      <c r="N486" t="str">
        <f>IF(B486="","",SUMIFS(DB_All!$N$2:$N$1000,DB_All!$G$2:$G$1000,B486,DB_All!$L$2:$L$1000,"تحت إجراءات التوريد"))</f>
        <v/>
      </c>
      <c r="O486" t="str">
        <f>IF(B486="","",COUNTIFS(DB_All!$G$2:$G$1000,B486,DB_All!$L$2:$L$1000,"تحت إجراءات التوريد"))</f>
        <v/>
      </c>
      <c r="P486" t="str">
        <f>IF(B486="","",SUMIFS(DB_All!$N$2:$N$1000,DB_All!$G$2:$G$1000,B486,DB_All!$L$2:$L$1000,"بانتظار سندات الاستلام \ شهادة الإنجاز"))</f>
        <v/>
      </c>
      <c r="Q486" t="str">
        <f>IF(B486="","",COUNTIFS(DB_All!$G$2:$G$1000,B486,DB_All!$L$2:$L$1000,"بانتظار سندات الاستلام \ شهادة الإنجاز"))</f>
        <v/>
      </c>
      <c r="R486" t="str">
        <f t="shared" si="23"/>
        <v/>
      </c>
    </row>
    <row r="487" spans="6:18" x14ac:dyDescent="0.3">
      <c r="F487" t="str">
        <f>IF(B487="","",SUMIFS(DB_All!$M$2:$M$1000,DB_All!$G$2:$G$1000,B487,DB_All!$L$2:$L$1000,"تحت إجراءات التعاقد"))</f>
        <v/>
      </c>
      <c r="G487" t="str">
        <f>IF(B487="","",COUNTIFS(DB_All!$G$2:$G$1000,B487,DB_All!$L$2:$L$1000,"تحت إجراءات التعاقد"))</f>
        <v/>
      </c>
      <c r="H487" t="str">
        <f>IF(B487="","",SUMIFS(DB_All!$N$2:$N$1000,DB_All!$G$2:$G$1000,B487,DB_All!$L$2:$L$1000,"تم التوقيع"))</f>
        <v/>
      </c>
      <c r="I487" t="str">
        <f>IF(B487="","",COUNTIFS(DB_All!$G$2:$G$1000,B487,DB_All!$L$2:$L$1000,"تم التوقيع"))</f>
        <v/>
      </c>
      <c r="J487">
        <f t="shared" si="21"/>
        <v>0</v>
      </c>
      <c r="K487" t="str">
        <f>IF(B487="","",SUMIFS('المطالبات 2026'!$J:$J,'المطالبات 2026'!$E:$E,B487,'المطالبات 2026'!$I:$I,"مطالبة مرفوعة للمالية") + SUMIFS('المطالبات 2025'!$J:$J,'المطالبات 2025'!$E:$E,B487,'المطالبات 2025'!$I:$I,"مطالبة مرفوعة للمالية"))</f>
        <v/>
      </c>
      <c r="L487" t="str">
        <f>IF(B487="","",COUNTIFS('المطالبات 2026'!$E:$E,B487,'المطالبات 2026'!$I:$I,"مطالبة مرفوعة للمالية") + COUNTIFS('المطالبات 2025'!$E:$E,B487,'المطالبات 2025'!$I:$I,"مطالبة مرفوعة للمالية"))</f>
        <v/>
      </c>
      <c r="M487">
        <f t="shared" si="22"/>
        <v>0</v>
      </c>
      <c r="N487" t="str">
        <f>IF(B487="","",SUMIFS(DB_All!$N$2:$N$1000,DB_All!$G$2:$G$1000,B487,DB_All!$L$2:$L$1000,"تحت إجراءات التوريد"))</f>
        <v/>
      </c>
      <c r="O487" t="str">
        <f>IF(B487="","",COUNTIFS(DB_All!$G$2:$G$1000,B487,DB_All!$L$2:$L$1000,"تحت إجراءات التوريد"))</f>
        <v/>
      </c>
      <c r="P487" t="str">
        <f>IF(B487="","",SUMIFS(DB_All!$N$2:$N$1000,DB_All!$G$2:$G$1000,B487,DB_All!$L$2:$L$1000,"بانتظار سندات الاستلام \ شهادة الإنجاز"))</f>
        <v/>
      </c>
      <c r="Q487" t="str">
        <f>IF(B487="","",COUNTIFS(DB_All!$G$2:$G$1000,B487,DB_All!$L$2:$L$1000,"بانتظار سندات الاستلام \ شهادة الإنجاز"))</f>
        <v/>
      </c>
      <c r="R487" t="str">
        <f t="shared" si="23"/>
        <v/>
      </c>
    </row>
    <row r="488" spans="6:18" x14ac:dyDescent="0.3">
      <c r="F488" t="str">
        <f>IF(B488="","",SUMIFS(DB_All!$M$2:$M$1000,DB_All!$G$2:$G$1000,B488,DB_All!$L$2:$L$1000,"تحت إجراءات التعاقد"))</f>
        <v/>
      </c>
      <c r="G488" t="str">
        <f>IF(B488="","",COUNTIFS(DB_All!$G$2:$G$1000,B488,DB_All!$L$2:$L$1000,"تحت إجراءات التعاقد"))</f>
        <v/>
      </c>
      <c r="H488" t="str">
        <f>IF(B488="","",SUMIFS(DB_All!$N$2:$N$1000,DB_All!$G$2:$G$1000,B488,DB_All!$L$2:$L$1000,"تم التوقيع"))</f>
        <v/>
      </c>
      <c r="I488" t="str">
        <f>IF(B488="","",COUNTIFS(DB_All!$G$2:$G$1000,B488,DB_All!$L$2:$L$1000,"تم التوقيع"))</f>
        <v/>
      </c>
      <c r="J488">
        <f t="shared" si="21"/>
        <v>0</v>
      </c>
      <c r="K488" t="str">
        <f>IF(B488="","",SUMIFS('المطالبات 2026'!$J:$J,'المطالبات 2026'!$E:$E,B488,'المطالبات 2026'!$I:$I,"مطالبة مرفوعة للمالية") + SUMIFS('المطالبات 2025'!$J:$J,'المطالبات 2025'!$E:$E,B488,'المطالبات 2025'!$I:$I,"مطالبة مرفوعة للمالية"))</f>
        <v/>
      </c>
      <c r="L488" t="str">
        <f>IF(B488="","",COUNTIFS('المطالبات 2026'!$E:$E,B488,'المطالبات 2026'!$I:$I,"مطالبة مرفوعة للمالية") + COUNTIFS('المطالبات 2025'!$E:$E,B488,'المطالبات 2025'!$I:$I,"مطالبة مرفوعة للمالية"))</f>
        <v/>
      </c>
      <c r="M488">
        <f t="shared" si="22"/>
        <v>0</v>
      </c>
      <c r="N488" t="str">
        <f>IF(B488="","",SUMIFS(DB_All!$N$2:$N$1000,DB_All!$G$2:$G$1000,B488,DB_All!$L$2:$L$1000,"تحت إجراءات التوريد"))</f>
        <v/>
      </c>
      <c r="O488" t="str">
        <f>IF(B488="","",COUNTIFS(DB_All!$G$2:$G$1000,B488,DB_All!$L$2:$L$1000,"تحت إجراءات التوريد"))</f>
        <v/>
      </c>
      <c r="P488" t="str">
        <f>IF(B488="","",SUMIFS(DB_All!$N$2:$N$1000,DB_All!$G$2:$G$1000,B488,DB_All!$L$2:$L$1000,"بانتظار سندات الاستلام \ شهادة الإنجاز"))</f>
        <v/>
      </c>
      <c r="Q488" t="str">
        <f>IF(B488="","",COUNTIFS(DB_All!$G$2:$G$1000,B488,DB_All!$L$2:$L$1000,"بانتظار سندات الاستلام \ شهادة الإنجاز"))</f>
        <v/>
      </c>
      <c r="R488" t="str">
        <f t="shared" si="23"/>
        <v/>
      </c>
    </row>
    <row r="489" spans="6:18" x14ac:dyDescent="0.3">
      <c r="F489" t="str">
        <f>IF(B489="","",SUMIFS(DB_All!$M$2:$M$1000,DB_All!$G$2:$G$1000,B489,DB_All!$L$2:$L$1000,"تحت إجراءات التعاقد"))</f>
        <v/>
      </c>
      <c r="G489" t="str">
        <f>IF(B489="","",COUNTIFS(DB_All!$G$2:$G$1000,B489,DB_All!$L$2:$L$1000,"تحت إجراءات التعاقد"))</f>
        <v/>
      </c>
      <c r="H489" t="str">
        <f>IF(B489="","",SUMIFS(DB_All!$N$2:$N$1000,DB_All!$G$2:$G$1000,B489,DB_All!$L$2:$L$1000,"تم التوقيع"))</f>
        <v/>
      </c>
      <c r="I489" t="str">
        <f>IF(B489="","",COUNTIFS(DB_All!$G$2:$G$1000,B489,DB_All!$L$2:$L$1000,"تم التوقيع"))</f>
        <v/>
      </c>
      <c r="J489">
        <f t="shared" si="21"/>
        <v>0</v>
      </c>
      <c r="K489" t="str">
        <f>IF(B489="","",SUMIFS('المطالبات 2026'!$J:$J,'المطالبات 2026'!$E:$E,B489,'المطالبات 2026'!$I:$I,"مطالبة مرفوعة للمالية") + SUMIFS('المطالبات 2025'!$J:$J,'المطالبات 2025'!$E:$E,B489,'المطالبات 2025'!$I:$I,"مطالبة مرفوعة للمالية"))</f>
        <v/>
      </c>
      <c r="L489" t="str">
        <f>IF(B489="","",COUNTIFS('المطالبات 2026'!$E:$E,B489,'المطالبات 2026'!$I:$I,"مطالبة مرفوعة للمالية") + COUNTIFS('المطالبات 2025'!$E:$E,B489,'المطالبات 2025'!$I:$I,"مطالبة مرفوعة للمالية"))</f>
        <v/>
      </c>
      <c r="M489">
        <f t="shared" si="22"/>
        <v>0</v>
      </c>
      <c r="N489" t="str">
        <f>IF(B489="","",SUMIFS(DB_All!$N$2:$N$1000,DB_All!$G$2:$G$1000,B489,DB_All!$L$2:$L$1000,"تحت إجراءات التوريد"))</f>
        <v/>
      </c>
      <c r="O489" t="str">
        <f>IF(B489="","",COUNTIFS(DB_All!$G$2:$G$1000,B489,DB_All!$L$2:$L$1000,"تحت إجراءات التوريد"))</f>
        <v/>
      </c>
      <c r="P489" t="str">
        <f>IF(B489="","",SUMIFS(DB_All!$N$2:$N$1000,DB_All!$G$2:$G$1000,B489,DB_All!$L$2:$L$1000,"بانتظار سندات الاستلام \ شهادة الإنجاز"))</f>
        <v/>
      </c>
      <c r="Q489" t="str">
        <f>IF(B489="","",COUNTIFS(DB_All!$G$2:$G$1000,B489,DB_All!$L$2:$L$1000,"بانتظار سندات الاستلام \ شهادة الإنجاز"))</f>
        <v/>
      </c>
      <c r="R489" t="str">
        <f t="shared" si="23"/>
        <v/>
      </c>
    </row>
    <row r="490" spans="6:18" x14ac:dyDescent="0.3">
      <c r="F490" t="str">
        <f>IF(B490="","",SUMIFS(DB_All!$M$2:$M$1000,DB_All!$G$2:$G$1000,B490,DB_All!$L$2:$L$1000,"تحت إجراءات التعاقد"))</f>
        <v/>
      </c>
      <c r="G490" t="str">
        <f>IF(B490="","",COUNTIFS(DB_All!$G$2:$G$1000,B490,DB_All!$L$2:$L$1000,"تحت إجراءات التعاقد"))</f>
        <v/>
      </c>
      <c r="H490" t="str">
        <f>IF(B490="","",SUMIFS(DB_All!$N$2:$N$1000,DB_All!$G$2:$G$1000,B490,DB_All!$L$2:$L$1000,"تم التوقيع"))</f>
        <v/>
      </c>
      <c r="I490" t="str">
        <f>IF(B490="","",COUNTIFS(DB_All!$G$2:$G$1000,B490,DB_All!$L$2:$L$1000,"تم التوقيع"))</f>
        <v/>
      </c>
      <c r="J490">
        <f t="shared" si="21"/>
        <v>0</v>
      </c>
      <c r="K490" t="str">
        <f>IF(B490="","",SUMIFS('المطالبات 2026'!$J:$J,'المطالبات 2026'!$E:$E,B490,'المطالبات 2026'!$I:$I,"مطالبة مرفوعة للمالية") + SUMIFS('المطالبات 2025'!$J:$J,'المطالبات 2025'!$E:$E,B490,'المطالبات 2025'!$I:$I,"مطالبة مرفوعة للمالية"))</f>
        <v/>
      </c>
      <c r="L490" t="str">
        <f>IF(B490="","",COUNTIFS('المطالبات 2026'!$E:$E,B490,'المطالبات 2026'!$I:$I,"مطالبة مرفوعة للمالية") + COUNTIFS('المطالبات 2025'!$E:$E,B490,'المطالبات 2025'!$I:$I,"مطالبة مرفوعة للمالية"))</f>
        <v/>
      </c>
      <c r="M490">
        <f t="shared" si="22"/>
        <v>0</v>
      </c>
      <c r="N490" t="str">
        <f>IF(B490="","",SUMIFS(DB_All!$N$2:$N$1000,DB_All!$G$2:$G$1000,B490,DB_All!$L$2:$L$1000,"تحت إجراءات التوريد"))</f>
        <v/>
      </c>
      <c r="O490" t="str">
        <f>IF(B490="","",COUNTIFS(DB_All!$G$2:$G$1000,B490,DB_All!$L$2:$L$1000,"تحت إجراءات التوريد"))</f>
        <v/>
      </c>
      <c r="P490" t="str">
        <f>IF(B490="","",SUMIFS(DB_All!$N$2:$N$1000,DB_All!$G$2:$G$1000,B490,DB_All!$L$2:$L$1000,"بانتظار سندات الاستلام \ شهادة الإنجاز"))</f>
        <v/>
      </c>
      <c r="Q490" t="str">
        <f>IF(B490="","",COUNTIFS(DB_All!$G$2:$G$1000,B490,DB_All!$L$2:$L$1000,"بانتظار سندات الاستلام \ شهادة الإنجاز"))</f>
        <v/>
      </c>
      <c r="R490" t="str">
        <f t="shared" si="23"/>
        <v/>
      </c>
    </row>
    <row r="491" spans="6:18" x14ac:dyDescent="0.3">
      <c r="F491" t="str">
        <f>IF(B491="","",SUMIFS(DB_All!$M$2:$M$1000,DB_All!$G$2:$G$1000,B491,DB_All!$L$2:$L$1000,"تحت إجراءات التعاقد"))</f>
        <v/>
      </c>
      <c r="G491" t="str">
        <f>IF(B491="","",COUNTIFS(DB_All!$G$2:$G$1000,B491,DB_All!$L$2:$L$1000,"تحت إجراءات التعاقد"))</f>
        <v/>
      </c>
      <c r="H491" t="str">
        <f>IF(B491="","",SUMIFS(DB_All!$N$2:$N$1000,DB_All!$G$2:$G$1000,B491,DB_All!$L$2:$L$1000,"تم التوقيع"))</f>
        <v/>
      </c>
      <c r="I491" t="str">
        <f>IF(B491="","",COUNTIFS(DB_All!$G$2:$G$1000,B491,DB_All!$L$2:$L$1000,"تم التوقيع"))</f>
        <v/>
      </c>
      <c r="J491">
        <f t="shared" si="21"/>
        <v>0</v>
      </c>
      <c r="K491" t="str">
        <f>IF(B491="","",SUMIFS('المطالبات 2026'!$J:$J,'المطالبات 2026'!$E:$E,B491,'المطالبات 2026'!$I:$I,"مطالبة مرفوعة للمالية") + SUMIFS('المطالبات 2025'!$J:$J,'المطالبات 2025'!$E:$E,B491,'المطالبات 2025'!$I:$I,"مطالبة مرفوعة للمالية"))</f>
        <v/>
      </c>
      <c r="L491" t="str">
        <f>IF(B491="","",COUNTIFS('المطالبات 2026'!$E:$E,B491,'المطالبات 2026'!$I:$I,"مطالبة مرفوعة للمالية") + COUNTIFS('المطالبات 2025'!$E:$E,B491,'المطالبات 2025'!$I:$I,"مطالبة مرفوعة للمالية"))</f>
        <v/>
      </c>
      <c r="M491">
        <f t="shared" si="22"/>
        <v>0</v>
      </c>
      <c r="N491" t="str">
        <f>IF(B491="","",SUMIFS(DB_All!$N$2:$N$1000,DB_All!$G$2:$G$1000,B491,DB_All!$L$2:$L$1000,"تحت إجراءات التوريد"))</f>
        <v/>
      </c>
      <c r="O491" t="str">
        <f>IF(B491="","",COUNTIFS(DB_All!$G$2:$G$1000,B491,DB_All!$L$2:$L$1000,"تحت إجراءات التوريد"))</f>
        <v/>
      </c>
      <c r="P491" t="str">
        <f>IF(B491="","",SUMIFS(DB_All!$N$2:$N$1000,DB_All!$G$2:$G$1000,B491,DB_All!$L$2:$L$1000,"بانتظار سندات الاستلام \ شهادة الإنجاز"))</f>
        <v/>
      </c>
      <c r="Q491" t="str">
        <f>IF(B491="","",COUNTIFS(DB_All!$G$2:$G$1000,B491,DB_All!$L$2:$L$1000,"بانتظار سندات الاستلام \ شهادة الإنجاز"))</f>
        <v/>
      </c>
      <c r="R491" t="str">
        <f t="shared" si="23"/>
        <v/>
      </c>
    </row>
    <row r="492" spans="6:18" x14ac:dyDescent="0.3">
      <c r="F492" t="str">
        <f>IF(B492="","",SUMIFS(DB_All!$M$2:$M$1000,DB_All!$G$2:$G$1000,B492,DB_All!$L$2:$L$1000,"تحت إجراءات التعاقد"))</f>
        <v/>
      </c>
      <c r="G492" t="str">
        <f>IF(B492="","",COUNTIFS(DB_All!$G$2:$G$1000,B492,DB_All!$L$2:$L$1000,"تحت إجراءات التعاقد"))</f>
        <v/>
      </c>
      <c r="H492" t="str">
        <f>IF(B492="","",SUMIFS(DB_All!$N$2:$N$1000,DB_All!$G$2:$G$1000,B492,DB_All!$L$2:$L$1000,"تم التوقيع"))</f>
        <v/>
      </c>
      <c r="I492" t="str">
        <f>IF(B492="","",COUNTIFS(DB_All!$G$2:$G$1000,B492,DB_All!$L$2:$L$1000,"تم التوقيع"))</f>
        <v/>
      </c>
      <c r="J492">
        <f t="shared" si="21"/>
        <v>0</v>
      </c>
      <c r="K492" t="str">
        <f>IF(B492="","",SUMIFS('المطالبات 2026'!$J:$J,'المطالبات 2026'!$E:$E,B492,'المطالبات 2026'!$I:$I,"مطالبة مرفوعة للمالية") + SUMIFS('المطالبات 2025'!$J:$J,'المطالبات 2025'!$E:$E,B492,'المطالبات 2025'!$I:$I,"مطالبة مرفوعة للمالية"))</f>
        <v/>
      </c>
      <c r="L492" t="str">
        <f>IF(B492="","",COUNTIFS('المطالبات 2026'!$E:$E,B492,'المطالبات 2026'!$I:$I,"مطالبة مرفوعة للمالية") + COUNTIFS('المطالبات 2025'!$E:$E,B492,'المطالبات 2025'!$I:$I,"مطالبة مرفوعة للمالية"))</f>
        <v/>
      </c>
      <c r="M492">
        <f t="shared" si="22"/>
        <v>0</v>
      </c>
      <c r="N492" t="str">
        <f>IF(B492="","",SUMIFS(DB_All!$N$2:$N$1000,DB_All!$G$2:$G$1000,B492,DB_All!$L$2:$L$1000,"تحت إجراءات التوريد"))</f>
        <v/>
      </c>
      <c r="O492" t="str">
        <f>IF(B492="","",COUNTIFS(DB_All!$G$2:$G$1000,B492,DB_All!$L$2:$L$1000,"تحت إجراءات التوريد"))</f>
        <v/>
      </c>
      <c r="P492" t="str">
        <f>IF(B492="","",SUMIFS(DB_All!$N$2:$N$1000,DB_All!$G$2:$G$1000,B492,DB_All!$L$2:$L$1000,"بانتظار سندات الاستلام \ شهادة الإنجاز"))</f>
        <v/>
      </c>
      <c r="Q492" t="str">
        <f>IF(B492="","",COUNTIFS(DB_All!$G$2:$G$1000,B492,DB_All!$L$2:$L$1000,"بانتظار سندات الاستلام \ شهادة الإنجاز"))</f>
        <v/>
      </c>
      <c r="R492" t="str">
        <f t="shared" si="23"/>
        <v/>
      </c>
    </row>
    <row r="493" spans="6:18" x14ac:dyDescent="0.3">
      <c r="F493" t="str">
        <f>IF(B493="","",SUMIFS(DB_All!$M$2:$M$1000,DB_All!$G$2:$G$1000,B493,DB_All!$L$2:$L$1000,"تحت إجراءات التعاقد"))</f>
        <v/>
      </c>
      <c r="G493" t="str">
        <f>IF(B493="","",COUNTIFS(DB_All!$G$2:$G$1000,B493,DB_All!$L$2:$L$1000,"تحت إجراءات التعاقد"))</f>
        <v/>
      </c>
      <c r="H493" t="str">
        <f>IF(B493="","",SUMIFS(DB_All!$N$2:$N$1000,DB_All!$G$2:$G$1000,B493,DB_All!$L$2:$L$1000,"تم التوقيع"))</f>
        <v/>
      </c>
      <c r="I493" t="str">
        <f>IF(B493="","",COUNTIFS(DB_All!$G$2:$G$1000,B493,DB_All!$L$2:$L$1000,"تم التوقيع"))</f>
        <v/>
      </c>
      <c r="J493">
        <f t="shared" si="21"/>
        <v>0</v>
      </c>
      <c r="K493" t="str">
        <f>IF(B493="","",SUMIFS('المطالبات 2026'!$J:$J,'المطالبات 2026'!$E:$E,B493,'المطالبات 2026'!$I:$I,"مطالبة مرفوعة للمالية") + SUMIFS('المطالبات 2025'!$J:$J,'المطالبات 2025'!$E:$E,B493,'المطالبات 2025'!$I:$I,"مطالبة مرفوعة للمالية"))</f>
        <v/>
      </c>
      <c r="L493" t="str">
        <f>IF(B493="","",COUNTIFS('المطالبات 2026'!$E:$E,B493,'المطالبات 2026'!$I:$I,"مطالبة مرفوعة للمالية") + COUNTIFS('المطالبات 2025'!$E:$E,B493,'المطالبات 2025'!$I:$I,"مطالبة مرفوعة للمالية"))</f>
        <v/>
      </c>
      <c r="M493">
        <f t="shared" si="22"/>
        <v>0</v>
      </c>
      <c r="N493" t="str">
        <f>IF(B493="","",SUMIFS(DB_All!$N$2:$N$1000,DB_All!$G$2:$G$1000,B493,DB_All!$L$2:$L$1000,"تحت إجراءات التوريد"))</f>
        <v/>
      </c>
      <c r="O493" t="str">
        <f>IF(B493="","",COUNTIFS(DB_All!$G$2:$G$1000,B493,DB_All!$L$2:$L$1000,"تحت إجراءات التوريد"))</f>
        <v/>
      </c>
      <c r="P493" t="str">
        <f>IF(B493="","",SUMIFS(DB_All!$N$2:$N$1000,DB_All!$G$2:$G$1000,B493,DB_All!$L$2:$L$1000,"بانتظار سندات الاستلام \ شهادة الإنجاز"))</f>
        <v/>
      </c>
      <c r="Q493" t="str">
        <f>IF(B493="","",COUNTIFS(DB_All!$G$2:$G$1000,B493,DB_All!$L$2:$L$1000,"بانتظار سندات الاستلام \ شهادة الإنجاز"))</f>
        <v/>
      </c>
      <c r="R493" t="str">
        <f t="shared" si="23"/>
        <v/>
      </c>
    </row>
    <row r="494" spans="6:18" x14ac:dyDescent="0.3">
      <c r="F494" t="str">
        <f>IF(B494="","",SUMIFS(DB_All!$M$2:$M$1000,DB_All!$G$2:$G$1000,B494,DB_All!$L$2:$L$1000,"تحت إجراءات التعاقد"))</f>
        <v/>
      </c>
      <c r="G494" t="str">
        <f>IF(B494="","",COUNTIFS(DB_All!$G$2:$G$1000,B494,DB_All!$L$2:$L$1000,"تحت إجراءات التعاقد"))</f>
        <v/>
      </c>
      <c r="H494" t="str">
        <f>IF(B494="","",SUMIFS(DB_All!$N$2:$N$1000,DB_All!$G$2:$G$1000,B494,DB_All!$L$2:$L$1000,"تم التوقيع"))</f>
        <v/>
      </c>
      <c r="I494" t="str">
        <f>IF(B494="","",COUNTIFS(DB_All!$G$2:$G$1000,B494,DB_All!$L$2:$L$1000,"تم التوقيع"))</f>
        <v/>
      </c>
      <c r="J494">
        <f t="shared" si="21"/>
        <v>0</v>
      </c>
      <c r="K494" t="str">
        <f>IF(B494="","",SUMIFS('المطالبات 2026'!$J:$J,'المطالبات 2026'!$E:$E,B494,'المطالبات 2026'!$I:$I,"مطالبة مرفوعة للمالية") + SUMIFS('المطالبات 2025'!$J:$J,'المطالبات 2025'!$E:$E,B494,'المطالبات 2025'!$I:$I,"مطالبة مرفوعة للمالية"))</f>
        <v/>
      </c>
      <c r="L494" t="str">
        <f>IF(B494="","",COUNTIFS('المطالبات 2026'!$E:$E,B494,'المطالبات 2026'!$I:$I,"مطالبة مرفوعة للمالية") + COUNTIFS('المطالبات 2025'!$E:$E,B494,'المطالبات 2025'!$I:$I,"مطالبة مرفوعة للمالية"))</f>
        <v/>
      </c>
      <c r="M494">
        <f t="shared" si="22"/>
        <v>0</v>
      </c>
      <c r="N494" t="str">
        <f>IF(B494="","",SUMIFS(DB_All!$N$2:$N$1000,DB_All!$G$2:$G$1000,B494,DB_All!$L$2:$L$1000,"تحت إجراءات التوريد"))</f>
        <v/>
      </c>
      <c r="O494" t="str">
        <f>IF(B494="","",COUNTIFS(DB_All!$G$2:$G$1000,B494,DB_All!$L$2:$L$1000,"تحت إجراءات التوريد"))</f>
        <v/>
      </c>
      <c r="P494" t="str">
        <f>IF(B494="","",SUMIFS(DB_All!$N$2:$N$1000,DB_All!$G$2:$G$1000,B494,DB_All!$L$2:$L$1000,"بانتظار سندات الاستلام \ شهادة الإنجاز"))</f>
        <v/>
      </c>
      <c r="Q494" t="str">
        <f>IF(B494="","",COUNTIFS(DB_All!$G$2:$G$1000,B494,DB_All!$L$2:$L$1000,"بانتظار سندات الاستلام \ شهادة الإنجاز"))</f>
        <v/>
      </c>
      <c r="R494" t="str">
        <f t="shared" si="23"/>
        <v/>
      </c>
    </row>
    <row r="495" spans="6:18" x14ac:dyDescent="0.3">
      <c r="F495" t="str">
        <f>IF(B495="","",SUMIFS(DB_All!$M$2:$M$1000,DB_All!$G$2:$G$1000,B495,DB_All!$L$2:$L$1000,"تحت إجراءات التعاقد"))</f>
        <v/>
      </c>
      <c r="G495" t="str">
        <f>IF(B495="","",COUNTIFS(DB_All!$G$2:$G$1000,B495,DB_All!$L$2:$L$1000,"تحت إجراءات التعاقد"))</f>
        <v/>
      </c>
      <c r="H495" t="str">
        <f>IF(B495="","",SUMIFS(DB_All!$N$2:$N$1000,DB_All!$G$2:$G$1000,B495,DB_All!$L$2:$L$1000,"تم التوقيع"))</f>
        <v/>
      </c>
      <c r="I495" t="str">
        <f>IF(B495="","",COUNTIFS(DB_All!$G$2:$G$1000,B495,DB_All!$L$2:$L$1000,"تم التوقيع"))</f>
        <v/>
      </c>
      <c r="J495">
        <f t="shared" si="21"/>
        <v>0</v>
      </c>
      <c r="K495" t="str">
        <f>IF(B495="","",SUMIFS('المطالبات 2026'!$J:$J,'المطالبات 2026'!$E:$E,B495,'المطالبات 2026'!$I:$I,"مطالبة مرفوعة للمالية") + SUMIFS('المطالبات 2025'!$J:$J,'المطالبات 2025'!$E:$E,B495,'المطالبات 2025'!$I:$I,"مطالبة مرفوعة للمالية"))</f>
        <v/>
      </c>
      <c r="L495" t="str">
        <f>IF(B495="","",COUNTIFS('المطالبات 2026'!$E:$E,B495,'المطالبات 2026'!$I:$I,"مطالبة مرفوعة للمالية") + COUNTIFS('المطالبات 2025'!$E:$E,B495,'المطالبات 2025'!$I:$I,"مطالبة مرفوعة للمالية"))</f>
        <v/>
      </c>
      <c r="M495">
        <f t="shared" si="22"/>
        <v>0</v>
      </c>
      <c r="N495" t="str">
        <f>IF(B495="","",SUMIFS(DB_All!$N$2:$N$1000,DB_All!$G$2:$G$1000,B495,DB_All!$L$2:$L$1000,"تحت إجراءات التوريد"))</f>
        <v/>
      </c>
      <c r="O495" t="str">
        <f>IF(B495="","",COUNTIFS(DB_All!$G$2:$G$1000,B495,DB_All!$L$2:$L$1000,"تحت إجراءات التوريد"))</f>
        <v/>
      </c>
      <c r="P495" t="str">
        <f>IF(B495="","",SUMIFS(DB_All!$N$2:$N$1000,DB_All!$G$2:$G$1000,B495,DB_All!$L$2:$L$1000,"بانتظار سندات الاستلام \ شهادة الإنجاز"))</f>
        <v/>
      </c>
      <c r="Q495" t="str">
        <f>IF(B495="","",COUNTIFS(DB_All!$G$2:$G$1000,B495,DB_All!$L$2:$L$1000,"بانتظار سندات الاستلام \ شهادة الإنجاز"))</f>
        <v/>
      </c>
      <c r="R495" t="str">
        <f t="shared" si="23"/>
        <v/>
      </c>
    </row>
    <row r="496" spans="6:18" x14ac:dyDescent="0.3">
      <c r="F496" t="str">
        <f>IF(B496="","",SUMIFS(DB_All!$M$2:$M$1000,DB_All!$G$2:$G$1000,B496,DB_All!$L$2:$L$1000,"تحت إجراءات التعاقد"))</f>
        <v/>
      </c>
      <c r="G496" t="str">
        <f>IF(B496="","",COUNTIFS(DB_All!$G$2:$G$1000,B496,DB_All!$L$2:$L$1000,"تحت إجراءات التعاقد"))</f>
        <v/>
      </c>
      <c r="H496" t="str">
        <f>IF(B496="","",SUMIFS(DB_All!$N$2:$N$1000,DB_All!$G$2:$G$1000,B496,DB_All!$L$2:$L$1000,"تم التوقيع"))</f>
        <v/>
      </c>
      <c r="I496" t="str">
        <f>IF(B496="","",COUNTIFS(DB_All!$G$2:$G$1000,B496,DB_All!$L$2:$L$1000,"تم التوقيع"))</f>
        <v/>
      </c>
      <c r="J496">
        <f t="shared" si="21"/>
        <v>0</v>
      </c>
      <c r="K496" t="str">
        <f>IF(B496="","",SUMIFS('المطالبات 2026'!$J:$J,'المطالبات 2026'!$E:$E,B496,'المطالبات 2026'!$I:$I,"مطالبة مرفوعة للمالية") + SUMIFS('المطالبات 2025'!$J:$J,'المطالبات 2025'!$E:$E,B496,'المطالبات 2025'!$I:$I,"مطالبة مرفوعة للمالية"))</f>
        <v/>
      </c>
      <c r="L496" t="str">
        <f>IF(B496="","",COUNTIFS('المطالبات 2026'!$E:$E,B496,'المطالبات 2026'!$I:$I,"مطالبة مرفوعة للمالية") + COUNTIFS('المطالبات 2025'!$E:$E,B496,'المطالبات 2025'!$I:$I,"مطالبة مرفوعة للمالية"))</f>
        <v/>
      </c>
      <c r="M496">
        <f t="shared" si="22"/>
        <v>0</v>
      </c>
      <c r="N496" t="str">
        <f>IF(B496="","",SUMIFS(DB_All!$N$2:$N$1000,DB_All!$G$2:$G$1000,B496,DB_All!$L$2:$L$1000,"تحت إجراءات التوريد"))</f>
        <v/>
      </c>
      <c r="O496" t="str">
        <f>IF(B496="","",COUNTIFS(DB_All!$G$2:$G$1000,B496,DB_All!$L$2:$L$1000,"تحت إجراءات التوريد"))</f>
        <v/>
      </c>
      <c r="P496" t="str">
        <f>IF(B496="","",SUMIFS(DB_All!$N$2:$N$1000,DB_All!$G$2:$G$1000,B496,DB_All!$L$2:$L$1000,"بانتظار سندات الاستلام \ شهادة الإنجاز"))</f>
        <v/>
      </c>
      <c r="Q496" t="str">
        <f>IF(B496="","",COUNTIFS(DB_All!$G$2:$G$1000,B496,DB_All!$L$2:$L$1000,"بانتظار سندات الاستلام \ شهادة الإنجاز"))</f>
        <v/>
      </c>
      <c r="R496" t="str">
        <f t="shared" si="23"/>
        <v/>
      </c>
    </row>
    <row r="497" spans="6:18" x14ac:dyDescent="0.3">
      <c r="F497" t="str">
        <f>IF(B497="","",SUMIFS(DB_All!$M$2:$M$1000,DB_All!$G$2:$G$1000,B497,DB_All!$L$2:$L$1000,"تحت إجراءات التعاقد"))</f>
        <v/>
      </c>
      <c r="G497" t="str">
        <f>IF(B497="","",COUNTIFS(DB_All!$G$2:$G$1000,B497,DB_All!$L$2:$L$1000,"تحت إجراءات التعاقد"))</f>
        <v/>
      </c>
      <c r="H497" t="str">
        <f>IF(B497="","",SUMIFS(DB_All!$N$2:$N$1000,DB_All!$G$2:$G$1000,B497,DB_All!$L$2:$L$1000,"تم التوقيع"))</f>
        <v/>
      </c>
      <c r="I497" t="str">
        <f>IF(B497="","",COUNTIFS(DB_All!$G$2:$G$1000,B497,DB_All!$L$2:$L$1000,"تم التوقيع"))</f>
        <v/>
      </c>
      <c r="J497">
        <f t="shared" si="21"/>
        <v>0</v>
      </c>
      <c r="K497" t="str">
        <f>IF(B497="","",SUMIFS('المطالبات 2026'!$J:$J,'المطالبات 2026'!$E:$E,B497,'المطالبات 2026'!$I:$I,"مطالبة مرفوعة للمالية") + SUMIFS('المطالبات 2025'!$J:$J,'المطالبات 2025'!$E:$E,B497,'المطالبات 2025'!$I:$I,"مطالبة مرفوعة للمالية"))</f>
        <v/>
      </c>
      <c r="L497" t="str">
        <f>IF(B497="","",COUNTIFS('المطالبات 2026'!$E:$E,B497,'المطالبات 2026'!$I:$I,"مطالبة مرفوعة للمالية") + COUNTIFS('المطالبات 2025'!$E:$E,B497,'المطالبات 2025'!$I:$I,"مطالبة مرفوعة للمالية"))</f>
        <v/>
      </c>
      <c r="M497">
        <f t="shared" si="22"/>
        <v>0</v>
      </c>
      <c r="N497" t="str">
        <f>IF(B497="","",SUMIFS(DB_All!$N$2:$N$1000,DB_All!$G$2:$G$1000,B497,DB_All!$L$2:$L$1000,"تحت إجراءات التوريد"))</f>
        <v/>
      </c>
      <c r="O497" t="str">
        <f>IF(B497="","",COUNTIFS(DB_All!$G$2:$G$1000,B497,DB_All!$L$2:$L$1000,"تحت إجراءات التوريد"))</f>
        <v/>
      </c>
      <c r="P497" t="str">
        <f>IF(B497="","",SUMIFS(DB_All!$N$2:$N$1000,DB_All!$G$2:$G$1000,B497,DB_All!$L$2:$L$1000,"بانتظار سندات الاستلام \ شهادة الإنجاز"))</f>
        <v/>
      </c>
      <c r="Q497" t="str">
        <f>IF(B497="","",COUNTIFS(DB_All!$G$2:$G$1000,B497,DB_All!$L$2:$L$1000,"بانتظار سندات الاستلام \ شهادة الإنجاز"))</f>
        <v/>
      </c>
      <c r="R497" t="str">
        <f t="shared" si="23"/>
        <v/>
      </c>
    </row>
    <row r="498" spans="6:18" x14ac:dyDescent="0.3">
      <c r="F498" t="str">
        <f>IF(B498="","",SUMIFS(DB_All!$M$2:$M$1000,DB_All!$G$2:$G$1000,B498,DB_All!$L$2:$L$1000,"تحت إجراءات التعاقد"))</f>
        <v/>
      </c>
      <c r="G498" t="str">
        <f>IF(B498="","",COUNTIFS(DB_All!$G$2:$G$1000,B498,DB_All!$L$2:$L$1000,"تحت إجراءات التعاقد"))</f>
        <v/>
      </c>
      <c r="H498" t="str">
        <f>IF(B498="","",SUMIFS(DB_All!$N$2:$N$1000,DB_All!$G$2:$G$1000,B498,DB_All!$L$2:$L$1000,"تم التوقيع"))</f>
        <v/>
      </c>
      <c r="I498" t="str">
        <f>IF(B498="","",COUNTIFS(DB_All!$G$2:$G$1000,B498,DB_All!$L$2:$L$1000,"تم التوقيع"))</f>
        <v/>
      </c>
      <c r="J498">
        <f t="shared" si="21"/>
        <v>0</v>
      </c>
      <c r="K498" t="str">
        <f>IF(B498="","",SUMIFS('المطالبات 2026'!$J:$J,'المطالبات 2026'!$E:$E,B498,'المطالبات 2026'!$I:$I,"مطالبة مرفوعة للمالية") + SUMIFS('المطالبات 2025'!$J:$J,'المطالبات 2025'!$E:$E,B498,'المطالبات 2025'!$I:$I,"مطالبة مرفوعة للمالية"))</f>
        <v/>
      </c>
      <c r="L498" t="str">
        <f>IF(B498="","",COUNTIFS('المطالبات 2026'!$E:$E,B498,'المطالبات 2026'!$I:$I,"مطالبة مرفوعة للمالية") + COUNTIFS('المطالبات 2025'!$E:$E,B498,'المطالبات 2025'!$I:$I,"مطالبة مرفوعة للمالية"))</f>
        <v/>
      </c>
      <c r="M498">
        <f t="shared" si="22"/>
        <v>0</v>
      </c>
      <c r="N498" t="str">
        <f>IF(B498="","",SUMIFS(DB_All!$N$2:$N$1000,DB_All!$G$2:$G$1000,B498,DB_All!$L$2:$L$1000,"تحت إجراءات التوريد"))</f>
        <v/>
      </c>
      <c r="O498" t="str">
        <f>IF(B498="","",COUNTIFS(DB_All!$G$2:$G$1000,B498,DB_All!$L$2:$L$1000,"تحت إجراءات التوريد"))</f>
        <v/>
      </c>
      <c r="P498" t="str">
        <f>IF(B498="","",SUMIFS(DB_All!$N$2:$N$1000,DB_All!$G$2:$G$1000,B498,DB_All!$L$2:$L$1000,"بانتظار سندات الاستلام \ شهادة الإنجاز"))</f>
        <v/>
      </c>
      <c r="Q498" t="str">
        <f>IF(B498="","",COUNTIFS(DB_All!$G$2:$G$1000,B498,DB_All!$L$2:$L$1000,"بانتظار سندات الاستلام \ شهادة الإنجاز"))</f>
        <v/>
      </c>
      <c r="R498" t="str">
        <f t="shared" si="23"/>
        <v/>
      </c>
    </row>
    <row r="499" spans="6:18" x14ac:dyDescent="0.3">
      <c r="F499" t="str">
        <f>IF(B499="","",SUMIFS(DB_All!$M$2:$M$1000,DB_All!$G$2:$G$1000,B499,DB_All!$L$2:$L$1000,"تحت إجراءات التعاقد"))</f>
        <v/>
      </c>
      <c r="G499" t="str">
        <f>IF(B499="","",COUNTIFS(DB_All!$G$2:$G$1000,B499,DB_All!$L$2:$L$1000,"تحت إجراءات التعاقد"))</f>
        <v/>
      </c>
      <c r="H499" t="str">
        <f>IF(B499="","",SUMIFS(DB_All!$N$2:$N$1000,DB_All!$G$2:$G$1000,B499,DB_All!$L$2:$L$1000,"تم التوقيع"))</f>
        <v/>
      </c>
      <c r="I499" t="str">
        <f>IF(B499="","",COUNTIFS(DB_All!$G$2:$G$1000,B499,DB_All!$L$2:$L$1000,"تم التوقيع"))</f>
        <v/>
      </c>
      <c r="J499">
        <f t="shared" si="21"/>
        <v>0</v>
      </c>
      <c r="K499" t="str">
        <f>IF(B499="","",SUMIFS('المطالبات 2026'!$J:$J,'المطالبات 2026'!$E:$E,B499,'المطالبات 2026'!$I:$I,"مطالبة مرفوعة للمالية") + SUMIFS('المطالبات 2025'!$J:$J,'المطالبات 2025'!$E:$E,B499,'المطالبات 2025'!$I:$I,"مطالبة مرفوعة للمالية"))</f>
        <v/>
      </c>
      <c r="L499" t="str">
        <f>IF(B499="","",COUNTIFS('المطالبات 2026'!$E:$E,B499,'المطالبات 2026'!$I:$I,"مطالبة مرفوعة للمالية") + COUNTIFS('المطالبات 2025'!$E:$E,B499,'المطالبات 2025'!$I:$I,"مطالبة مرفوعة للمالية"))</f>
        <v/>
      </c>
      <c r="M499">
        <f t="shared" si="22"/>
        <v>0</v>
      </c>
      <c r="N499" t="str">
        <f>IF(B499="","",SUMIFS(DB_All!$N$2:$N$1000,DB_All!$G$2:$G$1000,B499,DB_All!$L$2:$L$1000,"تحت إجراءات التوريد"))</f>
        <v/>
      </c>
      <c r="O499" t="str">
        <f>IF(B499="","",COUNTIFS(DB_All!$G$2:$G$1000,B499,DB_All!$L$2:$L$1000,"تحت إجراءات التوريد"))</f>
        <v/>
      </c>
      <c r="P499" t="str">
        <f>IF(B499="","",SUMIFS(DB_All!$N$2:$N$1000,DB_All!$G$2:$G$1000,B499,DB_All!$L$2:$L$1000,"بانتظار سندات الاستلام \ شهادة الإنجاز"))</f>
        <v/>
      </c>
      <c r="Q499" t="str">
        <f>IF(B499="","",COUNTIFS(DB_All!$G$2:$G$1000,B499,DB_All!$L$2:$L$1000,"بانتظار سندات الاستلام \ شهادة الإنجاز"))</f>
        <v/>
      </c>
      <c r="R499" t="str">
        <f t="shared" si="23"/>
        <v/>
      </c>
    </row>
    <row r="500" spans="6:18" x14ac:dyDescent="0.3">
      <c r="F500" t="str">
        <f>IF(B500="","",SUMIFS(DB_All!$M$2:$M$1000,DB_All!$G$2:$G$1000,B500,DB_All!$L$2:$L$1000,"تحت إجراءات التعاقد"))</f>
        <v/>
      </c>
      <c r="G500" t="str">
        <f>IF(B500="","",COUNTIFS(DB_All!$G$2:$G$1000,B500,DB_All!$L$2:$L$1000,"تحت إجراءات التعاقد"))</f>
        <v/>
      </c>
      <c r="H500" t="str">
        <f>IF(B500="","",SUMIFS(DB_All!$N$2:$N$1000,DB_All!$G$2:$G$1000,B500,DB_All!$L$2:$L$1000,"تم التوقيع"))</f>
        <v/>
      </c>
      <c r="I500" t="str">
        <f>IF(B500="","",COUNTIFS(DB_All!$G$2:$G$1000,B500,DB_All!$L$2:$L$1000,"تم التوقيع"))</f>
        <v/>
      </c>
      <c r="J500">
        <f t="shared" si="21"/>
        <v>0</v>
      </c>
      <c r="K500" t="str">
        <f>IF(B500="","",SUMIFS('المطالبات 2026'!$J:$J,'المطالبات 2026'!$E:$E,B500,'المطالبات 2026'!$I:$I,"مطالبة مرفوعة للمالية") + SUMIFS('المطالبات 2025'!$J:$J,'المطالبات 2025'!$E:$E,B500,'المطالبات 2025'!$I:$I,"مطالبة مرفوعة للمالية"))</f>
        <v/>
      </c>
      <c r="L500" t="str">
        <f>IF(B500="","",COUNTIFS('المطالبات 2026'!$E:$E,B500,'المطالبات 2026'!$I:$I,"مطالبة مرفوعة للمالية") + COUNTIFS('المطالبات 2025'!$E:$E,B500,'المطالبات 2025'!$I:$I,"مطالبة مرفوعة للمالية"))</f>
        <v/>
      </c>
      <c r="M500">
        <f t="shared" si="22"/>
        <v>0</v>
      </c>
      <c r="N500" t="str">
        <f>IF(B500="","",SUMIFS(DB_All!$N$2:$N$1000,DB_All!$G$2:$G$1000,B500,DB_All!$L$2:$L$1000,"تحت إجراءات التوريد"))</f>
        <v/>
      </c>
      <c r="O500" t="str">
        <f>IF(B500="","",COUNTIFS(DB_All!$G$2:$G$1000,B500,DB_All!$L$2:$L$1000,"تحت إجراءات التوريد"))</f>
        <v/>
      </c>
      <c r="P500" t="str">
        <f>IF(B500="","",SUMIFS(DB_All!$N$2:$N$1000,DB_All!$G$2:$G$1000,B500,DB_All!$L$2:$L$1000,"بانتظار سندات الاستلام \ شهادة الإنجاز"))</f>
        <v/>
      </c>
      <c r="Q500" t="str">
        <f>IF(B500="","",COUNTIFS(DB_All!$G$2:$G$1000,B500,DB_All!$L$2:$L$1000,"بانتظار سندات الاستلام \ شهادة الإنجاز"))</f>
        <v/>
      </c>
      <c r="R500" t="str">
        <f t="shared" si="23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rightToLeft="1" topLeftCell="R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DB_All</vt:lpstr>
      <vt:lpstr>DB_Contracts</vt:lpstr>
      <vt:lpstr>DB_Lookups</vt:lpstr>
      <vt:lpstr>التشغيل والصيانة السوق الالكترو</vt:lpstr>
      <vt:lpstr>التشغيل والصيانة العقود </vt:lpstr>
      <vt:lpstr>السوق الالكتروني</vt:lpstr>
      <vt:lpstr>قسم المنافسات 1</vt:lpstr>
      <vt:lpstr>قسم المنافسات 2</vt:lpstr>
      <vt:lpstr>قسم المنافسات3</vt:lpstr>
      <vt:lpstr>المطالبات 2026</vt:lpstr>
      <vt:lpstr>المطالبات 2025</vt:lpstr>
      <vt:lpstr>قسم الميزانية</vt:lpstr>
      <vt:lpstr>تقرير الاداء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Anwar raafat</dc:creator>
  <cp:lastModifiedBy>Anwar raafat</cp:lastModifiedBy>
  <dcterms:created xsi:type="dcterms:W3CDTF">2025-12-15T18:00:51Z</dcterms:created>
  <dcterms:modified xsi:type="dcterms:W3CDTF">2026-02-02T22:21:01Z</dcterms:modified>
</cp:coreProperties>
</file>